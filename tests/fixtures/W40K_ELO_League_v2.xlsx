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mc:AlternateContent xmlns:mc="http://schemas.openxmlformats.org/markup-compatibility/2006">
    <mc:Choice Requires="x15">
      <x15ac:absPath xmlns:x15ac="http://schemas.microsoft.com/office/spreadsheetml/2010/11/ac" url="https://d.docs.live.net/f792ee1a30180b63/Documents/GW/"/>
    </mc:Choice>
  </mc:AlternateContent>
  <xr:revisionPtr revIDLastSave="0" documentId="8_{34CBC2BD-D2E1-724D-A5EE-AF8807B77F05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League Table" sheetId="1" r:id="rId1"/>
    <sheet name="Match Log" sheetId="2" r:id="rId2"/>
    <sheet name="Tournament Log" sheetId="3" r:id="rId3"/>
    <sheet name="Guest Log" sheetId="4" r:id="rId4"/>
    <sheet name="ELO Engine" sheetId="5" r:id="rId5"/>
    <sheet name="Player Data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1" i="6" l="1"/>
  <c r="L51" i="6"/>
  <c r="K51" i="6"/>
  <c r="J51" i="6"/>
  <c r="I51" i="6"/>
  <c r="H51" i="6"/>
  <c r="G51" i="6"/>
  <c r="F51" i="6"/>
  <c r="E51" i="6"/>
  <c r="D51" i="6"/>
  <c r="C51" i="6" a="1"/>
  <c r="C51" i="6"/>
  <c r="B51" i="6" a="1"/>
  <c r="B51" i="6"/>
  <c r="M50" i="6"/>
  <c r="L50" i="6"/>
  <c r="K50" i="6"/>
  <c r="J50" i="6"/>
  <c r="I50" i="6"/>
  <c r="H50" i="6"/>
  <c r="G50" i="6"/>
  <c r="F50" i="6"/>
  <c r="E50" i="6"/>
  <c r="D50" i="6"/>
  <c r="C50" i="6" a="1"/>
  <c r="C50" i="6"/>
  <c r="B50" i="6" a="1"/>
  <c r="B50" i="6"/>
  <c r="M49" i="6"/>
  <c r="L49" i="6"/>
  <c r="K49" i="6"/>
  <c r="J49" i="6"/>
  <c r="I49" i="6"/>
  <c r="H49" i="6"/>
  <c r="G49" i="6"/>
  <c r="F49" i="6"/>
  <c r="E49" i="6"/>
  <c r="D49" i="6"/>
  <c r="C49" i="6" a="1"/>
  <c r="C49" i="6"/>
  <c r="B49" i="6" a="1"/>
  <c r="B49" i="6"/>
  <c r="M48" i="6"/>
  <c r="L48" i="6"/>
  <c r="K48" i="6"/>
  <c r="J48" i="6"/>
  <c r="I48" i="6"/>
  <c r="H48" i="6"/>
  <c r="G48" i="6"/>
  <c r="F48" i="6"/>
  <c r="E48" i="6"/>
  <c r="D48" i="6"/>
  <c r="C48" i="6" a="1"/>
  <c r="C48" i="6"/>
  <c r="B48" i="6" a="1"/>
  <c r="B48" i="6"/>
  <c r="M47" i="6"/>
  <c r="L47" i="6"/>
  <c r="K47" i="6"/>
  <c r="J47" i="6"/>
  <c r="I47" i="6"/>
  <c r="H47" i="6"/>
  <c r="G47" i="6"/>
  <c r="F47" i="6"/>
  <c r="E47" i="6"/>
  <c r="D47" i="6"/>
  <c r="C47" i="6" a="1"/>
  <c r="C47" i="6"/>
  <c r="B47" i="6" a="1"/>
  <c r="B47" i="6"/>
  <c r="M46" i="6"/>
  <c r="L46" i="6"/>
  <c r="K46" i="6"/>
  <c r="J46" i="6"/>
  <c r="I46" i="6"/>
  <c r="H46" i="6"/>
  <c r="G46" i="6"/>
  <c r="F46" i="6"/>
  <c r="E46" i="6"/>
  <c r="D46" i="6"/>
  <c r="C46" i="6" a="1"/>
  <c r="C46" i="6"/>
  <c r="B46" i="6" a="1"/>
  <c r="B46" i="6"/>
  <c r="M45" i="6"/>
  <c r="L45" i="6"/>
  <c r="K45" i="6"/>
  <c r="J45" i="6"/>
  <c r="I45" i="6"/>
  <c r="H45" i="6"/>
  <c r="G45" i="6"/>
  <c r="F45" i="6"/>
  <c r="E45" i="6"/>
  <c r="D45" i="6"/>
  <c r="C45" i="6" a="1"/>
  <c r="C45" i="6"/>
  <c r="B45" i="6" a="1"/>
  <c r="B45" i="6"/>
  <c r="M44" i="6"/>
  <c r="L44" i="6"/>
  <c r="K44" i="6"/>
  <c r="J44" i="6"/>
  <c r="I44" i="6"/>
  <c r="H44" i="6"/>
  <c r="G44" i="6"/>
  <c r="F44" i="6"/>
  <c r="E44" i="6"/>
  <c r="D44" i="6"/>
  <c r="C44" i="6" a="1"/>
  <c r="C44" i="6"/>
  <c r="B44" i="6" a="1"/>
  <c r="B44" i="6"/>
  <c r="M43" i="6"/>
  <c r="L43" i="6"/>
  <c r="K43" i="6"/>
  <c r="J43" i="6"/>
  <c r="I43" i="6"/>
  <c r="H43" i="6"/>
  <c r="G43" i="6"/>
  <c r="F43" i="6"/>
  <c r="E43" i="6"/>
  <c r="D43" i="6"/>
  <c r="C43" i="6" a="1"/>
  <c r="C43" i="6"/>
  <c r="B43" i="6" a="1"/>
  <c r="B43" i="6"/>
  <c r="M42" i="6"/>
  <c r="L42" i="6"/>
  <c r="K42" i="6"/>
  <c r="J42" i="6"/>
  <c r="I42" i="6"/>
  <c r="H42" i="6"/>
  <c r="G42" i="6"/>
  <c r="F42" i="6"/>
  <c r="E42" i="6"/>
  <c r="D42" i="6"/>
  <c r="C42" i="6" a="1"/>
  <c r="C42" i="6"/>
  <c r="B42" i="6" a="1"/>
  <c r="B42" i="6"/>
  <c r="M41" i="6"/>
  <c r="L41" i="6"/>
  <c r="K41" i="6"/>
  <c r="J41" i="6"/>
  <c r="I41" i="6"/>
  <c r="H41" i="6"/>
  <c r="G41" i="6"/>
  <c r="F41" i="6"/>
  <c r="E41" i="6"/>
  <c r="D41" i="6"/>
  <c r="C41" i="6" a="1"/>
  <c r="C41" i="6"/>
  <c r="B41" i="6" a="1"/>
  <c r="B41" i="6"/>
  <c r="M40" i="6"/>
  <c r="L40" i="6"/>
  <c r="K40" i="6"/>
  <c r="J40" i="6"/>
  <c r="I40" i="6"/>
  <c r="H40" i="6"/>
  <c r="G40" i="6"/>
  <c r="F40" i="6"/>
  <c r="E40" i="6"/>
  <c r="D40" i="6"/>
  <c r="C40" i="6" a="1"/>
  <c r="C40" i="6"/>
  <c r="B40" i="6" a="1"/>
  <c r="B40" i="6"/>
  <c r="M39" i="6"/>
  <c r="L39" i="6"/>
  <c r="K39" i="6"/>
  <c r="J39" i="6"/>
  <c r="I39" i="6"/>
  <c r="H39" i="6"/>
  <c r="G39" i="6"/>
  <c r="F39" i="6"/>
  <c r="E39" i="6"/>
  <c r="D39" i="6"/>
  <c r="C39" i="6" a="1"/>
  <c r="C39" i="6"/>
  <c r="B39" i="6" a="1"/>
  <c r="B39" i="6"/>
  <c r="M38" i="6"/>
  <c r="L38" i="6"/>
  <c r="K38" i="6"/>
  <c r="J38" i="6"/>
  <c r="I38" i="6"/>
  <c r="H38" i="6"/>
  <c r="G38" i="6"/>
  <c r="F38" i="6"/>
  <c r="E38" i="6"/>
  <c r="D38" i="6"/>
  <c r="C38" i="6" a="1"/>
  <c r="C38" i="6"/>
  <c r="B38" i="6" a="1"/>
  <c r="B38" i="6"/>
  <c r="M37" i="6"/>
  <c r="L37" i="6"/>
  <c r="K37" i="6"/>
  <c r="J37" i="6"/>
  <c r="I37" i="6"/>
  <c r="H37" i="6"/>
  <c r="G37" i="6"/>
  <c r="F37" i="6"/>
  <c r="E37" i="6"/>
  <c r="D37" i="6"/>
  <c r="C37" i="6" a="1"/>
  <c r="C37" i="6"/>
  <c r="B37" i="6" a="1"/>
  <c r="B37" i="6"/>
  <c r="M36" i="6"/>
  <c r="L36" i="6"/>
  <c r="K36" i="6"/>
  <c r="J36" i="6"/>
  <c r="I36" i="6"/>
  <c r="H36" i="6"/>
  <c r="G36" i="6"/>
  <c r="F36" i="6"/>
  <c r="E36" i="6"/>
  <c r="D36" i="6"/>
  <c r="C36" i="6" a="1"/>
  <c r="C36" i="6"/>
  <c r="B36" i="6" a="1"/>
  <c r="B36" i="6"/>
  <c r="M35" i="6"/>
  <c r="L35" i="6"/>
  <c r="K35" i="6"/>
  <c r="J35" i="6"/>
  <c r="I35" i="6"/>
  <c r="H35" i="6"/>
  <c r="G35" i="6"/>
  <c r="F35" i="6"/>
  <c r="E35" i="6"/>
  <c r="D35" i="6"/>
  <c r="C35" i="6" a="1"/>
  <c r="C35" i="6"/>
  <c r="B35" i="6" a="1"/>
  <c r="B35" i="6"/>
  <c r="M34" i="6"/>
  <c r="L34" i="6"/>
  <c r="K34" i="6"/>
  <c r="J34" i="6"/>
  <c r="I34" i="6"/>
  <c r="H34" i="6"/>
  <c r="G34" i="6"/>
  <c r="F34" i="6"/>
  <c r="E34" i="6"/>
  <c r="D34" i="6"/>
  <c r="C34" i="6" a="1"/>
  <c r="C34" i="6"/>
  <c r="B34" i="6" a="1"/>
  <c r="B34" i="6"/>
  <c r="M33" i="6"/>
  <c r="L33" i="6"/>
  <c r="K33" i="6"/>
  <c r="J33" i="6"/>
  <c r="I33" i="6"/>
  <c r="H33" i="6"/>
  <c r="G33" i="6"/>
  <c r="F33" i="6"/>
  <c r="E33" i="6"/>
  <c r="D33" i="6"/>
  <c r="C33" i="6" a="1"/>
  <c r="C33" i="6"/>
  <c r="B33" i="6" a="1"/>
  <c r="B33" i="6"/>
  <c r="M32" i="6"/>
  <c r="L32" i="6"/>
  <c r="K32" i="6"/>
  <c r="J32" i="6"/>
  <c r="I32" i="6"/>
  <c r="H32" i="6"/>
  <c r="G32" i="6"/>
  <c r="F32" i="6"/>
  <c r="E32" i="6"/>
  <c r="D32" i="6"/>
  <c r="C32" i="6" a="1"/>
  <c r="C32" i="6"/>
  <c r="B32" i="6" a="1"/>
  <c r="B32" i="6"/>
  <c r="M31" i="6"/>
  <c r="L31" i="6"/>
  <c r="K31" i="6"/>
  <c r="J31" i="6"/>
  <c r="I31" i="6"/>
  <c r="H31" i="6"/>
  <c r="G31" i="6"/>
  <c r="F31" i="6"/>
  <c r="E31" i="6"/>
  <c r="D31" i="6"/>
  <c r="C31" i="6" a="1"/>
  <c r="C31" i="6"/>
  <c r="B31" i="6" a="1"/>
  <c r="B31" i="6"/>
  <c r="M30" i="6"/>
  <c r="L30" i="6"/>
  <c r="K30" i="6"/>
  <c r="J30" i="6"/>
  <c r="I30" i="6"/>
  <c r="H30" i="6"/>
  <c r="G30" i="6"/>
  <c r="F30" i="6"/>
  <c r="E30" i="6"/>
  <c r="D30" i="6"/>
  <c r="C30" i="6" a="1"/>
  <c r="C30" i="6"/>
  <c r="B30" i="6" a="1"/>
  <c r="B30" i="6"/>
  <c r="M29" i="6"/>
  <c r="L29" i="6"/>
  <c r="K29" i="6"/>
  <c r="J29" i="6"/>
  <c r="I29" i="6"/>
  <c r="H29" i="6"/>
  <c r="G29" i="6"/>
  <c r="F29" i="6"/>
  <c r="E29" i="6"/>
  <c r="D29" i="6"/>
  <c r="C29" i="6" a="1"/>
  <c r="C29" i="6"/>
  <c r="B29" i="6" a="1"/>
  <c r="B29" i="6"/>
  <c r="M28" i="6"/>
  <c r="L28" i="6"/>
  <c r="K28" i="6"/>
  <c r="J28" i="6"/>
  <c r="I28" i="6"/>
  <c r="H28" i="6"/>
  <c r="G28" i="6"/>
  <c r="F28" i="6"/>
  <c r="E28" i="6"/>
  <c r="D28" i="6"/>
  <c r="C28" i="6" a="1"/>
  <c r="C28" i="6"/>
  <c r="B28" i="6" a="1"/>
  <c r="B28" i="6"/>
  <c r="M27" i="6"/>
  <c r="L27" i="6"/>
  <c r="K27" i="6"/>
  <c r="J27" i="6"/>
  <c r="I27" i="6"/>
  <c r="H27" i="6"/>
  <c r="G27" i="6"/>
  <c r="F27" i="6"/>
  <c r="E27" i="6"/>
  <c r="D27" i="6"/>
  <c r="C27" i="6" a="1"/>
  <c r="C27" i="6"/>
  <c r="B27" i="6" a="1"/>
  <c r="B27" i="6"/>
  <c r="M26" i="6"/>
  <c r="L26" i="6"/>
  <c r="K26" i="6"/>
  <c r="J26" i="6"/>
  <c r="I26" i="6"/>
  <c r="H26" i="6"/>
  <c r="G26" i="6"/>
  <c r="F26" i="6"/>
  <c r="E26" i="6"/>
  <c r="D26" i="6"/>
  <c r="C26" i="6" a="1"/>
  <c r="C26" i="6"/>
  <c r="B26" i="6" a="1"/>
  <c r="B26" i="6"/>
  <c r="M25" i="6"/>
  <c r="L25" i="6"/>
  <c r="K25" i="6"/>
  <c r="J25" i="6"/>
  <c r="I25" i="6"/>
  <c r="H25" i="6"/>
  <c r="G25" i="6"/>
  <c r="F25" i="6"/>
  <c r="E25" i="6"/>
  <c r="D25" i="6"/>
  <c r="C25" i="6" a="1"/>
  <c r="C25" i="6"/>
  <c r="B25" i="6" a="1"/>
  <c r="B25" i="6"/>
  <c r="M24" i="6"/>
  <c r="L24" i="6"/>
  <c r="K24" i="6"/>
  <c r="J24" i="6"/>
  <c r="I24" i="6"/>
  <c r="H24" i="6"/>
  <c r="G24" i="6"/>
  <c r="F24" i="6"/>
  <c r="E24" i="6"/>
  <c r="D24" i="6"/>
  <c r="C24" i="6" a="1"/>
  <c r="C24" i="6"/>
  <c r="B24" i="6" a="1"/>
  <c r="B24" i="6"/>
  <c r="M23" i="6"/>
  <c r="L23" i="6"/>
  <c r="K23" i="6"/>
  <c r="J23" i="6"/>
  <c r="I23" i="6"/>
  <c r="H23" i="6"/>
  <c r="G23" i="6"/>
  <c r="F23" i="6"/>
  <c r="E23" i="6"/>
  <c r="D23" i="6"/>
  <c r="C23" i="6" a="1"/>
  <c r="C23" i="6"/>
  <c r="B23" i="6" a="1"/>
  <c r="B23" i="6"/>
  <c r="M22" i="6"/>
  <c r="L22" i="6"/>
  <c r="K22" i="6"/>
  <c r="J22" i="6"/>
  <c r="I22" i="6"/>
  <c r="H22" i="6"/>
  <c r="G22" i="6"/>
  <c r="F22" i="6"/>
  <c r="E22" i="6"/>
  <c r="D22" i="6"/>
  <c r="C22" i="6" a="1"/>
  <c r="C22" i="6"/>
  <c r="B22" i="6" a="1"/>
  <c r="B22" i="6"/>
  <c r="M21" i="6"/>
  <c r="L21" i="6"/>
  <c r="K21" i="6"/>
  <c r="J21" i="6"/>
  <c r="I21" i="6"/>
  <c r="H21" i="6"/>
  <c r="G21" i="6"/>
  <c r="F21" i="6"/>
  <c r="E21" i="6"/>
  <c r="D21" i="6"/>
  <c r="C21" i="6" a="1"/>
  <c r="C21" i="6"/>
  <c r="B21" i="6" a="1"/>
  <c r="B21" i="6"/>
  <c r="M20" i="6"/>
  <c r="L20" i="6"/>
  <c r="K20" i="6"/>
  <c r="J20" i="6"/>
  <c r="I20" i="6"/>
  <c r="H20" i="6"/>
  <c r="G20" i="6"/>
  <c r="F20" i="6"/>
  <c r="E20" i="6"/>
  <c r="D20" i="6"/>
  <c r="C20" i="6" a="1"/>
  <c r="C20" i="6"/>
  <c r="B20" i="6" a="1"/>
  <c r="B20" i="6"/>
  <c r="M19" i="6"/>
  <c r="L19" i="6"/>
  <c r="K19" i="6"/>
  <c r="J19" i="6"/>
  <c r="I19" i="6"/>
  <c r="H19" i="6"/>
  <c r="G19" i="6"/>
  <c r="F19" i="6"/>
  <c r="E19" i="6"/>
  <c r="D19" i="6"/>
  <c r="C19" i="6" a="1"/>
  <c r="C19" i="6"/>
  <c r="B19" i="6" a="1"/>
  <c r="B19" i="6"/>
  <c r="M18" i="6"/>
  <c r="L18" i="6"/>
  <c r="K18" i="6"/>
  <c r="J18" i="6"/>
  <c r="I18" i="6"/>
  <c r="H18" i="6"/>
  <c r="G18" i="6"/>
  <c r="F18" i="6"/>
  <c r="E18" i="6"/>
  <c r="D18" i="6"/>
  <c r="C18" i="6" a="1"/>
  <c r="C18" i="6"/>
  <c r="B18" i="6" a="1"/>
  <c r="B18" i="6"/>
  <c r="M17" i="6"/>
  <c r="L17" i="6"/>
  <c r="K17" i="6"/>
  <c r="J17" i="6"/>
  <c r="I17" i="6"/>
  <c r="H17" i="6"/>
  <c r="G17" i="6"/>
  <c r="F17" i="6"/>
  <c r="E17" i="6"/>
  <c r="D17" i="6"/>
  <c r="C17" i="6" a="1"/>
  <c r="C17" i="6"/>
  <c r="B17" i="6" a="1"/>
  <c r="B17" i="6"/>
  <c r="M16" i="6"/>
  <c r="L16" i="6"/>
  <c r="K16" i="6"/>
  <c r="J16" i="6"/>
  <c r="I16" i="6"/>
  <c r="H16" i="6"/>
  <c r="G16" i="6"/>
  <c r="F16" i="6"/>
  <c r="E16" i="6"/>
  <c r="D16" i="6"/>
  <c r="C16" i="6" a="1"/>
  <c r="C16" i="6"/>
  <c r="B16" i="6" a="1"/>
  <c r="B16" i="6"/>
  <c r="M15" i="6"/>
  <c r="L15" i="6"/>
  <c r="K15" i="6"/>
  <c r="J15" i="6"/>
  <c r="I15" i="6"/>
  <c r="H15" i="6"/>
  <c r="G15" i="6"/>
  <c r="F15" i="6"/>
  <c r="E15" i="6"/>
  <c r="D15" i="6"/>
  <c r="C15" i="6" a="1"/>
  <c r="C15" i="6"/>
  <c r="B15" i="6" a="1"/>
  <c r="B15" i="6"/>
  <c r="M14" i="6"/>
  <c r="L14" i="6"/>
  <c r="K14" i="6"/>
  <c r="J14" i="6"/>
  <c r="I14" i="6"/>
  <c r="H14" i="6"/>
  <c r="G14" i="6"/>
  <c r="F14" i="6"/>
  <c r="E14" i="6"/>
  <c r="D14" i="6"/>
  <c r="C14" i="6" a="1"/>
  <c r="C14" i="6"/>
  <c r="B14" i="6" a="1"/>
  <c r="B14" i="6"/>
  <c r="M13" i="6"/>
  <c r="L13" i="6"/>
  <c r="K13" i="6"/>
  <c r="J13" i="6"/>
  <c r="I13" i="6"/>
  <c r="H13" i="6"/>
  <c r="G13" i="6"/>
  <c r="F13" i="6"/>
  <c r="E13" i="6"/>
  <c r="D13" i="6"/>
  <c r="C13" i="6" a="1"/>
  <c r="C13" i="6"/>
  <c r="B13" i="6" a="1"/>
  <c r="B13" i="6"/>
  <c r="M12" i="6"/>
  <c r="L12" i="6"/>
  <c r="K12" i="6"/>
  <c r="J12" i="6"/>
  <c r="I12" i="6"/>
  <c r="H12" i="6"/>
  <c r="G12" i="6"/>
  <c r="F12" i="6"/>
  <c r="E12" i="6"/>
  <c r="D12" i="6"/>
  <c r="C12" i="6" a="1"/>
  <c r="C12" i="6"/>
  <c r="B12" i="6" a="1"/>
  <c r="B12" i="6"/>
  <c r="H11" i="6"/>
  <c r="F11" i="6"/>
  <c r="E11" i="6"/>
  <c r="G11" i="6"/>
  <c r="D11" i="6"/>
  <c r="H10" i="6"/>
  <c r="M10" i="6"/>
  <c r="F10" i="6"/>
  <c r="E10" i="6"/>
  <c r="D10" i="6"/>
  <c r="H9" i="6"/>
  <c r="F9" i="6"/>
  <c r="E9" i="6"/>
  <c r="D9" i="6"/>
  <c r="H8" i="6"/>
  <c r="F8" i="6"/>
  <c r="E8" i="6"/>
  <c r="G8" i="6"/>
  <c r="D8" i="6"/>
  <c r="H7" i="6"/>
  <c r="F7" i="6"/>
  <c r="E7" i="6"/>
  <c r="D7" i="6"/>
  <c r="H6" i="6"/>
  <c r="F6" i="6"/>
  <c r="E6" i="6"/>
  <c r="I6" i="6"/>
  <c r="D6" i="6"/>
  <c r="H5" i="6"/>
  <c r="F5" i="6"/>
  <c r="E5" i="6"/>
  <c r="I5" i="6"/>
  <c r="D5" i="6"/>
  <c r="H4" i="6"/>
  <c r="F4" i="6"/>
  <c r="E4" i="6"/>
  <c r="D4" i="6"/>
  <c r="H3" i="6"/>
  <c r="F3" i="6"/>
  <c r="E3" i="6"/>
  <c r="D3" i="6"/>
  <c r="H2" i="6"/>
  <c r="F2" i="6"/>
  <c r="E2" i="6"/>
  <c r="D2" i="6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K203" i="4"/>
  <c r="L203" i="4"/>
  <c r="K202" i="4"/>
  <c r="L202" i="4"/>
  <c r="L201" i="4"/>
  <c r="K201" i="4"/>
  <c r="L200" i="4"/>
  <c r="K200" i="4"/>
  <c r="L199" i="4"/>
  <c r="K199" i="4"/>
  <c r="K198" i="4"/>
  <c r="L198" i="4"/>
  <c r="K197" i="4"/>
  <c r="L197" i="4"/>
  <c r="K196" i="4"/>
  <c r="L196" i="4"/>
  <c r="L195" i="4"/>
  <c r="K195" i="4"/>
  <c r="L194" i="4"/>
  <c r="K194" i="4"/>
  <c r="L193" i="4"/>
  <c r="K193" i="4"/>
  <c r="K192" i="4"/>
  <c r="L192" i="4"/>
  <c r="K191" i="4"/>
  <c r="L191" i="4"/>
  <c r="K190" i="4"/>
  <c r="L190" i="4"/>
  <c r="L189" i="4"/>
  <c r="K189" i="4"/>
  <c r="L188" i="4"/>
  <c r="K188" i="4"/>
  <c r="L187" i="4"/>
  <c r="K187" i="4"/>
  <c r="K186" i="4"/>
  <c r="L186" i="4"/>
  <c r="K185" i="4"/>
  <c r="L185" i="4"/>
  <c r="K184" i="4"/>
  <c r="L184" i="4"/>
  <c r="L183" i="4"/>
  <c r="K183" i="4"/>
  <c r="L182" i="4"/>
  <c r="K182" i="4"/>
  <c r="L181" i="4"/>
  <c r="K181" i="4"/>
  <c r="K180" i="4"/>
  <c r="L180" i="4"/>
  <c r="K179" i="4"/>
  <c r="L179" i="4"/>
  <c r="K178" i="4"/>
  <c r="L178" i="4"/>
  <c r="L177" i="4"/>
  <c r="K177" i="4"/>
  <c r="L176" i="4"/>
  <c r="K176" i="4"/>
  <c r="L175" i="4"/>
  <c r="K175" i="4"/>
  <c r="K174" i="4"/>
  <c r="L174" i="4"/>
  <c r="K173" i="4"/>
  <c r="L173" i="4"/>
  <c r="K172" i="4"/>
  <c r="L172" i="4"/>
  <c r="L171" i="4"/>
  <c r="K171" i="4"/>
  <c r="L170" i="4"/>
  <c r="K170" i="4"/>
  <c r="L169" i="4"/>
  <c r="K169" i="4"/>
  <c r="K168" i="4"/>
  <c r="L168" i="4"/>
  <c r="K167" i="4"/>
  <c r="L167" i="4"/>
  <c r="K166" i="4"/>
  <c r="L166" i="4"/>
  <c r="L165" i="4"/>
  <c r="K165" i="4"/>
  <c r="L164" i="4"/>
  <c r="K164" i="4"/>
  <c r="L163" i="4"/>
  <c r="K163" i="4"/>
  <c r="K162" i="4"/>
  <c r="L162" i="4"/>
  <c r="K161" i="4"/>
  <c r="L161" i="4"/>
  <c r="K160" i="4"/>
  <c r="L160" i="4"/>
  <c r="L159" i="4"/>
  <c r="K159" i="4"/>
  <c r="L158" i="4"/>
  <c r="K158" i="4"/>
  <c r="L157" i="4"/>
  <c r="K157" i="4"/>
  <c r="K156" i="4"/>
  <c r="L156" i="4"/>
  <c r="K155" i="4"/>
  <c r="L155" i="4"/>
  <c r="K154" i="4"/>
  <c r="L154" i="4"/>
  <c r="L153" i="4"/>
  <c r="K153" i="4"/>
  <c r="L152" i="4"/>
  <c r="K152" i="4"/>
  <c r="L151" i="4"/>
  <c r="K151" i="4"/>
  <c r="K150" i="4"/>
  <c r="L150" i="4"/>
  <c r="K149" i="4"/>
  <c r="L149" i="4"/>
  <c r="K148" i="4"/>
  <c r="L148" i="4"/>
  <c r="L147" i="4"/>
  <c r="K147" i="4"/>
  <c r="L146" i="4"/>
  <c r="K146" i="4"/>
  <c r="L145" i="4"/>
  <c r="K145" i="4"/>
  <c r="K144" i="4"/>
  <c r="L144" i="4"/>
  <c r="K143" i="4"/>
  <c r="L143" i="4"/>
  <c r="K142" i="4"/>
  <c r="L142" i="4"/>
  <c r="L141" i="4"/>
  <c r="K141" i="4"/>
  <c r="L140" i="4"/>
  <c r="K140" i="4"/>
  <c r="L139" i="4"/>
  <c r="K139" i="4"/>
  <c r="K138" i="4"/>
  <c r="L138" i="4"/>
  <c r="K137" i="4"/>
  <c r="L137" i="4"/>
  <c r="K136" i="4"/>
  <c r="L136" i="4"/>
  <c r="L135" i="4"/>
  <c r="K135" i="4"/>
  <c r="L134" i="4"/>
  <c r="K134" i="4"/>
  <c r="L133" i="4"/>
  <c r="K133" i="4"/>
  <c r="K132" i="4"/>
  <c r="L132" i="4"/>
  <c r="K131" i="4"/>
  <c r="L131" i="4"/>
  <c r="K130" i="4"/>
  <c r="L130" i="4"/>
  <c r="L129" i="4"/>
  <c r="K129" i="4"/>
  <c r="L128" i="4"/>
  <c r="K128" i="4"/>
  <c r="L127" i="4"/>
  <c r="K127" i="4"/>
  <c r="K126" i="4"/>
  <c r="L126" i="4"/>
  <c r="K125" i="4"/>
  <c r="L125" i="4"/>
  <c r="K124" i="4"/>
  <c r="L124" i="4"/>
  <c r="L123" i="4"/>
  <c r="K123" i="4"/>
  <c r="L122" i="4"/>
  <c r="K122" i="4"/>
  <c r="L121" i="4"/>
  <c r="K121" i="4"/>
  <c r="K120" i="4"/>
  <c r="L120" i="4"/>
  <c r="K119" i="4"/>
  <c r="L119" i="4"/>
  <c r="K118" i="4"/>
  <c r="L118" i="4"/>
  <c r="L117" i="4"/>
  <c r="K117" i="4"/>
  <c r="L116" i="4"/>
  <c r="K116" i="4"/>
  <c r="L115" i="4"/>
  <c r="K115" i="4"/>
  <c r="K114" i="4"/>
  <c r="L114" i="4"/>
  <c r="K113" i="4"/>
  <c r="L113" i="4"/>
  <c r="K112" i="4"/>
  <c r="L112" i="4"/>
  <c r="L111" i="4"/>
  <c r="K111" i="4"/>
  <c r="L110" i="4"/>
  <c r="K110" i="4"/>
  <c r="L109" i="4"/>
  <c r="K109" i="4"/>
  <c r="K108" i="4"/>
  <c r="L108" i="4"/>
  <c r="K107" i="4"/>
  <c r="L107" i="4"/>
  <c r="K106" i="4"/>
  <c r="L106" i="4"/>
  <c r="L105" i="4"/>
  <c r="K105" i="4"/>
  <c r="L104" i="4"/>
  <c r="K104" i="4"/>
  <c r="L103" i="4"/>
  <c r="K103" i="4"/>
  <c r="K102" i="4"/>
  <c r="L102" i="4"/>
  <c r="K101" i="4"/>
  <c r="L101" i="4"/>
  <c r="K100" i="4"/>
  <c r="L100" i="4"/>
  <c r="L99" i="4"/>
  <c r="K99" i="4"/>
  <c r="L98" i="4"/>
  <c r="K98" i="4"/>
  <c r="L97" i="4"/>
  <c r="K97" i="4"/>
  <c r="K96" i="4"/>
  <c r="L96" i="4"/>
  <c r="K95" i="4"/>
  <c r="L95" i="4"/>
  <c r="K94" i="4"/>
  <c r="L94" i="4"/>
  <c r="L93" i="4"/>
  <c r="K93" i="4"/>
  <c r="L92" i="4"/>
  <c r="K92" i="4"/>
  <c r="L91" i="4"/>
  <c r="K91" i="4"/>
  <c r="K90" i="4"/>
  <c r="L90" i="4"/>
  <c r="K89" i="4"/>
  <c r="L89" i="4"/>
  <c r="K88" i="4"/>
  <c r="L88" i="4"/>
  <c r="L87" i="4"/>
  <c r="K87" i="4"/>
  <c r="L86" i="4"/>
  <c r="K86" i="4"/>
  <c r="L85" i="4"/>
  <c r="K85" i="4"/>
  <c r="K84" i="4"/>
  <c r="L84" i="4"/>
  <c r="K83" i="4"/>
  <c r="L83" i="4"/>
  <c r="K82" i="4"/>
  <c r="L82" i="4"/>
  <c r="L81" i="4"/>
  <c r="K81" i="4"/>
  <c r="L80" i="4"/>
  <c r="K80" i="4"/>
  <c r="L79" i="4"/>
  <c r="K79" i="4"/>
  <c r="K78" i="4"/>
  <c r="L78" i="4"/>
  <c r="K77" i="4"/>
  <c r="L77" i="4"/>
  <c r="K76" i="4"/>
  <c r="L76" i="4"/>
  <c r="K75" i="4"/>
  <c r="L75" i="4"/>
  <c r="L74" i="4"/>
  <c r="K74" i="4"/>
  <c r="L73" i="4"/>
  <c r="K73" i="4"/>
  <c r="K72" i="4"/>
  <c r="L72" i="4"/>
  <c r="K71" i="4"/>
  <c r="L71" i="4"/>
  <c r="K70" i="4"/>
  <c r="L70" i="4"/>
  <c r="K69" i="4"/>
  <c r="L69" i="4"/>
  <c r="L68" i="4"/>
  <c r="K68" i="4"/>
  <c r="L67" i="4"/>
  <c r="K67" i="4"/>
  <c r="K66" i="4"/>
  <c r="L66" i="4"/>
  <c r="K65" i="4"/>
  <c r="L65" i="4"/>
  <c r="K64" i="4"/>
  <c r="L64" i="4"/>
  <c r="K63" i="4"/>
  <c r="L63" i="4"/>
  <c r="L62" i="4"/>
  <c r="K62" i="4"/>
  <c r="L61" i="4"/>
  <c r="K61" i="4"/>
  <c r="K60" i="4"/>
  <c r="L60" i="4"/>
  <c r="K59" i="4"/>
  <c r="L59" i="4"/>
  <c r="K58" i="4"/>
  <c r="L58" i="4"/>
  <c r="K57" i="4"/>
  <c r="L57" i="4"/>
  <c r="L56" i="4"/>
  <c r="K56" i="4"/>
  <c r="L55" i="4"/>
  <c r="K55" i="4"/>
  <c r="K54" i="4"/>
  <c r="L54" i="4"/>
  <c r="K53" i="4"/>
  <c r="L53" i="4"/>
  <c r="K52" i="4"/>
  <c r="L52" i="4"/>
  <c r="K51" i="4"/>
  <c r="L51" i="4"/>
  <c r="L50" i="4"/>
  <c r="K50" i="4"/>
  <c r="L49" i="4"/>
  <c r="K49" i="4"/>
  <c r="K48" i="4"/>
  <c r="L48" i="4"/>
  <c r="K47" i="4"/>
  <c r="L47" i="4"/>
  <c r="K46" i="4"/>
  <c r="L46" i="4"/>
  <c r="K45" i="4"/>
  <c r="L45" i="4"/>
  <c r="L44" i="4"/>
  <c r="K44" i="4"/>
  <c r="L43" i="4"/>
  <c r="K43" i="4"/>
  <c r="K42" i="4"/>
  <c r="L42" i="4"/>
  <c r="K41" i="4"/>
  <c r="L41" i="4"/>
  <c r="K40" i="4"/>
  <c r="L40" i="4"/>
  <c r="K39" i="4"/>
  <c r="L39" i="4"/>
  <c r="L38" i="4"/>
  <c r="K38" i="4"/>
  <c r="L37" i="4"/>
  <c r="K37" i="4"/>
  <c r="K36" i="4"/>
  <c r="L36" i="4"/>
  <c r="K35" i="4"/>
  <c r="L35" i="4"/>
  <c r="K34" i="4"/>
  <c r="L34" i="4"/>
  <c r="K33" i="4"/>
  <c r="L33" i="4"/>
  <c r="L32" i="4"/>
  <c r="K32" i="4"/>
  <c r="L31" i="4"/>
  <c r="K31" i="4"/>
  <c r="K30" i="4"/>
  <c r="L30" i="4"/>
  <c r="K29" i="4"/>
  <c r="L29" i="4"/>
  <c r="K28" i="4"/>
  <c r="L28" i="4"/>
  <c r="K27" i="4"/>
  <c r="L27" i="4"/>
  <c r="L26" i="4"/>
  <c r="K26" i="4"/>
  <c r="L25" i="4"/>
  <c r="K25" i="4"/>
  <c r="K24" i="4"/>
  <c r="L24" i="4"/>
  <c r="K23" i="4"/>
  <c r="L23" i="4"/>
  <c r="K22" i="4"/>
  <c r="L22" i="4"/>
  <c r="K21" i="4"/>
  <c r="L21" i="4"/>
  <c r="L20" i="4"/>
  <c r="K20" i="4"/>
  <c r="L19" i="4"/>
  <c r="K19" i="4"/>
  <c r="K18" i="4"/>
  <c r="L18" i="4"/>
  <c r="K17" i="4"/>
  <c r="L17" i="4"/>
  <c r="K16" i="4"/>
  <c r="L16" i="4"/>
  <c r="K15" i="4"/>
  <c r="L15" i="4"/>
  <c r="K14" i="4"/>
  <c r="L14" i="4"/>
  <c r="L13" i="4"/>
  <c r="K13" i="4"/>
  <c r="K12" i="4"/>
  <c r="L12" i="4"/>
  <c r="K11" i="4"/>
  <c r="L11" i="4"/>
  <c r="K10" i="4"/>
  <c r="L10" i="4"/>
  <c r="K9" i="4"/>
  <c r="L9" i="4"/>
  <c r="K8" i="4"/>
  <c r="L8" i="4"/>
  <c r="K7" i="4"/>
  <c r="L7" i="4"/>
  <c r="K6" i="4"/>
  <c r="L6" i="4"/>
  <c r="K5" i="4"/>
  <c r="L5" i="4"/>
  <c r="K4" i="4"/>
  <c r="L4" i="4"/>
  <c r="J501" i="2"/>
  <c r="K501" i="2"/>
  <c r="K500" i="2"/>
  <c r="J500" i="2"/>
  <c r="J499" i="2"/>
  <c r="K499" i="2"/>
  <c r="J498" i="2"/>
  <c r="K498" i="2"/>
  <c r="J497" i="2"/>
  <c r="K497" i="2"/>
  <c r="J496" i="2"/>
  <c r="K496" i="2"/>
  <c r="J495" i="2"/>
  <c r="K495" i="2"/>
  <c r="K494" i="2"/>
  <c r="J494" i="2"/>
  <c r="J493" i="2"/>
  <c r="K493" i="2"/>
  <c r="J492" i="2"/>
  <c r="K492" i="2"/>
  <c r="J491" i="2"/>
  <c r="K491" i="2"/>
  <c r="J490" i="2"/>
  <c r="K490" i="2"/>
  <c r="J489" i="2"/>
  <c r="K489" i="2"/>
  <c r="K488" i="2"/>
  <c r="J488" i="2"/>
  <c r="J487" i="2"/>
  <c r="K487" i="2"/>
  <c r="J486" i="2"/>
  <c r="K486" i="2"/>
  <c r="J485" i="2"/>
  <c r="K485" i="2"/>
  <c r="J484" i="2"/>
  <c r="K484" i="2"/>
  <c r="K483" i="2"/>
  <c r="J483" i="2"/>
  <c r="J482" i="2"/>
  <c r="K482" i="2"/>
  <c r="K481" i="2"/>
  <c r="J481" i="2"/>
  <c r="J480" i="2"/>
  <c r="K480" i="2"/>
  <c r="J479" i="2"/>
  <c r="K479" i="2"/>
  <c r="J478" i="2"/>
  <c r="K478" i="2"/>
  <c r="J477" i="2"/>
  <c r="K477" i="2"/>
  <c r="J476" i="2"/>
  <c r="K476" i="2"/>
  <c r="J475" i="2"/>
  <c r="K475" i="2"/>
  <c r="J474" i="2"/>
  <c r="K474" i="2"/>
  <c r="J473" i="2"/>
  <c r="K473" i="2"/>
  <c r="J472" i="2"/>
  <c r="K472" i="2"/>
  <c r="J471" i="2"/>
  <c r="K471" i="2"/>
  <c r="K470" i="2"/>
  <c r="J470" i="2"/>
  <c r="J469" i="2"/>
  <c r="K469" i="2"/>
  <c r="J468" i="2"/>
  <c r="K468" i="2"/>
  <c r="J467" i="2"/>
  <c r="K467" i="2"/>
  <c r="J466" i="2"/>
  <c r="K466" i="2"/>
  <c r="J465" i="2"/>
  <c r="K465" i="2"/>
  <c r="K464" i="2"/>
  <c r="J464" i="2"/>
  <c r="J463" i="2"/>
  <c r="K463" i="2"/>
  <c r="J462" i="2"/>
  <c r="K462" i="2"/>
  <c r="J461" i="2"/>
  <c r="K461" i="2"/>
  <c r="J460" i="2"/>
  <c r="K460" i="2"/>
  <c r="K459" i="2"/>
  <c r="J459" i="2"/>
  <c r="K458" i="2"/>
  <c r="J458" i="2"/>
  <c r="K457" i="2"/>
  <c r="J457" i="2"/>
  <c r="J456" i="2"/>
  <c r="K456" i="2"/>
  <c r="J455" i="2"/>
  <c r="K455" i="2"/>
  <c r="J454" i="2"/>
  <c r="K454" i="2"/>
  <c r="J453" i="2"/>
  <c r="K453" i="2"/>
  <c r="J452" i="2"/>
  <c r="K452" i="2"/>
  <c r="J451" i="2"/>
  <c r="K451" i="2"/>
  <c r="J450" i="2"/>
  <c r="K450" i="2"/>
  <c r="J449" i="2"/>
  <c r="K449" i="2"/>
  <c r="J448" i="2"/>
  <c r="K448" i="2"/>
  <c r="J447" i="2"/>
  <c r="K447" i="2"/>
  <c r="K446" i="2"/>
  <c r="J446" i="2"/>
  <c r="J445" i="2"/>
  <c r="K445" i="2"/>
  <c r="J444" i="2"/>
  <c r="K444" i="2"/>
  <c r="J443" i="2"/>
  <c r="K443" i="2"/>
  <c r="J442" i="2"/>
  <c r="K442" i="2"/>
  <c r="J441" i="2"/>
  <c r="K441" i="2"/>
  <c r="J440" i="2"/>
  <c r="K440" i="2"/>
  <c r="J439" i="2"/>
  <c r="K439" i="2"/>
  <c r="J438" i="2"/>
  <c r="K438" i="2"/>
  <c r="J437" i="2"/>
  <c r="K437" i="2"/>
  <c r="J436" i="2"/>
  <c r="K436" i="2"/>
  <c r="K435" i="2"/>
  <c r="J435" i="2"/>
  <c r="K434" i="2"/>
  <c r="J434" i="2"/>
  <c r="K433" i="2"/>
  <c r="J433" i="2"/>
  <c r="J432" i="2"/>
  <c r="K432" i="2"/>
  <c r="J431" i="2"/>
  <c r="K431" i="2"/>
  <c r="J430" i="2"/>
  <c r="K430" i="2"/>
  <c r="J429" i="2"/>
  <c r="K429" i="2"/>
  <c r="J428" i="2"/>
  <c r="K428" i="2"/>
  <c r="J427" i="2"/>
  <c r="K427" i="2"/>
  <c r="J426" i="2"/>
  <c r="K426" i="2"/>
  <c r="J425" i="2"/>
  <c r="K425" i="2"/>
  <c r="J424" i="2"/>
  <c r="K424" i="2"/>
  <c r="J423" i="2"/>
  <c r="K423" i="2"/>
  <c r="K422" i="2"/>
  <c r="J422" i="2"/>
  <c r="K421" i="2"/>
  <c r="J421" i="2"/>
  <c r="J420" i="2"/>
  <c r="K420" i="2"/>
  <c r="J419" i="2"/>
  <c r="K419" i="2"/>
  <c r="J418" i="2"/>
  <c r="K418" i="2"/>
  <c r="J417" i="2"/>
  <c r="K417" i="2"/>
  <c r="K416" i="2"/>
  <c r="J416" i="2"/>
  <c r="J415" i="2"/>
  <c r="K415" i="2"/>
  <c r="J414" i="2"/>
  <c r="K414" i="2"/>
  <c r="J413" i="2"/>
  <c r="K413" i="2"/>
  <c r="J412" i="2"/>
  <c r="K412" i="2"/>
  <c r="K411" i="2"/>
  <c r="J411" i="2"/>
  <c r="K410" i="2"/>
  <c r="J410" i="2"/>
  <c r="K409" i="2"/>
  <c r="J409" i="2"/>
  <c r="J408" i="2"/>
  <c r="K408" i="2"/>
  <c r="J407" i="2"/>
  <c r="K407" i="2"/>
  <c r="J406" i="2"/>
  <c r="K406" i="2"/>
  <c r="J405" i="2"/>
  <c r="K405" i="2"/>
  <c r="J404" i="2"/>
  <c r="K404" i="2"/>
  <c r="J403" i="2"/>
  <c r="K403" i="2"/>
  <c r="J402" i="2"/>
  <c r="K402" i="2"/>
  <c r="J401" i="2"/>
  <c r="K401" i="2"/>
  <c r="J400" i="2"/>
  <c r="K400" i="2"/>
  <c r="J399" i="2"/>
  <c r="K399" i="2"/>
  <c r="K398" i="2"/>
  <c r="J398" i="2"/>
  <c r="K397" i="2"/>
  <c r="J397" i="2"/>
  <c r="J396" i="2"/>
  <c r="K396" i="2"/>
  <c r="J395" i="2"/>
  <c r="K395" i="2"/>
  <c r="J394" i="2"/>
  <c r="K394" i="2"/>
  <c r="J393" i="2"/>
  <c r="K393" i="2"/>
  <c r="J392" i="2"/>
  <c r="K392" i="2"/>
  <c r="J391" i="2"/>
  <c r="K391" i="2"/>
  <c r="J390" i="2"/>
  <c r="K390" i="2"/>
  <c r="J389" i="2"/>
  <c r="K389" i="2"/>
  <c r="J388" i="2"/>
  <c r="K388" i="2"/>
  <c r="K387" i="2"/>
  <c r="J387" i="2"/>
  <c r="J386" i="2"/>
  <c r="K386" i="2"/>
  <c r="K385" i="2"/>
  <c r="J385" i="2"/>
  <c r="J384" i="2"/>
  <c r="K384" i="2"/>
  <c r="J383" i="2"/>
  <c r="K383" i="2"/>
  <c r="J382" i="2"/>
  <c r="K382" i="2"/>
  <c r="K381" i="2"/>
  <c r="J381" i="2"/>
  <c r="J380" i="2"/>
  <c r="K380" i="2"/>
  <c r="J379" i="2"/>
  <c r="K379" i="2"/>
  <c r="J378" i="2"/>
  <c r="K378" i="2"/>
  <c r="J377" i="2"/>
  <c r="K377" i="2"/>
  <c r="J376" i="2"/>
  <c r="K376" i="2"/>
  <c r="J375" i="2"/>
  <c r="K375" i="2"/>
  <c r="K374" i="2"/>
  <c r="J374" i="2"/>
  <c r="K373" i="2"/>
  <c r="J373" i="2"/>
  <c r="J372" i="2"/>
  <c r="K372" i="2"/>
  <c r="J371" i="2"/>
  <c r="K371" i="2"/>
  <c r="J370" i="2"/>
  <c r="K370" i="2"/>
  <c r="J369" i="2"/>
  <c r="K369" i="2"/>
  <c r="J368" i="2"/>
  <c r="K368" i="2"/>
  <c r="J367" i="2"/>
  <c r="K367" i="2"/>
  <c r="J366" i="2"/>
  <c r="K366" i="2"/>
  <c r="J365" i="2"/>
  <c r="K365" i="2"/>
  <c r="J364" i="2"/>
  <c r="K364" i="2"/>
  <c r="K363" i="2"/>
  <c r="J363" i="2"/>
  <c r="J362" i="2"/>
  <c r="K362" i="2"/>
  <c r="K361" i="2"/>
  <c r="J361" i="2"/>
  <c r="J360" i="2"/>
  <c r="K360" i="2"/>
  <c r="J359" i="2"/>
  <c r="K359" i="2"/>
  <c r="J358" i="2"/>
  <c r="K358" i="2"/>
  <c r="K357" i="2"/>
  <c r="J357" i="2"/>
  <c r="K356" i="2"/>
  <c r="J356" i="2"/>
  <c r="J355" i="2"/>
  <c r="K355" i="2"/>
  <c r="J354" i="2"/>
  <c r="K354" i="2"/>
  <c r="J353" i="2"/>
  <c r="K353" i="2"/>
  <c r="J352" i="2"/>
  <c r="K352" i="2"/>
  <c r="J351" i="2"/>
  <c r="K351" i="2"/>
  <c r="K350" i="2"/>
  <c r="J350" i="2"/>
  <c r="J349" i="2"/>
  <c r="K349" i="2"/>
  <c r="J348" i="2"/>
  <c r="K348" i="2"/>
  <c r="J347" i="2"/>
  <c r="K347" i="2"/>
  <c r="J346" i="2"/>
  <c r="K346" i="2"/>
  <c r="J345" i="2"/>
  <c r="K345" i="2"/>
  <c r="J344" i="2"/>
  <c r="K344" i="2"/>
  <c r="J343" i="2"/>
  <c r="K343" i="2"/>
  <c r="J342" i="2"/>
  <c r="K342" i="2"/>
  <c r="J341" i="2"/>
  <c r="K341" i="2"/>
  <c r="J340" i="2"/>
  <c r="K340" i="2"/>
  <c r="K339" i="2"/>
  <c r="J339" i="2"/>
  <c r="J338" i="2"/>
  <c r="K338" i="2"/>
  <c r="K337" i="2"/>
  <c r="J337" i="2"/>
  <c r="J336" i="2"/>
  <c r="K336" i="2"/>
  <c r="J335" i="2"/>
  <c r="K335" i="2"/>
  <c r="J334" i="2"/>
  <c r="K334" i="2"/>
  <c r="K333" i="2"/>
  <c r="J333" i="2"/>
  <c r="K332" i="2"/>
  <c r="J332" i="2"/>
  <c r="J331" i="2"/>
  <c r="K331" i="2"/>
  <c r="J330" i="2"/>
  <c r="K330" i="2"/>
  <c r="J329" i="2"/>
  <c r="K329" i="2"/>
  <c r="J328" i="2"/>
  <c r="K328" i="2"/>
  <c r="J327" i="2"/>
  <c r="K327" i="2"/>
  <c r="K326" i="2"/>
  <c r="J326" i="2"/>
  <c r="J325" i="2"/>
  <c r="K325" i="2"/>
  <c r="J324" i="2"/>
  <c r="K324" i="2"/>
  <c r="J323" i="2"/>
  <c r="K323" i="2"/>
  <c r="J322" i="2"/>
  <c r="K322" i="2"/>
  <c r="J321" i="2"/>
  <c r="K321" i="2"/>
  <c r="J320" i="2"/>
  <c r="K320" i="2"/>
  <c r="J319" i="2"/>
  <c r="K319" i="2"/>
  <c r="J318" i="2"/>
  <c r="K318" i="2"/>
  <c r="J317" i="2"/>
  <c r="K317" i="2"/>
  <c r="J316" i="2"/>
  <c r="K316" i="2"/>
  <c r="K315" i="2"/>
  <c r="J315" i="2"/>
  <c r="J314" i="2"/>
  <c r="K314" i="2"/>
  <c r="K313" i="2"/>
  <c r="J313" i="2"/>
  <c r="J312" i="2"/>
  <c r="K312" i="2"/>
  <c r="J311" i="2"/>
  <c r="K311" i="2"/>
  <c r="J310" i="2"/>
  <c r="K310" i="2"/>
  <c r="K309" i="2"/>
  <c r="J309" i="2"/>
  <c r="K308" i="2"/>
  <c r="J308" i="2"/>
  <c r="J307" i="2"/>
  <c r="K307" i="2"/>
  <c r="J306" i="2"/>
  <c r="K306" i="2"/>
  <c r="J305" i="2"/>
  <c r="K305" i="2"/>
  <c r="J304" i="2"/>
  <c r="K304" i="2"/>
  <c r="J303" i="2"/>
  <c r="K303" i="2"/>
  <c r="K302" i="2"/>
  <c r="J302" i="2"/>
  <c r="J301" i="2"/>
  <c r="K301" i="2"/>
  <c r="J300" i="2"/>
  <c r="K300" i="2"/>
  <c r="J299" i="2"/>
  <c r="K299" i="2"/>
  <c r="J298" i="2"/>
  <c r="K298" i="2"/>
  <c r="J297" i="2"/>
  <c r="K297" i="2"/>
  <c r="J296" i="2"/>
  <c r="K296" i="2"/>
  <c r="J295" i="2"/>
  <c r="K295" i="2"/>
  <c r="J294" i="2"/>
  <c r="K294" i="2"/>
  <c r="J293" i="2"/>
  <c r="K293" i="2"/>
  <c r="J292" i="2"/>
  <c r="K292" i="2"/>
  <c r="K291" i="2"/>
  <c r="J291" i="2"/>
  <c r="J290" i="2"/>
  <c r="K290" i="2"/>
  <c r="K289" i="2"/>
  <c r="J289" i="2"/>
  <c r="J288" i="2"/>
  <c r="K288" i="2"/>
  <c r="J287" i="2"/>
  <c r="K287" i="2"/>
  <c r="J286" i="2"/>
  <c r="K286" i="2"/>
  <c r="K285" i="2"/>
  <c r="J285" i="2"/>
  <c r="K284" i="2"/>
  <c r="J284" i="2"/>
  <c r="J283" i="2"/>
  <c r="K283" i="2"/>
  <c r="J282" i="2"/>
  <c r="K282" i="2"/>
  <c r="J281" i="2"/>
  <c r="K281" i="2"/>
  <c r="J280" i="2"/>
  <c r="K280" i="2"/>
  <c r="J279" i="2"/>
  <c r="K279" i="2"/>
  <c r="K278" i="2"/>
  <c r="J278" i="2"/>
  <c r="J277" i="2"/>
  <c r="K277" i="2"/>
  <c r="J276" i="2"/>
  <c r="K276" i="2"/>
  <c r="J275" i="2"/>
  <c r="K275" i="2"/>
  <c r="J274" i="2"/>
  <c r="K274" i="2"/>
  <c r="J273" i="2"/>
  <c r="K273" i="2"/>
  <c r="J272" i="2"/>
  <c r="K272" i="2"/>
  <c r="J271" i="2"/>
  <c r="K271" i="2"/>
  <c r="J270" i="2"/>
  <c r="K270" i="2"/>
  <c r="J269" i="2"/>
  <c r="K269" i="2"/>
  <c r="J268" i="2"/>
  <c r="K268" i="2"/>
  <c r="K267" i="2"/>
  <c r="J267" i="2"/>
  <c r="J266" i="2"/>
  <c r="K266" i="2"/>
  <c r="K265" i="2"/>
  <c r="J265" i="2"/>
  <c r="J264" i="2"/>
  <c r="K264" i="2"/>
  <c r="J263" i="2"/>
  <c r="K263" i="2"/>
  <c r="J262" i="2"/>
  <c r="K262" i="2"/>
  <c r="K261" i="2"/>
  <c r="J261" i="2"/>
  <c r="K260" i="2"/>
  <c r="J260" i="2"/>
  <c r="J259" i="2"/>
  <c r="K259" i="2"/>
  <c r="J258" i="2"/>
  <c r="K258" i="2"/>
  <c r="J257" i="2"/>
  <c r="K257" i="2"/>
  <c r="J256" i="2"/>
  <c r="K256" i="2"/>
  <c r="J255" i="2"/>
  <c r="K255" i="2"/>
  <c r="K254" i="2"/>
  <c r="J254" i="2"/>
  <c r="J253" i="2"/>
  <c r="K253" i="2"/>
  <c r="J252" i="2"/>
  <c r="K252" i="2"/>
  <c r="J251" i="2"/>
  <c r="K251" i="2"/>
  <c r="J250" i="2"/>
  <c r="K250" i="2"/>
  <c r="J249" i="2"/>
  <c r="K249" i="2"/>
  <c r="J248" i="2"/>
  <c r="K248" i="2"/>
  <c r="J247" i="2"/>
  <c r="K247" i="2"/>
  <c r="J246" i="2"/>
  <c r="K246" i="2"/>
  <c r="J245" i="2"/>
  <c r="K245" i="2"/>
  <c r="J244" i="2"/>
  <c r="K244" i="2"/>
  <c r="K243" i="2"/>
  <c r="J243" i="2"/>
  <c r="J242" i="2"/>
  <c r="K242" i="2"/>
  <c r="K241" i="2"/>
  <c r="J241" i="2"/>
  <c r="J240" i="2"/>
  <c r="K240" i="2"/>
  <c r="J239" i="2"/>
  <c r="K239" i="2"/>
  <c r="J238" i="2"/>
  <c r="K238" i="2"/>
  <c r="K237" i="2"/>
  <c r="J237" i="2"/>
  <c r="K236" i="2"/>
  <c r="J236" i="2"/>
  <c r="J235" i="2"/>
  <c r="K235" i="2"/>
  <c r="J234" i="2"/>
  <c r="K234" i="2"/>
  <c r="J233" i="2"/>
  <c r="K233" i="2"/>
  <c r="J232" i="2"/>
  <c r="K232" i="2"/>
  <c r="J231" i="2"/>
  <c r="K231" i="2"/>
  <c r="K230" i="2"/>
  <c r="J230" i="2"/>
  <c r="J229" i="2"/>
  <c r="K229" i="2"/>
  <c r="J228" i="2"/>
  <c r="K228" i="2"/>
  <c r="J227" i="2"/>
  <c r="K227" i="2"/>
  <c r="J226" i="2"/>
  <c r="K226" i="2"/>
  <c r="J225" i="2"/>
  <c r="K225" i="2"/>
  <c r="J224" i="2"/>
  <c r="K224" i="2"/>
  <c r="J223" i="2"/>
  <c r="K223" i="2"/>
  <c r="J222" i="2"/>
  <c r="K222" i="2"/>
  <c r="J221" i="2"/>
  <c r="K221" i="2"/>
  <c r="J220" i="2"/>
  <c r="K220" i="2"/>
  <c r="K219" i="2"/>
  <c r="J219" i="2"/>
  <c r="J218" i="2"/>
  <c r="K218" i="2"/>
  <c r="K217" i="2"/>
  <c r="J217" i="2"/>
  <c r="J216" i="2"/>
  <c r="K216" i="2"/>
  <c r="J215" i="2"/>
  <c r="K215" i="2"/>
  <c r="J214" i="2"/>
  <c r="K214" i="2"/>
  <c r="K213" i="2"/>
  <c r="J213" i="2"/>
  <c r="K212" i="2"/>
  <c r="J212" i="2"/>
  <c r="J211" i="2"/>
  <c r="K211" i="2"/>
  <c r="J210" i="2"/>
  <c r="K210" i="2"/>
  <c r="J209" i="2"/>
  <c r="K209" i="2"/>
  <c r="J208" i="2"/>
  <c r="K208" i="2"/>
  <c r="J207" i="2"/>
  <c r="K207" i="2"/>
  <c r="K206" i="2"/>
  <c r="J206" i="2"/>
  <c r="J205" i="2"/>
  <c r="K205" i="2"/>
  <c r="J204" i="2"/>
  <c r="K204" i="2"/>
  <c r="J203" i="2"/>
  <c r="K203" i="2"/>
  <c r="J202" i="2"/>
  <c r="K202" i="2"/>
  <c r="J201" i="2"/>
  <c r="K201" i="2"/>
  <c r="J200" i="2"/>
  <c r="K200" i="2"/>
  <c r="J199" i="2"/>
  <c r="K199" i="2"/>
  <c r="J198" i="2"/>
  <c r="K198" i="2"/>
  <c r="J197" i="2"/>
  <c r="K197" i="2"/>
  <c r="J196" i="2"/>
  <c r="K196" i="2"/>
  <c r="K195" i="2"/>
  <c r="J195" i="2"/>
  <c r="J194" i="2"/>
  <c r="K194" i="2"/>
  <c r="K193" i="2"/>
  <c r="J193" i="2"/>
  <c r="J192" i="2"/>
  <c r="K192" i="2"/>
  <c r="J191" i="2"/>
  <c r="K191" i="2"/>
  <c r="J190" i="2"/>
  <c r="K190" i="2"/>
  <c r="K189" i="2"/>
  <c r="J189" i="2"/>
  <c r="K188" i="2"/>
  <c r="J188" i="2"/>
  <c r="J187" i="2"/>
  <c r="K187" i="2"/>
  <c r="J186" i="2"/>
  <c r="K186" i="2"/>
  <c r="J185" i="2"/>
  <c r="K185" i="2"/>
  <c r="J184" i="2"/>
  <c r="K184" i="2"/>
  <c r="J183" i="2"/>
  <c r="K183" i="2"/>
  <c r="K182" i="2"/>
  <c r="J182" i="2"/>
  <c r="J181" i="2"/>
  <c r="K181" i="2"/>
  <c r="J180" i="2"/>
  <c r="K180" i="2"/>
  <c r="J179" i="2"/>
  <c r="K179" i="2"/>
  <c r="J178" i="2"/>
  <c r="K178" i="2"/>
  <c r="J177" i="2"/>
  <c r="K177" i="2"/>
  <c r="J176" i="2"/>
  <c r="K176" i="2"/>
  <c r="J175" i="2"/>
  <c r="K175" i="2"/>
  <c r="J174" i="2"/>
  <c r="K174" i="2"/>
  <c r="J173" i="2"/>
  <c r="K173" i="2"/>
  <c r="J172" i="2"/>
  <c r="K172" i="2"/>
  <c r="K171" i="2"/>
  <c r="J171" i="2"/>
  <c r="J170" i="2"/>
  <c r="K170" i="2"/>
  <c r="K169" i="2"/>
  <c r="J169" i="2"/>
  <c r="J168" i="2"/>
  <c r="K168" i="2"/>
  <c r="J167" i="2"/>
  <c r="K167" i="2"/>
  <c r="J166" i="2"/>
  <c r="K166" i="2"/>
  <c r="K165" i="2"/>
  <c r="J165" i="2"/>
  <c r="K164" i="2"/>
  <c r="J164" i="2"/>
  <c r="J163" i="2"/>
  <c r="K163" i="2"/>
  <c r="J162" i="2"/>
  <c r="K162" i="2"/>
  <c r="J161" i="2"/>
  <c r="K161" i="2"/>
  <c r="J160" i="2"/>
  <c r="K160" i="2"/>
  <c r="J159" i="2"/>
  <c r="K159" i="2"/>
  <c r="K158" i="2"/>
  <c r="J158" i="2"/>
  <c r="J157" i="2"/>
  <c r="K157" i="2"/>
  <c r="J156" i="2"/>
  <c r="K156" i="2"/>
  <c r="J155" i="2"/>
  <c r="K155" i="2"/>
  <c r="J154" i="2"/>
  <c r="K154" i="2"/>
  <c r="J153" i="2"/>
  <c r="K153" i="2"/>
  <c r="J152" i="2"/>
  <c r="K152" i="2"/>
  <c r="J151" i="2"/>
  <c r="K151" i="2"/>
  <c r="J150" i="2"/>
  <c r="K150" i="2"/>
  <c r="J149" i="2"/>
  <c r="K149" i="2"/>
  <c r="J148" i="2"/>
  <c r="K148" i="2"/>
  <c r="K147" i="2"/>
  <c r="J147" i="2"/>
  <c r="J146" i="2"/>
  <c r="K146" i="2"/>
  <c r="K145" i="2"/>
  <c r="J145" i="2"/>
  <c r="J144" i="2"/>
  <c r="K144" i="2"/>
  <c r="J143" i="2"/>
  <c r="K143" i="2"/>
  <c r="J142" i="2"/>
  <c r="K142" i="2"/>
  <c r="K141" i="2"/>
  <c r="J141" i="2"/>
  <c r="K140" i="2"/>
  <c r="J140" i="2"/>
  <c r="J139" i="2"/>
  <c r="K139" i="2"/>
  <c r="J138" i="2"/>
  <c r="K138" i="2"/>
  <c r="J137" i="2"/>
  <c r="K137" i="2"/>
  <c r="J136" i="2"/>
  <c r="K136" i="2"/>
  <c r="J135" i="2"/>
  <c r="K135" i="2"/>
  <c r="K134" i="2"/>
  <c r="J134" i="2"/>
  <c r="J133" i="2"/>
  <c r="K133" i="2"/>
  <c r="J132" i="2"/>
  <c r="K132" i="2"/>
  <c r="J131" i="2"/>
  <c r="K131" i="2"/>
  <c r="J130" i="2"/>
  <c r="K130" i="2"/>
  <c r="J129" i="2"/>
  <c r="K129" i="2"/>
  <c r="J128" i="2"/>
  <c r="K128" i="2"/>
  <c r="J127" i="2"/>
  <c r="K127" i="2"/>
  <c r="J126" i="2"/>
  <c r="K126" i="2"/>
  <c r="J125" i="2"/>
  <c r="K125" i="2"/>
  <c r="J124" i="2"/>
  <c r="K124" i="2"/>
  <c r="K123" i="2"/>
  <c r="J123" i="2"/>
  <c r="J122" i="2"/>
  <c r="K122" i="2"/>
  <c r="K121" i="2"/>
  <c r="J121" i="2"/>
  <c r="J120" i="2"/>
  <c r="K120" i="2"/>
  <c r="J119" i="2"/>
  <c r="K119" i="2"/>
  <c r="J118" i="2"/>
  <c r="K118" i="2"/>
  <c r="K117" i="2"/>
  <c r="J117" i="2"/>
  <c r="K116" i="2"/>
  <c r="J116" i="2"/>
  <c r="J115" i="2"/>
  <c r="K115" i="2"/>
  <c r="J114" i="2"/>
  <c r="K114" i="2"/>
  <c r="J113" i="2"/>
  <c r="K113" i="2"/>
  <c r="J112" i="2"/>
  <c r="K112" i="2"/>
  <c r="J111" i="2"/>
  <c r="K111" i="2"/>
  <c r="K110" i="2"/>
  <c r="J110" i="2"/>
  <c r="J109" i="2"/>
  <c r="K109" i="2"/>
  <c r="J108" i="2"/>
  <c r="K108" i="2"/>
  <c r="J107" i="2"/>
  <c r="K107" i="2"/>
  <c r="J106" i="2"/>
  <c r="K106" i="2"/>
  <c r="J105" i="2"/>
  <c r="K105" i="2"/>
  <c r="J104" i="2"/>
  <c r="K104" i="2"/>
  <c r="J103" i="2"/>
  <c r="K103" i="2"/>
  <c r="J102" i="2"/>
  <c r="K102" i="2"/>
  <c r="J101" i="2"/>
  <c r="K101" i="2"/>
  <c r="J100" i="2"/>
  <c r="K100" i="2"/>
  <c r="K99" i="2"/>
  <c r="J99" i="2"/>
  <c r="J98" i="2"/>
  <c r="K98" i="2"/>
  <c r="K97" i="2"/>
  <c r="J97" i="2"/>
  <c r="J96" i="2"/>
  <c r="K96" i="2"/>
  <c r="J95" i="2"/>
  <c r="K95" i="2"/>
  <c r="J94" i="2"/>
  <c r="K94" i="2"/>
  <c r="K93" i="2"/>
  <c r="J93" i="2"/>
  <c r="K92" i="2"/>
  <c r="J92" i="2"/>
  <c r="J91" i="2"/>
  <c r="K91" i="2"/>
  <c r="J90" i="2"/>
  <c r="K90" i="2"/>
  <c r="J89" i="2"/>
  <c r="K89" i="2"/>
  <c r="J88" i="2"/>
  <c r="K88" i="2"/>
  <c r="J87" i="2"/>
  <c r="K87" i="2"/>
  <c r="K86" i="2"/>
  <c r="J86" i="2"/>
  <c r="J85" i="2"/>
  <c r="K85" i="2"/>
  <c r="J84" i="2"/>
  <c r="K84" i="2"/>
  <c r="J83" i="2"/>
  <c r="K83" i="2"/>
  <c r="J82" i="2"/>
  <c r="K82" i="2"/>
  <c r="J81" i="2"/>
  <c r="K81" i="2"/>
  <c r="J80" i="2"/>
  <c r="K80" i="2"/>
  <c r="J79" i="2"/>
  <c r="K79" i="2"/>
  <c r="K78" i="2"/>
  <c r="J78" i="2"/>
  <c r="K77" i="2"/>
  <c r="J77" i="2"/>
  <c r="J76" i="2"/>
  <c r="K76" i="2"/>
  <c r="J75" i="2"/>
  <c r="K75" i="2"/>
  <c r="J74" i="2"/>
  <c r="K74" i="2"/>
  <c r="J73" i="2"/>
  <c r="K73" i="2"/>
  <c r="K72" i="2"/>
  <c r="J72" i="2"/>
  <c r="K71" i="2"/>
  <c r="J71" i="2"/>
  <c r="J70" i="2"/>
  <c r="K70" i="2"/>
  <c r="J69" i="2"/>
  <c r="K69" i="2"/>
  <c r="J68" i="2"/>
  <c r="K68" i="2"/>
  <c r="J67" i="2"/>
  <c r="K67" i="2"/>
  <c r="K66" i="2"/>
  <c r="J66" i="2"/>
  <c r="K65" i="2"/>
  <c r="J65" i="2"/>
  <c r="J64" i="2"/>
  <c r="K64" i="2"/>
  <c r="J63" i="2"/>
  <c r="K63" i="2"/>
  <c r="J62" i="2"/>
  <c r="K62" i="2"/>
  <c r="J61" i="2"/>
  <c r="K61" i="2"/>
  <c r="K60" i="2"/>
  <c r="J60" i="2"/>
  <c r="K59" i="2"/>
  <c r="J59" i="2"/>
  <c r="J58" i="2"/>
  <c r="K58" i="2"/>
  <c r="J57" i="2"/>
  <c r="K57" i="2"/>
  <c r="J56" i="2"/>
  <c r="K56" i="2"/>
  <c r="J55" i="2"/>
  <c r="K55" i="2"/>
  <c r="K54" i="2"/>
  <c r="J54" i="2"/>
  <c r="K53" i="2"/>
  <c r="J53" i="2"/>
  <c r="J52" i="2"/>
  <c r="K52" i="2"/>
  <c r="J51" i="2"/>
  <c r="K51" i="2"/>
  <c r="J50" i="2"/>
  <c r="K50" i="2"/>
  <c r="J49" i="2"/>
  <c r="K49" i="2"/>
  <c r="K48" i="2"/>
  <c r="J48" i="2"/>
  <c r="K47" i="2"/>
  <c r="J47" i="2"/>
  <c r="J46" i="2"/>
  <c r="K46" i="2"/>
  <c r="J45" i="2"/>
  <c r="K45" i="2"/>
  <c r="J44" i="2"/>
  <c r="K44" i="2"/>
  <c r="J43" i="2"/>
  <c r="K43" i="2"/>
  <c r="K42" i="2"/>
  <c r="J42" i="2"/>
  <c r="K41" i="2"/>
  <c r="J41" i="2"/>
  <c r="J40" i="2"/>
  <c r="K40" i="2"/>
  <c r="J39" i="2"/>
  <c r="K39" i="2"/>
  <c r="J38" i="2"/>
  <c r="K38" i="2"/>
  <c r="J37" i="2"/>
  <c r="K37" i="2"/>
  <c r="K36" i="2"/>
  <c r="J36" i="2"/>
  <c r="K35" i="2"/>
  <c r="J35" i="2"/>
  <c r="J34" i="2"/>
  <c r="K34" i="2"/>
  <c r="J33" i="2"/>
  <c r="K33" i="2"/>
  <c r="J32" i="2"/>
  <c r="K32" i="2"/>
  <c r="J31" i="2"/>
  <c r="K31" i="2"/>
  <c r="K30" i="2"/>
  <c r="J30" i="2"/>
  <c r="K29" i="2"/>
  <c r="J29" i="2"/>
  <c r="J28" i="2"/>
  <c r="J27" i="2"/>
  <c r="J26" i="2"/>
  <c r="J25" i="2"/>
  <c r="J24" i="2"/>
  <c r="J23" i="2"/>
  <c r="J22" i="2"/>
  <c r="J21" i="2"/>
  <c r="J20" i="2"/>
  <c r="J19" i="2"/>
  <c r="K19" i="2"/>
  <c r="J18" i="2"/>
  <c r="J17" i="2"/>
  <c r="J16" i="2"/>
  <c r="J15" i="2"/>
  <c r="J14" i="2"/>
  <c r="J13" i="2"/>
  <c r="J12" i="2"/>
  <c r="J11" i="2"/>
  <c r="J10" i="2"/>
  <c r="J9" i="2"/>
  <c r="J8" i="2"/>
  <c r="J7" i="2"/>
  <c r="K7" i="2"/>
  <c r="J6" i="2"/>
  <c r="J5" i="2"/>
  <c r="J4" i="2"/>
  <c r="J3" i="2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N203" i="3"/>
  <c r="O203" i="3"/>
  <c r="K203" i="3"/>
  <c r="J203" i="3"/>
  <c r="N202" i="3"/>
  <c r="O202" i="3"/>
  <c r="K202" i="3"/>
  <c r="J202" i="3"/>
  <c r="O201" i="3"/>
  <c r="N201" i="3"/>
  <c r="K201" i="3"/>
  <c r="J201" i="3"/>
  <c r="N200" i="3"/>
  <c r="O200" i="3"/>
  <c r="K200" i="3"/>
  <c r="J200" i="3"/>
  <c r="N199" i="3"/>
  <c r="O199" i="3"/>
  <c r="K199" i="3"/>
  <c r="J199" i="3"/>
  <c r="O198" i="3"/>
  <c r="N198" i="3"/>
  <c r="K198" i="3"/>
  <c r="J198" i="3"/>
  <c r="N197" i="3"/>
  <c r="O197" i="3"/>
  <c r="K197" i="3"/>
  <c r="J197" i="3"/>
  <c r="N196" i="3"/>
  <c r="O196" i="3"/>
  <c r="K196" i="3"/>
  <c r="J196" i="3"/>
  <c r="O195" i="3"/>
  <c r="N195" i="3"/>
  <c r="K195" i="3"/>
  <c r="J195" i="3"/>
  <c r="N194" i="3"/>
  <c r="O194" i="3"/>
  <c r="K194" i="3"/>
  <c r="J194" i="3"/>
  <c r="N193" i="3"/>
  <c r="O193" i="3"/>
  <c r="K193" i="3"/>
  <c r="J193" i="3"/>
  <c r="O192" i="3"/>
  <c r="N192" i="3"/>
  <c r="K192" i="3"/>
  <c r="J192" i="3"/>
  <c r="N191" i="3"/>
  <c r="O191" i="3"/>
  <c r="K191" i="3"/>
  <c r="J191" i="3"/>
  <c r="N190" i="3"/>
  <c r="O190" i="3"/>
  <c r="K190" i="3"/>
  <c r="J190" i="3"/>
  <c r="O189" i="3"/>
  <c r="N189" i="3"/>
  <c r="K189" i="3"/>
  <c r="J189" i="3"/>
  <c r="N188" i="3"/>
  <c r="O188" i="3"/>
  <c r="K188" i="3"/>
  <c r="J188" i="3"/>
  <c r="N187" i="3"/>
  <c r="O187" i="3"/>
  <c r="K187" i="3"/>
  <c r="J187" i="3"/>
  <c r="O186" i="3"/>
  <c r="N186" i="3"/>
  <c r="K186" i="3"/>
  <c r="J186" i="3"/>
  <c r="N185" i="3"/>
  <c r="O185" i="3"/>
  <c r="K185" i="3"/>
  <c r="J185" i="3"/>
  <c r="N184" i="3"/>
  <c r="O184" i="3"/>
  <c r="K184" i="3"/>
  <c r="J184" i="3"/>
  <c r="O183" i="3"/>
  <c r="N183" i="3"/>
  <c r="K183" i="3"/>
  <c r="J183" i="3"/>
  <c r="N182" i="3"/>
  <c r="O182" i="3"/>
  <c r="K182" i="3"/>
  <c r="J182" i="3"/>
  <c r="N181" i="3"/>
  <c r="O181" i="3"/>
  <c r="K181" i="3"/>
  <c r="J181" i="3"/>
  <c r="O180" i="3"/>
  <c r="N180" i="3"/>
  <c r="K180" i="3"/>
  <c r="J180" i="3"/>
  <c r="N179" i="3"/>
  <c r="O179" i="3"/>
  <c r="K179" i="3"/>
  <c r="J179" i="3"/>
  <c r="N178" i="3"/>
  <c r="O178" i="3"/>
  <c r="K178" i="3"/>
  <c r="J178" i="3"/>
  <c r="O177" i="3"/>
  <c r="N177" i="3"/>
  <c r="K177" i="3"/>
  <c r="J177" i="3"/>
  <c r="N176" i="3"/>
  <c r="O176" i="3"/>
  <c r="K176" i="3"/>
  <c r="J176" i="3"/>
  <c r="N175" i="3"/>
  <c r="O175" i="3"/>
  <c r="K175" i="3"/>
  <c r="J175" i="3"/>
  <c r="O174" i="3"/>
  <c r="N174" i="3"/>
  <c r="K174" i="3"/>
  <c r="J174" i="3"/>
  <c r="N173" i="3"/>
  <c r="O173" i="3"/>
  <c r="K173" i="3"/>
  <c r="J173" i="3"/>
  <c r="N172" i="3"/>
  <c r="O172" i="3"/>
  <c r="K172" i="3"/>
  <c r="J172" i="3"/>
  <c r="O171" i="3"/>
  <c r="N171" i="3"/>
  <c r="K171" i="3"/>
  <c r="J171" i="3"/>
  <c r="N170" i="3"/>
  <c r="O170" i="3"/>
  <c r="K170" i="3"/>
  <c r="J170" i="3"/>
  <c r="N169" i="3"/>
  <c r="O169" i="3"/>
  <c r="K169" i="3"/>
  <c r="J169" i="3"/>
  <c r="O168" i="3"/>
  <c r="N168" i="3"/>
  <c r="K168" i="3"/>
  <c r="J168" i="3"/>
  <c r="N167" i="3"/>
  <c r="O167" i="3"/>
  <c r="K167" i="3"/>
  <c r="J167" i="3"/>
  <c r="N166" i="3"/>
  <c r="O166" i="3"/>
  <c r="K166" i="3"/>
  <c r="J166" i="3"/>
  <c r="O165" i="3"/>
  <c r="N165" i="3"/>
  <c r="K165" i="3"/>
  <c r="J165" i="3"/>
  <c r="N164" i="3"/>
  <c r="O164" i="3"/>
  <c r="K164" i="3"/>
  <c r="J164" i="3"/>
  <c r="N163" i="3"/>
  <c r="O163" i="3"/>
  <c r="K163" i="3"/>
  <c r="J163" i="3"/>
  <c r="O162" i="3"/>
  <c r="N162" i="3"/>
  <c r="K162" i="3"/>
  <c r="J162" i="3"/>
  <c r="N161" i="3"/>
  <c r="O161" i="3"/>
  <c r="K161" i="3"/>
  <c r="J161" i="3"/>
  <c r="N160" i="3"/>
  <c r="O160" i="3"/>
  <c r="K160" i="3"/>
  <c r="J160" i="3"/>
  <c r="O159" i="3"/>
  <c r="N159" i="3"/>
  <c r="K159" i="3"/>
  <c r="J159" i="3"/>
  <c r="N158" i="3"/>
  <c r="O158" i="3"/>
  <c r="K158" i="3"/>
  <c r="J158" i="3"/>
  <c r="N157" i="3"/>
  <c r="O157" i="3"/>
  <c r="K157" i="3"/>
  <c r="J157" i="3"/>
  <c r="O156" i="3"/>
  <c r="N156" i="3"/>
  <c r="K156" i="3"/>
  <c r="J156" i="3"/>
  <c r="N155" i="3"/>
  <c r="O155" i="3"/>
  <c r="K155" i="3"/>
  <c r="J155" i="3"/>
  <c r="N154" i="3"/>
  <c r="O154" i="3"/>
  <c r="K154" i="3"/>
  <c r="J154" i="3"/>
  <c r="O153" i="3"/>
  <c r="N153" i="3"/>
  <c r="K153" i="3"/>
  <c r="J153" i="3"/>
  <c r="N152" i="3"/>
  <c r="O152" i="3"/>
  <c r="K152" i="3"/>
  <c r="J152" i="3"/>
  <c r="N151" i="3"/>
  <c r="O151" i="3"/>
  <c r="K151" i="3"/>
  <c r="J151" i="3"/>
  <c r="O150" i="3"/>
  <c r="N150" i="3"/>
  <c r="K150" i="3"/>
  <c r="J150" i="3"/>
  <c r="N149" i="3"/>
  <c r="O149" i="3"/>
  <c r="K149" i="3"/>
  <c r="J149" i="3"/>
  <c r="N148" i="3"/>
  <c r="O148" i="3"/>
  <c r="K148" i="3"/>
  <c r="J148" i="3"/>
  <c r="O147" i="3"/>
  <c r="N147" i="3"/>
  <c r="K147" i="3"/>
  <c r="J147" i="3"/>
  <c r="N146" i="3"/>
  <c r="O146" i="3"/>
  <c r="K146" i="3"/>
  <c r="J146" i="3"/>
  <c r="N145" i="3"/>
  <c r="O145" i="3"/>
  <c r="K145" i="3"/>
  <c r="J145" i="3"/>
  <c r="O144" i="3"/>
  <c r="N144" i="3"/>
  <c r="K144" i="3"/>
  <c r="J144" i="3"/>
  <c r="N143" i="3"/>
  <c r="O143" i="3"/>
  <c r="K143" i="3"/>
  <c r="J143" i="3"/>
  <c r="N142" i="3"/>
  <c r="O142" i="3"/>
  <c r="K142" i="3"/>
  <c r="J142" i="3"/>
  <c r="O141" i="3"/>
  <c r="N141" i="3"/>
  <c r="K141" i="3"/>
  <c r="J141" i="3"/>
  <c r="N140" i="3"/>
  <c r="O140" i="3"/>
  <c r="K140" i="3"/>
  <c r="J140" i="3"/>
  <c r="N139" i="3"/>
  <c r="O139" i="3"/>
  <c r="K139" i="3"/>
  <c r="J139" i="3"/>
  <c r="O138" i="3"/>
  <c r="N138" i="3"/>
  <c r="K138" i="3"/>
  <c r="J138" i="3"/>
  <c r="N137" i="3"/>
  <c r="O137" i="3"/>
  <c r="K137" i="3"/>
  <c r="J137" i="3"/>
  <c r="N136" i="3"/>
  <c r="O136" i="3"/>
  <c r="K136" i="3"/>
  <c r="J136" i="3"/>
  <c r="O135" i="3"/>
  <c r="N135" i="3"/>
  <c r="K135" i="3"/>
  <c r="J135" i="3"/>
  <c r="N134" i="3"/>
  <c r="O134" i="3"/>
  <c r="K134" i="3"/>
  <c r="J134" i="3"/>
  <c r="N133" i="3"/>
  <c r="O133" i="3"/>
  <c r="K133" i="3"/>
  <c r="J133" i="3"/>
  <c r="O132" i="3"/>
  <c r="N132" i="3"/>
  <c r="K132" i="3"/>
  <c r="J132" i="3"/>
  <c r="N131" i="3"/>
  <c r="O131" i="3"/>
  <c r="K131" i="3"/>
  <c r="J131" i="3"/>
  <c r="N130" i="3"/>
  <c r="O130" i="3"/>
  <c r="K130" i="3"/>
  <c r="J130" i="3"/>
  <c r="O129" i="3"/>
  <c r="N129" i="3"/>
  <c r="K129" i="3"/>
  <c r="J129" i="3"/>
  <c r="N128" i="3"/>
  <c r="O128" i="3"/>
  <c r="K128" i="3"/>
  <c r="J128" i="3"/>
  <c r="N127" i="3"/>
  <c r="O127" i="3"/>
  <c r="K127" i="3"/>
  <c r="J127" i="3"/>
  <c r="O126" i="3"/>
  <c r="N126" i="3"/>
  <c r="K126" i="3"/>
  <c r="J126" i="3"/>
  <c r="N125" i="3"/>
  <c r="O125" i="3"/>
  <c r="K125" i="3"/>
  <c r="J125" i="3"/>
  <c r="N124" i="3"/>
  <c r="O124" i="3"/>
  <c r="K124" i="3"/>
  <c r="J124" i="3"/>
  <c r="O123" i="3"/>
  <c r="N123" i="3"/>
  <c r="K123" i="3"/>
  <c r="J123" i="3"/>
  <c r="N122" i="3"/>
  <c r="O122" i="3"/>
  <c r="K122" i="3"/>
  <c r="J122" i="3"/>
  <c r="N121" i="3"/>
  <c r="O121" i="3"/>
  <c r="K121" i="3"/>
  <c r="J121" i="3"/>
  <c r="O120" i="3"/>
  <c r="N120" i="3"/>
  <c r="K120" i="3"/>
  <c r="J120" i="3"/>
  <c r="N119" i="3"/>
  <c r="O119" i="3"/>
  <c r="K119" i="3"/>
  <c r="J119" i="3"/>
  <c r="N118" i="3"/>
  <c r="O118" i="3"/>
  <c r="K118" i="3"/>
  <c r="J118" i="3"/>
  <c r="O117" i="3"/>
  <c r="N117" i="3"/>
  <c r="K117" i="3"/>
  <c r="J117" i="3"/>
  <c r="N116" i="3"/>
  <c r="O116" i="3"/>
  <c r="K116" i="3"/>
  <c r="J116" i="3"/>
  <c r="N115" i="3"/>
  <c r="O115" i="3"/>
  <c r="K115" i="3"/>
  <c r="J115" i="3"/>
  <c r="O114" i="3"/>
  <c r="N114" i="3"/>
  <c r="K114" i="3"/>
  <c r="J114" i="3"/>
  <c r="N113" i="3"/>
  <c r="O113" i="3"/>
  <c r="K113" i="3"/>
  <c r="J113" i="3"/>
  <c r="N112" i="3"/>
  <c r="O112" i="3"/>
  <c r="K112" i="3"/>
  <c r="J112" i="3"/>
  <c r="O111" i="3"/>
  <c r="N111" i="3"/>
  <c r="K111" i="3"/>
  <c r="J111" i="3"/>
  <c r="N110" i="3"/>
  <c r="O110" i="3"/>
  <c r="K110" i="3"/>
  <c r="J110" i="3"/>
  <c r="N109" i="3"/>
  <c r="O109" i="3"/>
  <c r="K109" i="3"/>
  <c r="J109" i="3"/>
  <c r="O108" i="3"/>
  <c r="N108" i="3"/>
  <c r="K108" i="3"/>
  <c r="J108" i="3"/>
  <c r="N107" i="3"/>
  <c r="O107" i="3"/>
  <c r="K107" i="3"/>
  <c r="J107" i="3"/>
  <c r="N106" i="3"/>
  <c r="O106" i="3"/>
  <c r="K106" i="3"/>
  <c r="J106" i="3"/>
  <c r="O105" i="3"/>
  <c r="N105" i="3"/>
  <c r="K105" i="3"/>
  <c r="J105" i="3"/>
  <c r="N104" i="3"/>
  <c r="O104" i="3"/>
  <c r="K104" i="3"/>
  <c r="J104" i="3"/>
  <c r="N103" i="3"/>
  <c r="O103" i="3"/>
  <c r="K103" i="3"/>
  <c r="J103" i="3"/>
  <c r="O102" i="3"/>
  <c r="N102" i="3"/>
  <c r="K102" i="3"/>
  <c r="J102" i="3"/>
  <c r="N101" i="3"/>
  <c r="O101" i="3"/>
  <c r="K101" i="3"/>
  <c r="J101" i="3"/>
  <c r="N100" i="3"/>
  <c r="O100" i="3"/>
  <c r="K100" i="3"/>
  <c r="J100" i="3"/>
  <c r="O99" i="3"/>
  <c r="N99" i="3"/>
  <c r="K99" i="3"/>
  <c r="J99" i="3"/>
  <c r="N98" i="3"/>
  <c r="O98" i="3"/>
  <c r="K98" i="3"/>
  <c r="J98" i="3"/>
  <c r="N97" i="3"/>
  <c r="O97" i="3"/>
  <c r="K97" i="3"/>
  <c r="J97" i="3"/>
  <c r="O96" i="3"/>
  <c r="N96" i="3"/>
  <c r="K96" i="3"/>
  <c r="J96" i="3"/>
  <c r="N95" i="3"/>
  <c r="O95" i="3"/>
  <c r="K95" i="3"/>
  <c r="J95" i="3"/>
  <c r="N94" i="3"/>
  <c r="O94" i="3"/>
  <c r="K94" i="3"/>
  <c r="J94" i="3"/>
  <c r="O93" i="3"/>
  <c r="N93" i="3"/>
  <c r="K93" i="3"/>
  <c r="J93" i="3"/>
  <c r="N92" i="3"/>
  <c r="O92" i="3"/>
  <c r="K92" i="3"/>
  <c r="J92" i="3"/>
  <c r="N91" i="3"/>
  <c r="O91" i="3"/>
  <c r="K91" i="3"/>
  <c r="J91" i="3"/>
  <c r="O90" i="3"/>
  <c r="N90" i="3"/>
  <c r="K90" i="3"/>
  <c r="J90" i="3"/>
  <c r="N89" i="3"/>
  <c r="O89" i="3"/>
  <c r="K89" i="3"/>
  <c r="J89" i="3"/>
  <c r="N88" i="3"/>
  <c r="O88" i="3"/>
  <c r="K88" i="3"/>
  <c r="J88" i="3"/>
  <c r="O87" i="3"/>
  <c r="N87" i="3"/>
  <c r="K87" i="3"/>
  <c r="J87" i="3"/>
  <c r="N86" i="3"/>
  <c r="O86" i="3"/>
  <c r="K86" i="3"/>
  <c r="J86" i="3"/>
  <c r="N85" i="3"/>
  <c r="O85" i="3"/>
  <c r="K85" i="3"/>
  <c r="J85" i="3"/>
  <c r="O84" i="3"/>
  <c r="N84" i="3"/>
  <c r="K84" i="3"/>
  <c r="J84" i="3"/>
  <c r="N83" i="3"/>
  <c r="O83" i="3"/>
  <c r="K83" i="3"/>
  <c r="J83" i="3"/>
  <c r="N82" i="3"/>
  <c r="O82" i="3"/>
  <c r="K82" i="3"/>
  <c r="J82" i="3"/>
  <c r="O81" i="3"/>
  <c r="N81" i="3"/>
  <c r="K81" i="3"/>
  <c r="J81" i="3"/>
  <c r="N80" i="3"/>
  <c r="O80" i="3"/>
  <c r="K80" i="3"/>
  <c r="J80" i="3"/>
  <c r="N79" i="3"/>
  <c r="O79" i="3"/>
  <c r="K79" i="3"/>
  <c r="J79" i="3"/>
  <c r="O78" i="3"/>
  <c r="N78" i="3"/>
  <c r="K78" i="3"/>
  <c r="J78" i="3"/>
  <c r="N77" i="3"/>
  <c r="O77" i="3"/>
  <c r="K77" i="3"/>
  <c r="J77" i="3"/>
  <c r="N76" i="3"/>
  <c r="O76" i="3"/>
  <c r="K76" i="3"/>
  <c r="J76" i="3"/>
  <c r="O75" i="3"/>
  <c r="N75" i="3"/>
  <c r="K75" i="3"/>
  <c r="J75" i="3"/>
  <c r="N74" i="3"/>
  <c r="O74" i="3"/>
  <c r="K74" i="3"/>
  <c r="J74" i="3"/>
  <c r="N73" i="3"/>
  <c r="O73" i="3"/>
  <c r="K73" i="3"/>
  <c r="J73" i="3"/>
  <c r="O72" i="3"/>
  <c r="N72" i="3"/>
  <c r="K72" i="3"/>
  <c r="J72" i="3"/>
  <c r="N71" i="3"/>
  <c r="O71" i="3"/>
  <c r="K71" i="3"/>
  <c r="J71" i="3"/>
  <c r="N70" i="3"/>
  <c r="O70" i="3"/>
  <c r="K70" i="3"/>
  <c r="J70" i="3"/>
  <c r="O69" i="3"/>
  <c r="N69" i="3"/>
  <c r="K69" i="3"/>
  <c r="J69" i="3"/>
  <c r="N68" i="3"/>
  <c r="O68" i="3"/>
  <c r="K68" i="3"/>
  <c r="J68" i="3"/>
  <c r="N67" i="3"/>
  <c r="O67" i="3"/>
  <c r="K67" i="3"/>
  <c r="J67" i="3"/>
  <c r="O66" i="3"/>
  <c r="N66" i="3"/>
  <c r="K66" i="3"/>
  <c r="J66" i="3"/>
  <c r="N65" i="3"/>
  <c r="O65" i="3"/>
  <c r="K65" i="3"/>
  <c r="J65" i="3"/>
  <c r="N64" i="3"/>
  <c r="O64" i="3"/>
  <c r="K64" i="3"/>
  <c r="J64" i="3"/>
  <c r="O63" i="3"/>
  <c r="N63" i="3"/>
  <c r="K63" i="3"/>
  <c r="J63" i="3"/>
  <c r="N62" i="3"/>
  <c r="O62" i="3"/>
  <c r="K62" i="3"/>
  <c r="J62" i="3"/>
  <c r="N61" i="3"/>
  <c r="O61" i="3"/>
  <c r="K61" i="3"/>
  <c r="J61" i="3"/>
  <c r="O60" i="3"/>
  <c r="N60" i="3"/>
  <c r="K60" i="3"/>
  <c r="J60" i="3"/>
  <c r="N59" i="3"/>
  <c r="O59" i="3"/>
  <c r="K59" i="3"/>
  <c r="J59" i="3"/>
  <c r="N58" i="3"/>
  <c r="O58" i="3"/>
  <c r="K58" i="3"/>
  <c r="J58" i="3"/>
  <c r="O57" i="3"/>
  <c r="N57" i="3"/>
  <c r="K57" i="3"/>
  <c r="J57" i="3"/>
  <c r="N56" i="3"/>
  <c r="O56" i="3"/>
  <c r="K56" i="3"/>
  <c r="J56" i="3"/>
  <c r="N55" i="3"/>
  <c r="O55" i="3"/>
  <c r="K55" i="3"/>
  <c r="J55" i="3"/>
  <c r="O54" i="3"/>
  <c r="N54" i="3"/>
  <c r="K54" i="3"/>
  <c r="J54" i="3"/>
  <c r="N53" i="3"/>
  <c r="O53" i="3"/>
  <c r="K53" i="3"/>
  <c r="J53" i="3"/>
  <c r="N52" i="3"/>
  <c r="O52" i="3"/>
  <c r="K52" i="3"/>
  <c r="J52" i="3"/>
  <c r="O51" i="3"/>
  <c r="N51" i="3"/>
  <c r="K51" i="3"/>
  <c r="J51" i="3"/>
  <c r="N50" i="3"/>
  <c r="O50" i="3"/>
  <c r="K50" i="3"/>
  <c r="J50" i="3"/>
  <c r="N49" i="3"/>
  <c r="O49" i="3"/>
  <c r="K49" i="3"/>
  <c r="J49" i="3"/>
  <c r="O48" i="3"/>
  <c r="N48" i="3"/>
  <c r="K48" i="3"/>
  <c r="J48" i="3"/>
  <c r="N47" i="3"/>
  <c r="O47" i="3"/>
  <c r="K47" i="3"/>
  <c r="J47" i="3"/>
  <c r="N46" i="3"/>
  <c r="O46" i="3"/>
  <c r="K46" i="3"/>
  <c r="J46" i="3"/>
  <c r="O45" i="3"/>
  <c r="N45" i="3"/>
  <c r="K45" i="3"/>
  <c r="J45" i="3"/>
  <c r="N44" i="3"/>
  <c r="O44" i="3"/>
  <c r="K44" i="3"/>
  <c r="J44" i="3"/>
  <c r="N43" i="3"/>
  <c r="O43" i="3"/>
  <c r="K43" i="3"/>
  <c r="J43" i="3"/>
  <c r="O42" i="3"/>
  <c r="N42" i="3"/>
  <c r="K42" i="3"/>
  <c r="J42" i="3"/>
  <c r="N41" i="3"/>
  <c r="O41" i="3"/>
  <c r="K41" i="3"/>
  <c r="J41" i="3"/>
  <c r="N40" i="3"/>
  <c r="O40" i="3"/>
  <c r="K40" i="3"/>
  <c r="J40" i="3"/>
  <c r="O39" i="3"/>
  <c r="N39" i="3"/>
  <c r="K39" i="3"/>
  <c r="J39" i="3"/>
  <c r="N38" i="3"/>
  <c r="O38" i="3"/>
  <c r="K38" i="3"/>
  <c r="J38" i="3"/>
  <c r="N37" i="3"/>
  <c r="O37" i="3"/>
  <c r="K37" i="3"/>
  <c r="J37" i="3"/>
  <c r="O36" i="3"/>
  <c r="N36" i="3"/>
  <c r="K36" i="3"/>
  <c r="J36" i="3"/>
  <c r="N35" i="3"/>
  <c r="O35" i="3"/>
  <c r="K35" i="3"/>
  <c r="J35" i="3"/>
  <c r="N34" i="3"/>
  <c r="O34" i="3"/>
  <c r="K34" i="3"/>
  <c r="J34" i="3"/>
  <c r="O33" i="3"/>
  <c r="N33" i="3"/>
  <c r="K33" i="3"/>
  <c r="J33" i="3"/>
  <c r="N32" i="3"/>
  <c r="O32" i="3"/>
  <c r="K32" i="3"/>
  <c r="J32" i="3"/>
  <c r="N31" i="3"/>
  <c r="O31" i="3"/>
  <c r="K31" i="3"/>
  <c r="J31" i="3"/>
  <c r="O30" i="3"/>
  <c r="N30" i="3"/>
  <c r="K30" i="3"/>
  <c r="J30" i="3"/>
  <c r="N29" i="3"/>
  <c r="O29" i="3"/>
  <c r="K29" i="3"/>
  <c r="J29" i="3"/>
  <c r="N28" i="3"/>
  <c r="O28" i="3"/>
  <c r="K28" i="3"/>
  <c r="J28" i="3"/>
  <c r="O27" i="3"/>
  <c r="N27" i="3"/>
  <c r="K27" i="3"/>
  <c r="J27" i="3"/>
  <c r="N26" i="3"/>
  <c r="O26" i="3"/>
  <c r="K26" i="3"/>
  <c r="J26" i="3"/>
  <c r="N25" i="3"/>
  <c r="O25" i="3"/>
  <c r="K25" i="3"/>
  <c r="J25" i="3"/>
  <c r="O24" i="3"/>
  <c r="N24" i="3"/>
  <c r="K24" i="3"/>
  <c r="J24" i="3"/>
  <c r="N23" i="3"/>
  <c r="O23" i="3"/>
  <c r="K23" i="3"/>
  <c r="J23" i="3"/>
  <c r="N22" i="3"/>
  <c r="O22" i="3"/>
  <c r="K22" i="3"/>
  <c r="J22" i="3"/>
  <c r="O21" i="3"/>
  <c r="N21" i="3"/>
  <c r="K21" i="3"/>
  <c r="J21" i="3"/>
  <c r="N20" i="3"/>
  <c r="O20" i="3"/>
  <c r="K20" i="3"/>
  <c r="J20" i="3"/>
  <c r="N19" i="3"/>
  <c r="O19" i="3"/>
  <c r="K19" i="3"/>
  <c r="J19" i="3"/>
  <c r="O18" i="3"/>
  <c r="N18" i="3"/>
  <c r="K18" i="3"/>
  <c r="J18" i="3"/>
  <c r="N17" i="3"/>
  <c r="O17" i="3"/>
  <c r="K17" i="3"/>
  <c r="J17" i="3"/>
  <c r="N16" i="3"/>
  <c r="O16" i="3"/>
  <c r="K16" i="3"/>
  <c r="J16" i="3"/>
  <c r="O15" i="3"/>
  <c r="N15" i="3"/>
  <c r="K15" i="3"/>
  <c r="J15" i="3"/>
  <c r="N14" i="3"/>
  <c r="O14" i="3"/>
  <c r="K14" i="3"/>
  <c r="J14" i="3"/>
  <c r="N13" i="3"/>
  <c r="O13" i="3"/>
  <c r="K13" i="3"/>
  <c r="J13" i="3"/>
  <c r="O12" i="3"/>
  <c r="N12" i="3"/>
  <c r="K12" i="3"/>
  <c r="J12" i="3"/>
  <c r="N11" i="3"/>
  <c r="O11" i="3"/>
  <c r="K11" i="3"/>
  <c r="J11" i="3"/>
  <c r="N10" i="3"/>
  <c r="O10" i="3"/>
  <c r="K10" i="3"/>
  <c r="J10" i="3"/>
  <c r="O9" i="3"/>
  <c r="N9" i="3"/>
  <c r="K9" i="3"/>
  <c r="J9" i="3"/>
  <c r="N8" i="3"/>
  <c r="O8" i="3"/>
  <c r="K8" i="3"/>
  <c r="J8" i="3"/>
  <c r="N7" i="3"/>
  <c r="O7" i="3"/>
  <c r="K7" i="3"/>
  <c r="J7" i="3"/>
  <c r="N6" i="3"/>
  <c r="K6" i="3"/>
  <c r="J6" i="3"/>
  <c r="N5" i="3"/>
  <c r="K5" i="3"/>
  <c r="J5" i="3"/>
  <c r="N4" i="3"/>
  <c r="K4" i="3"/>
  <c r="J4" i="3"/>
  <c r="M6" i="6"/>
  <c r="M9" i="6"/>
  <c r="M4" i="6"/>
  <c r="M8" i="6"/>
  <c r="I7" i="6"/>
  <c r="I11" i="6"/>
  <c r="G4" i="6"/>
  <c r="M11" i="6"/>
  <c r="G6" i="6"/>
  <c r="G7" i="6"/>
  <c r="I10" i="6"/>
  <c r="I4" i="6"/>
  <c r="G5" i="6"/>
  <c r="M5" i="6"/>
  <c r="G10" i="6"/>
  <c r="O6" i="3"/>
  <c r="K16" i="2"/>
  <c r="K8" i="2"/>
  <c r="K20" i="2"/>
  <c r="K9" i="2"/>
  <c r="K21" i="2"/>
  <c r="O4" i="3"/>
  <c r="E896" i="5"/>
  <c r="K22" i="2"/>
  <c r="K10" i="2"/>
  <c r="O5" i="3"/>
  <c r="E860" i="5"/>
  <c r="K13" i="2"/>
  <c r="D46" i="5"/>
  <c r="K25" i="2"/>
  <c r="D352" i="5"/>
  <c r="C352" i="5"/>
  <c r="K14" i="2"/>
  <c r="K26" i="2"/>
  <c r="K24" i="2"/>
  <c r="K15" i="2"/>
  <c r="K27" i="2"/>
  <c r="K4" i="2"/>
  <c r="K28" i="2"/>
  <c r="E864" i="5"/>
  <c r="E849" i="5"/>
  <c r="E855" i="5"/>
  <c r="E851" i="5"/>
  <c r="E884" i="5"/>
  <c r="E886" i="5"/>
  <c r="E881" i="5"/>
  <c r="E853" i="5"/>
  <c r="E867" i="5"/>
  <c r="E871" i="5"/>
  <c r="E838" i="5"/>
  <c r="E890" i="5"/>
  <c r="E888" i="5"/>
  <c r="E866" i="5"/>
  <c r="E831" i="5"/>
  <c r="E799" i="5"/>
  <c r="E787" i="5"/>
  <c r="E792" i="5"/>
  <c r="E858" i="5"/>
  <c r="E879" i="5"/>
  <c r="E837" i="5"/>
  <c r="E824" i="5"/>
  <c r="E818" i="5"/>
  <c r="E812" i="5"/>
  <c r="E899" i="5"/>
  <c r="E841" i="5"/>
  <c r="E805" i="5"/>
  <c r="E793" i="5"/>
  <c r="E874" i="5"/>
  <c r="E857" i="5"/>
  <c r="E823" i="5"/>
  <c r="E811" i="5"/>
  <c r="E877" i="5"/>
  <c r="E873" i="5"/>
  <c r="E842" i="5"/>
  <c r="E808" i="5"/>
  <c r="E803" i="5"/>
  <c r="E797" i="5"/>
  <c r="E765" i="5"/>
  <c r="E798" i="5"/>
  <c r="E791" i="5"/>
  <c r="E776" i="5"/>
  <c r="E764" i="5"/>
  <c r="E781" i="5"/>
  <c r="E769" i="5"/>
  <c r="E757" i="5"/>
  <c r="E796" i="5"/>
  <c r="E774" i="5"/>
  <c r="E762" i="5"/>
  <c r="E779" i="5"/>
  <c r="E767" i="5"/>
  <c r="E755" i="5"/>
  <c r="E745" i="5"/>
  <c r="E703" i="5"/>
  <c r="E691" i="5"/>
  <c r="E750" i="5"/>
  <c r="E735" i="5"/>
  <c r="E723" i="5"/>
  <c r="E711" i="5"/>
  <c r="E728" i="5"/>
  <c r="E716" i="5"/>
  <c r="E704" i="5"/>
  <c r="E733" i="5"/>
  <c r="E721" i="5"/>
  <c r="E709" i="5"/>
  <c r="E743" i="5"/>
  <c r="E738" i="5"/>
  <c r="E726" i="5"/>
  <c r="E714" i="5"/>
  <c r="E702" i="5"/>
  <c r="E690" i="5"/>
  <c r="E692" i="5"/>
  <c r="E679" i="5"/>
  <c r="E667" i="5"/>
  <c r="E655" i="5"/>
  <c r="E684" i="5"/>
  <c r="E672" i="5"/>
  <c r="E660" i="5"/>
  <c r="E648" i="5"/>
  <c r="E677" i="5"/>
  <c r="E665" i="5"/>
  <c r="E653" i="5"/>
  <c r="E697" i="5"/>
  <c r="E689" i="5"/>
  <c r="E682" i="5"/>
  <c r="E670" i="5"/>
  <c r="E658" i="5"/>
  <c r="E646" i="5"/>
  <c r="E617" i="5"/>
  <c r="E605" i="5"/>
  <c r="E593" i="5"/>
  <c r="E636" i="5"/>
  <c r="E608" i="5"/>
  <c r="E596" i="5"/>
  <c r="E641" i="5"/>
  <c r="E628" i="5"/>
  <c r="E616" i="5"/>
  <c r="E633" i="5"/>
  <c r="E621" i="5"/>
  <c r="E609" i="5"/>
  <c r="E597" i="5"/>
  <c r="E626" i="5"/>
  <c r="E614" i="5"/>
  <c r="E602" i="5"/>
  <c r="E631" i="5"/>
  <c r="E619" i="5"/>
  <c r="E607" i="5"/>
  <c r="E595" i="5"/>
  <c r="E590" i="5"/>
  <c r="E583" i="5"/>
  <c r="E584" i="5"/>
  <c r="E571" i="5"/>
  <c r="E559" i="5"/>
  <c r="E576" i="5"/>
  <c r="E564" i="5"/>
  <c r="E552" i="5"/>
  <c r="E540" i="5"/>
  <c r="E585" i="5"/>
  <c r="E569" i="5"/>
  <c r="E557" i="5"/>
  <c r="E545" i="5"/>
  <c r="E533" i="5"/>
  <c r="E574" i="5"/>
  <c r="E562" i="5"/>
  <c r="E550" i="5"/>
  <c r="E538" i="5"/>
  <c r="E528" i="5"/>
  <c r="E492" i="5"/>
  <c r="E480" i="5"/>
  <c r="E468" i="5"/>
  <c r="E521" i="5"/>
  <c r="E515" i="5"/>
  <c r="E503" i="5"/>
  <c r="E508" i="5"/>
  <c r="E496" i="5"/>
  <c r="E484" i="5"/>
  <c r="E472" i="5"/>
  <c r="E513" i="5"/>
  <c r="E501" i="5"/>
  <c r="E489" i="5"/>
  <c r="E477" i="5"/>
  <c r="E518" i="5"/>
  <c r="E506" i="5"/>
  <c r="E494" i="5"/>
  <c r="E482" i="5"/>
  <c r="E470" i="5"/>
  <c r="E458" i="5"/>
  <c r="E460" i="5"/>
  <c r="E443" i="5"/>
  <c r="E431" i="5"/>
  <c r="E419" i="5"/>
  <c r="E407" i="5"/>
  <c r="E395" i="5"/>
  <c r="E383" i="5"/>
  <c r="E371" i="5"/>
  <c r="E359" i="5"/>
  <c r="E417" i="5"/>
  <c r="E381" i="5"/>
  <c r="E369" i="5"/>
  <c r="E357" i="5"/>
  <c r="E465" i="5"/>
  <c r="E449" i="5"/>
  <c r="E437" i="5"/>
  <c r="E456" i="5"/>
  <c r="E454" i="5"/>
  <c r="E442" i="5"/>
  <c r="E430" i="5"/>
  <c r="E418" i="5"/>
  <c r="E406" i="5"/>
  <c r="E394" i="5"/>
  <c r="E382" i="5"/>
  <c r="E370" i="5"/>
  <c r="E447" i="5"/>
  <c r="E435" i="5"/>
  <c r="E423" i="5"/>
  <c r="E411" i="5"/>
  <c r="E399" i="5"/>
  <c r="E387" i="5"/>
  <c r="E375" i="5"/>
  <c r="E452" i="5"/>
  <c r="E440" i="5"/>
  <c r="E428" i="5"/>
  <c r="E416" i="5"/>
  <c r="E404" i="5"/>
  <c r="E392" i="5"/>
  <c r="E380" i="5"/>
  <c r="E344" i="5"/>
  <c r="E332" i="5"/>
  <c r="E320" i="5"/>
  <c r="E308" i="5"/>
  <c r="E358" i="5"/>
  <c r="E318" i="5"/>
  <c r="E306" i="5"/>
  <c r="E294" i="5"/>
  <c r="E282" i="5"/>
  <c r="E270" i="5"/>
  <c r="E258" i="5"/>
  <c r="E363" i="5"/>
  <c r="E356" i="5"/>
  <c r="E347" i="5"/>
  <c r="E335" i="5"/>
  <c r="E323" i="5"/>
  <c r="E311" i="5"/>
  <c r="E299" i="5"/>
  <c r="E287" i="5"/>
  <c r="E275" i="5"/>
  <c r="E263" i="5"/>
  <c r="E343" i="5"/>
  <c r="E331" i="5"/>
  <c r="E319" i="5"/>
  <c r="E368" i="5"/>
  <c r="E348" i="5"/>
  <c r="E336" i="5"/>
  <c r="E324" i="5"/>
  <c r="E312" i="5"/>
  <c r="E300" i="5"/>
  <c r="E288" i="5"/>
  <c r="E276" i="5"/>
  <c r="E264" i="5"/>
  <c r="E341" i="5"/>
  <c r="E329" i="5"/>
  <c r="E317" i="5"/>
  <c r="E305" i="5"/>
  <c r="E293" i="5"/>
  <c r="E281" i="5"/>
  <c r="E269" i="5"/>
  <c r="E257" i="5"/>
  <c r="E346" i="5"/>
  <c r="E334" i="5"/>
  <c r="E322" i="5"/>
  <c r="E310" i="5"/>
  <c r="E298" i="5"/>
  <c r="E235" i="5"/>
  <c r="E223" i="5"/>
  <c r="E211" i="5"/>
  <c r="E199" i="5"/>
  <c r="E187" i="5"/>
  <c r="E175" i="5"/>
  <c r="E192" i="5"/>
  <c r="E180" i="5"/>
  <c r="E168" i="5"/>
  <c r="E156" i="5"/>
  <c r="E161" i="5"/>
  <c r="E251" i="5"/>
  <c r="E241" i="5"/>
  <c r="E229" i="5"/>
  <c r="E217" i="5"/>
  <c r="E205" i="5"/>
  <c r="E193" i="5"/>
  <c r="E181" i="5"/>
  <c r="E169" i="5"/>
  <c r="E157" i="5"/>
  <c r="E145" i="5"/>
  <c r="E252" i="5"/>
  <c r="E246" i="5"/>
  <c r="E234" i="5"/>
  <c r="E222" i="5"/>
  <c r="E210" i="5"/>
  <c r="E198" i="5"/>
  <c r="E186" i="5"/>
  <c r="E174" i="5"/>
  <c r="E162" i="5"/>
  <c r="E239" i="5"/>
  <c r="E227" i="5"/>
  <c r="E215" i="5"/>
  <c r="E203" i="5"/>
  <c r="E191" i="5"/>
  <c r="E179" i="5"/>
  <c r="E167" i="5"/>
  <c r="E155" i="5"/>
  <c r="E244" i="5"/>
  <c r="E232" i="5"/>
  <c r="E220" i="5"/>
  <c r="E208" i="5"/>
  <c r="E196" i="5"/>
  <c r="E184" i="5"/>
  <c r="E133" i="5"/>
  <c r="E121" i="5"/>
  <c r="E109" i="5"/>
  <c r="E150" i="5"/>
  <c r="E107" i="5"/>
  <c r="E95" i="5"/>
  <c r="E83" i="5"/>
  <c r="E71" i="5"/>
  <c r="E59" i="5"/>
  <c r="E47" i="5"/>
  <c r="E88" i="5"/>
  <c r="E76" i="5"/>
  <c r="E64" i="5"/>
  <c r="E52" i="5"/>
  <c r="E132" i="5"/>
  <c r="E120" i="5"/>
  <c r="E137" i="5"/>
  <c r="E125" i="5"/>
  <c r="E113" i="5"/>
  <c r="E101" i="5"/>
  <c r="E89" i="5"/>
  <c r="E77" i="5"/>
  <c r="E65" i="5"/>
  <c r="E53" i="5"/>
  <c r="E41" i="5"/>
  <c r="E143" i="5"/>
  <c r="E130" i="5"/>
  <c r="E118" i="5"/>
  <c r="E106" i="5"/>
  <c r="E94" i="5"/>
  <c r="E82" i="5"/>
  <c r="E70" i="5"/>
  <c r="E58" i="5"/>
  <c r="E149" i="5"/>
  <c r="E144" i="5"/>
  <c r="E135" i="5"/>
  <c r="E123" i="5"/>
  <c r="E111" i="5"/>
  <c r="E46" i="5"/>
  <c r="E40" i="5"/>
  <c r="E20" i="5"/>
  <c r="E8" i="5"/>
  <c r="E30" i="5"/>
  <c r="E18" i="5"/>
  <c r="E35" i="5"/>
  <c r="E23" i="5"/>
  <c r="E11" i="5"/>
  <c r="E28" i="5"/>
  <c r="E16" i="5"/>
  <c r="E4" i="5"/>
  <c r="E33" i="5"/>
  <c r="E21" i="5"/>
  <c r="E9" i="5"/>
  <c r="Q4" i="5"/>
  <c r="Q5" i="5"/>
  <c r="Q17" i="5"/>
  <c r="Q29" i="5"/>
  <c r="E6" i="5"/>
  <c r="E7" i="5"/>
  <c r="E19" i="5"/>
  <c r="E31" i="5"/>
  <c r="Q8" i="5"/>
  <c r="Q20" i="5"/>
  <c r="Q32" i="5"/>
  <c r="K3" i="2"/>
  <c r="Q10" i="5"/>
  <c r="Q22" i="5"/>
  <c r="Q34" i="5"/>
  <c r="Q11" i="5"/>
  <c r="Q12" i="5"/>
  <c r="Q24" i="5"/>
  <c r="Q36" i="5"/>
  <c r="K5" i="2"/>
  <c r="K11" i="2"/>
  <c r="K17" i="2"/>
  <c r="K23" i="2"/>
  <c r="Q13" i="5"/>
  <c r="Q25" i="5"/>
  <c r="Q37" i="5"/>
  <c r="E2" i="5"/>
  <c r="E14" i="5"/>
  <c r="E26" i="5"/>
  <c r="E38" i="5"/>
  <c r="K6" i="2"/>
  <c r="K12" i="2"/>
  <c r="K18" i="2"/>
  <c r="Q896" i="5"/>
  <c r="Q894" i="5"/>
  <c r="Q892" i="5"/>
  <c r="Q849" i="5"/>
  <c r="Q870" i="5"/>
  <c r="Q860" i="5"/>
  <c r="Q877" i="5"/>
  <c r="Q855" i="5"/>
  <c r="Q868" i="5"/>
  <c r="Q888" i="5"/>
  <c r="Q833" i="5"/>
  <c r="Q873" i="5"/>
  <c r="Q853" i="5"/>
  <c r="Q840" i="5"/>
  <c r="Q886" i="5"/>
  <c r="Q881" i="5"/>
  <c r="Q864" i="5"/>
  <c r="Q858" i="5"/>
  <c r="Q884" i="5"/>
  <c r="Q879" i="5"/>
  <c r="Q880" i="5"/>
  <c r="Q872" i="5"/>
  <c r="Q848" i="5"/>
  <c r="Q838" i="5"/>
  <c r="Q871" i="5"/>
  <c r="Q852" i="5"/>
  <c r="Q842" i="5"/>
  <c r="Q805" i="5"/>
  <c r="Q847" i="5"/>
  <c r="Q897" i="5"/>
  <c r="Q851" i="5"/>
  <c r="Q826" i="5"/>
  <c r="Q823" i="5"/>
  <c r="Q820" i="5"/>
  <c r="Q817" i="5"/>
  <c r="Q814" i="5"/>
  <c r="Q811" i="5"/>
  <c r="Q808" i="5"/>
  <c r="Q859" i="5"/>
  <c r="Q856" i="5"/>
  <c r="Q796" i="5"/>
  <c r="Q800" i="5"/>
  <c r="Q776" i="5"/>
  <c r="Q764" i="5"/>
  <c r="Q752" i="5"/>
  <c r="Q781" i="5"/>
  <c r="Q769" i="5"/>
  <c r="Q757" i="5"/>
  <c r="Q745" i="5"/>
  <c r="Q774" i="5"/>
  <c r="Q762" i="5"/>
  <c r="Q801" i="5"/>
  <c r="Q794" i="5"/>
  <c r="Q779" i="5"/>
  <c r="Q767" i="5"/>
  <c r="Q755" i="5"/>
  <c r="Q784" i="5"/>
  <c r="Q772" i="5"/>
  <c r="Q760" i="5"/>
  <c r="Q777" i="5"/>
  <c r="Q765" i="5"/>
  <c r="Q753" i="5"/>
  <c r="Q740" i="5"/>
  <c r="Q735" i="5"/>
  <c r="Q723" i="5"/>
  <c r="Q711" i="5"/>
  <c r="Q699" i="5"/>
  <c r="Q743" i="5"/>
  <c r="Q728" i="5"/>
  <c r="Q716" i="5"/>
  <c r="Q733" i="5"/>
  <c r="Q721" i="5"/>
  <c r="Q738" i="5"/>
  <c r="Q726" i="5"/>
  <c r="Q714" i="5"/>
  <c r="Q702" i="5"/>
  <c r="Q741" i="5"/>
  <c r="Q731" i="5"/>
  <c r="Q719" i="5"/>
  <c r="Q707" i="5"/>
  <c r="Q748" i="5"/>
  <c r="Q736" i="5"/>
  <c r="Q724" i="5"/>
  <c r="Q712" i="5"/>
  <c r="Q700" i="5"/>
  <c r="Q690" i="5"/>
  <c r="Q695" i="5"/>
  <c r="Q689" i="5"/>
  <c r="Q679" i="5"/>
  <c r="Q667" i="5"/>
  <c r="Q655" i="5"/>
  <c r="Q643" i="5"/>
  <c r="Q684" i="5"/>
  <c r="Q672" i="5"/>
  <c r="Q660" i="5"/>
  <c r="Q677" i="5"/>
  <c r="Q665" i="5"/>
  <c r="Q653" i="5"/>
  <c r="Q682" i="5"/>
  <c r="Q670" i="5"/>
  <c r="Q658" i="5"/>
  <c r="Q646" i="5"/>
  <c r="Q687" i="5"/>
  <c r="Q675" i="5"/>
  <c r="Q663" i="5"/>
  <c r="Q651" i="5"/>
  <c r="Q680" i="5"/>
  <c r="Q668" i="5"/>
  <c r="Q656" i="5"/>
  <c r="Q644" i="5"/>
  <c r="Q639" i="5"/>
  <c r="Q628" i="5"/>
  <c r="Q616" i="5"/>
  <c r="Q604" i="5"/>
  <c r="Q592" i="5"/>
  <c r="Q633" i="5"/>
  <c r="Q621" i="5"/>
  <c r="Q609" i="5"/>
  <c r="Q626" i="5"/>
  <c r="Q614" i="5"/>
  <c r="Q631" i="5"/>
  <c r="Q619" i="5"/>
  <c r="Q607" i="5"/>
  <c r="Q595" i="5"/>
  <c r="Q624" i="5"/>
  <c r="Q612" i="5"/>
  <c r="Q600" i="5"/>
  <c r="Q629" i="5"/>
  <c r="Q617" i="5"/>
  <c r="Q605" i="5"/>
  <c r="Q593" i="5"/>
  <c r="Q582" i="5"/>
  <c r="Q571" i="5"/>
  <c r="Q559" i="5"/>
  <c r="Q547" i="5"/>
  <c r="Q576" i="5"/>
  <c r="Q564" i="5"/>
  <c r="Q552" i="5"/>
  <c r="Q588" i="5"/>
  <c r="Q569" i="5"/>
  <c r="Q557" i="5"/>
  <c r="Q583" i="5"/>
  <c r="Q574" i="5"/>
  <c r="Q562" i="5"/>
  <c r="Q550" i="5"/>
  <c r="Q538" i="5"/>
  <c r="Q579" i="5"/>
  <c r="Q567" i="5"/>
  <c r="Q555" i="5"/>
  <c r="Q543" i="5"/>
  <c r="Q572" i="5"/>
  <c r="Q560" i="5"/>
  <c r="Q548" i="5"/>
  <c r="Q536" i="5"/>
  <c r="Q531" i="5"/>
  <c r="Q515" i="5"/>
  <c r="Q503" i="5"/>
  <c r="Q491" i="5"/>
  <c r="Q479" i="5"/>
  <c r="Q467" i="5"/>
  <c r="Q526" i="5"/>
  <c r="Q508" i="5"/>
  <c r="Q496" i="5"/>
  <c r="Q484" i="5"/>
  <c r="Q513" i="5"/>
  <c r="Q501" i="5"/>
  <c r="Q506" i="5"/>
  <c r="Q494" i="5"/>
  <c r="Q482" i="5"/>
  <c r="Q470" i="5"/>
  <c r="Q511" i="5"/>
  <c r="Q499" i="5"/>
  <c r="Q487" i="5"/>
  <c r="Q475" i="5"/>
  <c r="Q516" i="5"/>
  <c r="Q504" i="5"/>
  <c r="Q492" i="5"/>
  <c r="Q480" i="5"/>
  <c r="Q468" i="5"/>
  <c r="Q429" i="5"/>
  <c r="Q417" i="5"/>
  <c r="Q405" i="5"/>
  <c r="Q393" i="5"/>
  <c r="Q381" i="5"/>
  <c r="Q369" i="5"/>
  <c r="Q357" i="5"/>
  <c r="Q456" i="5"/>
  <c r="Q458" i="5"/>
  <c r="Q449" i="5"/>
  <c r="Q454" i="5"/>
  <c r="Q442" i="5"/>
  <c r="Q430" i="5"/>
  <c r="Q418" i="5"/>
  <c r="Q406" i="5"/>
  <c r="Q394" i="5"/>
  <c r="Q382" i="5"/>
  <c r="Q370" i="5"/>
  <c r="Q358" i="5"/>
  <c r="Q447" i="5"/>
  <c r="Q452" i="5"/>
  <c r="Q440" i="5"/>
  <c r="Q428" i="5"/>
  <c r="Q416" i="5"/>
  <c r="Q404" i="5"/>
  <c r="Q392" i="5"/>
  <c r="Q380" i="5"/>
  <c r="Q368" i="5"/>
  <c r="Q463" i="5"/>
  <c r="Q445" i="5"/>
  <c r="Q433" i="5"/>
  <c r="Q421" i="5"/>
  <c r="Q409" i="5"/>
  <c r="Q397" i="5"/>
  <c r="Q385" i="5"/>
  <c r="Q373" i="5"/>
  <c r="Q450" i="5"/>
  <c r="Q438" i="5"/>
  <c r="Q426" i="5"/>
  <c r="Q414" i="5"/>
  <c r="Q402" i="5"/>
  <c r="Q390" i="5"/>
  <c r="Q378" i="5"/>
  <c r="Q366" i="5"/>
  <c r="Q343" i="5"/>
  <c r="Q331" i="5"/>
  <c r="Q319" i="5"/>
  <c r="Q307" i="5"/>
  <c r="Q295" i="5"/>
  <c r="Q283" i="5"/>
  <c r="Q336" i="5"/>
  <c r="Q341" i="5"/>
  <c r="Q329" i="5"/>
  <c r="Q317" i="5"/>
  <c r="Q346" i="5"/>
  <c r="Q334" i="5"/>
  <c r="Q322" i="5"/>
  <c r="Q310" i="5"/>
  <c r="Q298" i="5"/>
  <c r="Q286" i="5"/>
  <c r="Q274" i="5"/>
  <c r="Q262" i="5"/>
  <c r="Q361" i="5"/>
  <c r="Q339" i="5"/>
  <c r="Q327" i="5"/>
  <c r="Q315" i="5"/>
  <c r="Q356" i="5"/>
  <c r="Q354" i="5"/>
  <c r="Q344" i="5"/>
  <c r="Q332" i="5"/>
  <c r="Q320" i="5"/>
  <c r="Q308" i="5"/>
  <c r="Q296" i="5"/>
  <c r="Q284" i="5"/>
  <c r="Q241" i="5"/>
  <c r="Q250" i="5"/>
  <c r="Q234" i="5"/>
  <c r="Q222" i="5"/>
  <c r="Q210" i="5"/>
  <c r="Q198" i="5"/>
  <c r="Q186" i="5"/>
  <c r="Q239" i="5"/>
  <c r="Q227" i="5"/>
  <c r="Q215" i="5"/>
  <c r="Q203" i="5"/>
  <c r="Q191" i="5"/>
  <c r="Q179" i="5"/>
  <c r="Q167" i="5"/>
  <c r="Q155" i="5"/>
  <c r="Q244" i="5"/>
  <c r="Q232" i="5"/>
  <c r="Q220" i="5"/>
  <c r="Q208" i="5"/>
  <c r="Q196" i="5"/>
  <c r="Q184" i="5"/>
  <c r="Q172" i="5"/>
  <c r="Q160" i="5"/>
  <c r="Q237" i="5"/>
  <c r="Q225" i="5"/>
  <c r="Q213" i="5"/>
  <c r="Q201" i="5"/>
  <c r="Q189" i="5"/>
  <c r="Q177" i="5"/>
  <c r="Q165" i="5"/>
  <c r="Q153" i="5"/>
  <c r="Q242" i="5"/>
  <c r="Q230" i="5"/>
  <c r="Q218" i="5"/>
  <c r="Q206" i="5"/>
  <c r="Q194" i="5"/>
  <c r="Q182" i="5"/>
  <c r="Q170" i="5"/>
  <c r="Q158" i="5"/>
  <c r="Q146" i="5"/>
  <c r="Q143" i="5"/>
  <c r="Q132" i="5"/>
  <c r="Q120" i="5"/>
  <c r="Q108" i="5"/>
  <c r="Q96" i="5"/>
  <c r="Q137" i="5"/>
  <c r="Q125" i="5"/>
  <c r="Q147" i="5"/>
  <c r="Q130" i="5"/>
  <c r="Q118" i="5"/>
  <c r="Q135" i="5"/>
  <c r="Q123" i="5"/>
  <c r="Q111" i="5"/>
  <c r="Q99" i="5"/>
  <c r="Q140" i="5"/>
  <c r="Q128" i="5"/>
  <c r="Q116" i="5"/>
  <c r="Q104" i="5"/>
  <c r="Q92" i="5"/>
  <c r="Q80" i="5"/>
  <c r="Q68" i="5"/>
  <c r="Q56" i="5"/>
  <c r="Q133" i="5"/>
  <c r="Q121" i="5"/>
  <c r="Q109" i="5"/>
  <c r="Q97" i="5"/>
  <c r="Q30" i="5"/>
  <c r="Q18" i="5"/>
  <c r="Q6" i="5"/>
  <c r="Q35" i="5"/>
  <c r="Q23" i="5"/>
  <c r="Q28" i="5"/>
  <c r="Q16" i="5"/>
  <c r="Q33" i="5"/>
  <c r="Q21" i="5"/>
  <c r="Q9" i="5"/>
  <c r="Q26" i="5"/>
  <c r="Q14" i="5"/>
  <c r="Q2" i="5"/>
  <c r="Q38" i="5"/>
  <c r="Q31" i="5"/>
  <c r="Q19" i="5"/>
  <c r="Q7" i="5"/>
  <c r="Q3" i="5"/>
  <c r="Q15" i="5"/>
  <c r="Q27" i="5"/>
  <c r="Q43" i="5"/>
  <c r="Q47" i="5"/>
  <c r="Q52" i="5"/>
  <c r="Q64" i="5"/>
  <c r="Q76" i="5"/>
  <c r="Q88" i="5"/>
  <c r="Q100" i="5"/>
  <c r="Q112" i="5"/>
  <c r="Q124" i="5"/>
  <c r="Q136" i="5"/>
  <c r="E39" i="5"/>
  <c r="Q53" i="5"/>
  <c r="Q65" i="5"/>
  <c r="Q77" i="5"/>
  <c r="Q89" i="5"/>
  <c r="Q101" i="5"/>
  <c r="Q113" i="5"/>
  <c r="Q48" i="5"/>
  <c r="Q54" i="5"/>
  <c r="Q66" i="5"/>
  <c r="Q78" i="5"/>
  <c r="Q90" i="5"/>
  <c r="Q102" i="5"/>
  <c r="Q114" i="5"/>
  <c r="Q126" i="5"/>
  <c r="Q138" i="5"/>
  <c r="D13" i="5"/>
  <c r="C13" i="5"/>
  <c r="D25" i="5"/>
  <c r="C25" i="5"/>
  <c r="D37" i="5"/>
  <c r="C37" i="5"/>
  <c r="Q41" i="5"/>
  <c r="Q55" i="5"/>
  <c r="Q67" i="5"/>
  <c r="Q79" i="5"/>
  <c r="Q91" i="5"/>
  <c r="Q103" i="5"/>
  <c r="Q115" i="5"/>
  <c r="Q127" i="5"/>
  <c r="Q139" i="5"/>
  <c r="E13" i="5"/>
  <c r="D20" i="5"/>
  <c r="C20" i="5"/>
  <c r="E25" i="5"/>
  <c r="E37" i="5"/>
  <c r="E44" i="5"/>
  <c r="E56" i="5"/>
  <c r="E68" i="5"/>
  <c r="E80" i="5"/>
  <c r="E92" i="5"/>
  <c r="E104" i="5"/>
  <c r="E116" i="5"/>
  <c r="E128" i="5"/>
  <c r="E140" i="5"/>
  <c r="E32" i="5"/>
  <c r="E49" i="5"/>
  <c r="Q57" i="5"/>
  <c r="Q69" i="5"/>
  <c r="Q81" i="5"/>
  <c r="Q93" i="5"/>
  <c r="Q105" i="5"/>
  <c r="Q117" i="5"/>
  <c r="Q129" i="5"/>
  <c r="Q141" i="5"/>
  <c r="E3" i="5"/>
  <c r="E15" i="5"/>
  <c r="E27" i="5"/>
  <c r="Q44" i="5"/>
  <c r="Q58" i="5"/>
  <c r="Q70" i="5"/>
  <c r="Q82" i="5"/>
  <c r="Q94" i="5"/>
  <c r="Q106" i="5"/>
  <c r="E10" i="5"/>
  <c r="E22" i="5"/>
  <c r="E34" i="5"/>
  <c r="Q39" i="5"/>
  <c r="Q45" i="5"/>
  <c r="Q50" i="5"/>
  <c r="E50" i="5"/>
  <c r="Q59" i="5"/>
  <c r="Q71" i="5"/>
  <c r="Q83" i="5"/>
  <c r="Q95" i="5"/>
  <c r="Q107" i="5"/>
  <c r="Q119" i="5"/>
  <c r="Q131" i="5"/>
  <c r="E5" i="5"/>
  <c r="D12" i="5"/>
  <c r="C12" i="5"/>
  <c r="E17" i="5"/>
  <c r="E29" i="5"/>
  <c r="Q40" i="5"/>
  <c r="Q42" i="5"/>
  <c r="Q60" i="5"/>
  <c r="Q72" i="5"/>
  <c r="Q84" i="5"/>
  <c r="E96" i="5"/>
  <c r="E108" i="5"/>
  <c r="E12" i="5"/>
  <c r="E24" i="5"/>
  <c r="E36" i="5"/>
  <c r="Q46" i="5"/>
  <c r="D51" i="5"/>
  <c r="C51" i="5"/>
  <c r="E61" i="5"/>
  <c r="E73" i="5"/>
  <c r="E85" i="5"/>
  <c r="E97" i="5"/>
  <c r="D2" i="5"/>
  <c r="C2" i="5"/>
  <c r="D14" i="5"/>
  <c r="C14" i="5"/>
  <c r="Q62" i="5"/>
  <c r="Q74" i="5"/>
  <c r="Q86" i="5"/>
  <c r="Q98" i="5"/>
  <c r="Q110" i="5"/>
  <c r="Q122" i="5"/>
  <c r="Q134" i="5"/>
  <c r="D135" i="5"/>
  <c r="C135" i="5"/>
  <c r="Q49" i="5"/>
  <c r="E51" i="5"/>
  <c r="Q61" i="5"/>
  <c r="E63" i="5"/>
  <c r="Q73" i="5"/>
  <c r="E75" i="5"/>
  <c r="Q85" i="5"/>
  <c r="E87" i="5"/>
  <c r="E99" i="5"/>
  <c r="Q151" i="5"/>
  <c r="Q154" i="5"/>
  <c r="E154" i="5"/>
  <c r="Q161" i="5"/>
  <c r="Q173" i="5"/>
  <c r="Q185" i="5"/>
  <c r="Q197" i="5"/>
  <c r="Q209" i="5"/>
  <c r="Q221" i="5"/>
  <c r="Q233" i="5"/>
  <c r="Q245" i="5"/>
  <c r="Q51" i="5"/>
  <c r="Q63" i="5"/>
  <c r="Q75" i="5"/>
  <c r="Q87" i="5"/>
  <c r="E146" i="5"/>
  <c r="Q162" i="5"/>
  <c r="Q174" i="5"/>
  <c r="E48" i="5"/>
  <c r="E60" i="5"/>
  <c r="E72" i="5"/>
  <c r="E84" i="5"/>
  <c r="Q163" i="5"/>
  <c r="Q175" i="5"/>
  <c r="Q187" i="5"/>
  <c r="Q199" i="5"/>
  <c r="Q211" i="5"/>
  <c r="Q223" i="5"/>
  <c r="Q235" i="5"/>
  <c r="E43" i="5"/>
  <c r="E55" i="5"/>
  <c r="E67" i="5"/>
  <c r="E79" i="5"/>
  <c r="E91" i="5"/>
  <c r="E103" i="5"/>
  <c r="E115" i="5"/>
  <c r="E127" i="5"/>
  <c r="E139" i="5"/>
  <c r="E148" i="5"/>
  <c r="Q164" i="5"/>
  <c r="Q176" i="5"/>
  <c r="Q188" i="5"/>
  <c r="Q200" i="5"/>
  <c r="Q212" i="5"/>
  <c r="Q224" i="5"/>
  <c r="Q236" i="5"/>
  <c r="E62" i="5"/>
  <c r="E74" i="5"/>
  <c r="E86" i="5"/>
  <c r="E98" i="5"/>
  <c r="E110" i="5"/>
  <c r="E122" i="5"/>
  <c r="E134" i="5"/>
  <c r="Q152" i="5"/>
  <c r="E165" i="5"/>
  <c r="E177" i="5"/>
  <c r="E189" i="5"/>
  <c r="E201" i="5"/>
  <c r="E213" i="5"/>
  <c r="E225" i="5"/>
  <c r="E237" i="5"/>
  <c r="E45" i="5"/>
  <c r="E57" i="5"/>
  <c r="E69" i="5"/>
  <c r="E81" i="5"/>
  <c r="E93" i="5"/>
  <c r="D100" i="5"/>
  <c r="C100" i="5"/>
  <c r="E105" i="5"/>
  <c r="E117" i="5"/>
  <c r="E129" i="5"/>
  <c r="E141" i="5"/>
  <c r="Q150" i="5"/>
  <c r="Q156" i="5"/>
  <c r="Q166" i="5"/>
  <c r="Q178" i="5"/>
  <c r="Q190" i="5"/>
  <c r="Q202" i="5"/>
  <c r="Q214" i="5"/>
  <c r="Q226" i="5"/>
  <c r="Q238" i="5"/>
  <c r="E100" i="5"/>
  <c r="E112" i="5"/>
  <c r="E124" i="5"/>
  <c r="E136" i="5"/>
  <c r="Q145" i="5"/>
  <c r="E119" i="5"/>
  <c r="E131" i="5"/>
  <c r="E142" i="5"/>
  <c r="Q157" i="5"/>
  <c r="Q168" i="5"/>
  <c r="Q180" i="5"/>
  <c r="Q192" i="5"/>
  <c r="Q204" i="5"/>
  <c r="Q216" i="5"/>
  <c r="Q228" i="5"/>
  <c r="Q240" i="5"/>
  <c r="E42" i="5"/>
  <c r="E54" i="5"/>
  <c r="E66" i="5"/>
  <c r="E78" i="5"/>
  <c r="E90" i="5"/>
  <c r="E102" i="5"/>
  <c r="E114" i="5"/>
  <c r="E126" i="5"/>
  <c r="E138" i="5"/>
  <c r="E147" i="5"/>
  <c r="Q169" i="5"/>
  <c r="Q181" i="5"/>
  <c r="Q193" i="5"/>
  <c r="Q205" i="5"/>
  <c r="Q217" i="5"/>
  <c r="Q229" i="5"/>
  <c r="Q142" i="5"/>
  <c r="Q144" i="5"/>
  <c r="Q148" i="5"/>
  <c r="E153" i="5"/>
  <c r="E158" i="5"/>
  <c r="E170" i="5"/>
  <c r="E182" i="5"/>
  <c r="E194" i="5"/>
  <c r="E206" i="5"/>
  <c r="E218" i="5"/>
  <c r="E230" i="5"/>
  <c r="E242" i="5"/>
  <c r="Q149" i="5"/>
  <c r="Q159" i="5"/>
  <c r="Q171" i="5"/>
  <c r="Q183" i="5"/>
  <c r="Q195" i="5"/>
  <c r="Q207" i="5"/>
  <c r="Q219" i="5"/>
  <c r="Q231" i="5"/>
  <c r="Q243" i="5"/>
  <c r="E160" i="5"/>
  <c r="E172" i="5"/>
  <c r="Q252" i="5"/>
  <c r="Q254" i="5"/>
  <c r="Q268" i="5"/>
  <c r="Q280" i="5"/>
  <c r="Q292" i="5"/>
  <c r="Q304" i="5"/>
  <c r="Q316" i="5"/>
  <c r="Q328" i="5"/>
  <c r="Q340" i="5"/>
  <c r="Q247" i="5"/>
  <c r="E260" i="5"/>
  <c r="Q269" i="5"/>
  <c r="Q281" i="5"/>
  <c r="Q293" i="5"/>
  <c r="Q305" i="5"/>
  <c r="Q270" i="5"/>
  <c r="Q282" i="5"/>
  <c r="Q294" i="5"/>
  <c r="Q306" i="5"/>
  <c r="Q318" i="5"/>
  <c r="Q330" i="5"/>
  <c r="Q342" i="5"/>
  <c r="D236" i="5"/>
  <c r="C236" i="5"/>
  <c r="E249" i="5"/>
  <c r="Q261" i="5"/>
  <c r="Q271" i="5"/>
  <c r="E283" i="5"/>
  <c r="E295" i="5"/>
  <c r="E307" i="5"/>
  <c r="E152" i="5"/>
  <c r="E164" i="5"/>
  <c r="E176" i="5"/>
  <c r="E188" i="5"/>
  <c r="E200" i="5"/>
  <c r="E212" i="5"/>
  <c r="E224" i="5"/>
  <c r="E236" i="5"/>
  <c r="Q257" i="5"/>
  <c r="E272" i="5"/>
  <c r="E284" i="5"/>
  <c r="E296" i="5"/>
  <c r="E159" i="5"/>
  <c r="E171" i="5"/>
  <c r="E183" i="5"/>
  <c r="E195" i="5"/>
  <c r="E207" i="5"/>
  <c r="E219" i="5"/>
  <c r="E231" i="5"/>
  <c r="E243" i="5"/>
  <c r="Q251" i="5"/>
  <c r="Q273" i="5"/>
  <c r="Q285" i="5"/>
  <c r="Q297" i="5"/>
  <c r="Q309" i="5"/>
  <c r="Q321" i="5"/>
  <c r="Q333" i="5"/>
  <c r="Q345" i="5"/>
  <c r="E166" i="5"/>
  <c r="E178" i="5"/>
  <c r="E190" i="5"/>
  <c r="D197" i="5"/>
  <c r="C197" i="5"/>
  <c r="E202" i="5"/>
  <c r="E214" i="5"/>
  <c r="E226" i="5"/>
  <c r="E238" i="5"/>
  <c r="E255" i="5"/>
  <c r="D274" i="5"/>
  <c r="C274" i="5"/>
  <c r="E173" i="5"/>
  <c r="E185" i="5"/>
  <c r="E197" i="5"/>
  <c r="E209" i="5"/>
  <c r="E221" i="5"/>
  <c r="E233" i="5"/>
  <c r="E245" i="5"/>
  <c r="Q253" i="5"/>
  <c r="Q263" i="5"/>
  <c r="Q275" i="5"/>
  <c r="Q287" i="5"/>
  <c r="Q299" i="5"/>
  <c r="Q311" i="5"/>
  <c r="Q323" i="5"/>
  <c r="Q335" i="5"/>
  <c r="Q347" i="5"/>
  <c r="E204" i="5"/>
  <c r="E216" i="5"/>
  <c r="E228" i="5"/>
  <c r="E240" i="5"/>
  <c r="E248" i="5"/>
  <c r="Q258" i="5"/>
  <c r="Q264" i="5"/>
  <c r="Q276" i="5"/>
  <c r="Q288" i="5"/>
  <c r="Q300" i="5"/>
  <c r="Q312" i="5"/>
  <c r="Q324" i="5"/>
  <c r="D146" i="5"/>
  <c r="C146" i="5"/>
  <c r="E151" i="5"/>
  <c r="E163" i="5"/>
  <c r="Q249" i="5"/>
  <c r="Q265" i="5"/>
  <c r="Q277" i="5"/>
  <c r="Q289" i="5"/>
  <c r="Q301" i="5"/>
  <c r="Q313" i="5"/>
  <c r="Q325" i="5"/>
  <c r="Q337" i="5"/>
  <c r="D165" i="5"/>
  <c r="C165" i="5"/>
  <c r="Q246" i="5"/>
  <c r="E250" i="5"/>
  <c r="Q255" i="5"/>
  <c r="Q259" i="5"/>
  <c r="Q266" i="5"/>
  <c r="Q278" i="5"/>
  <c r="Q290" i="5"/>
  <c r="Q302" i="5"/>
  <c r="Q314" i="5"/>
  <c r="Q326" i="5"/>
  <c r="Q338" i="5"/>
  <c r="Q256" i="5"/>
  <c r="E256" i="5"/>
  <c r="E267" i="5"/>
  <c r="E279" i="5"/>
  <c r="E291" i="5"/>
  <c r="E303" i="5"/>
  <c r="E315" i="5"/>
  <c r="E327" i="5"/>
  <c r="E339" i="5"/>
  <c r="Q248" i="5"/>
  <c r="Q260" i="5"/>
  <c r="E262" i="5"/>
  <c r="Q272" i="5"/>
  <c r="E274" i="5"/>
  <c r="E286" i="5"/>
  <c r="E349" i="5"/>
  <c r="Q353" i="5"/>
  <c r="Q359" i="5"/>
  <c r="Q376" i="5"/>
  <c r="Q388" i="5"/>
  <c r="Q400" i="5"/>
  <c r="Q412" i="5"/>
  <c r="Q424" i="5"/>
  <c r="Q436" i="5"/>
  <c r="Q448" i="5"/>
  <c r="Q267" i="5"/>
  <c r="Q279" i="5"/>
  <c r="Q291" i="5"/>
  <c r="Q303" i="5"/>
  <c r="Q355" i="5"/>
  <c r="E355" i="5"/>
  <c r="Q365" i="5"/>
  <c r="Q377" i="5"/>
  <c r="Q389" i="5"/>
  <c r="Q401" i="5"/>
  <c r="Q413" i="5"/>
  <c r="Q425" i="5"/>
  <c r="Q437" i="5"/>
  <c r="Q362" i="5"/>
  <c r="Q371" i="5"/>
  <c r="E378" i="5"/>
  <c r="E390" i="5"/>
  <c r="E402" i="5"/>
  <c r="E414" i="5"/>
  <c r="E426" i="5"/>
  <c r="E438" i="5"/>
  <c r="E450" i="5"/>
  <c r="E247" i="5"/>
  <c r="D254" i="5"/>
  <c r="C254" i="5"/>
  <c r="E259" i="5"/>
  <c r="E271" i="5"/>
  <c r="Q379" i="5"/>
  <c r="Q391" i="5"/>
  <c r="Q403" i="5"/>
  <c r="Q415" i="5"/>
  <c r="Q427" i="5"/>
  <c r="Q439" i="5"/>
  <c r="Q451" i="5"/>
  <c r="E254" i="5"/>
  <c r="E266" i="5"/>
  <c r="E278" i="5"/>
  <c r="E290" i="5"/>
  <c r="D297" i="5"/>
  <c r="C297" i="5"/>
  <c r="E302" i="5"/>
  <c r="E314" i="5"/>
  <c r="E326" i="5"/>
  <c r="E338" i="5"/>
  <c r="Q360" i="5"/>
  <c r="E360" i="5"/>
  <c r="D380" i="5"/>
  <c r="C380" i="5"/>
  <c r="E261" i="5"/>
  <c r="E273" i="5"/>
  <c r="E285" i="5"/>
  <c r="E297" i="5"/>
  <c r="D304" i="5"/>
  <c r="E309" i="5"/>
  <c r="E321" i="5"/>
  <c r="E333" i="5"/>
  <c r="E345" i="5"/>
  <c r="Q352" i="5"/>
  <c r="E352" i="5"/>
  <c r="Q363" i="5"/>
  <c r="Q372" i="5"/>
  <c r="E372" i="5"/>
  <c r="E393" i="5"/>
  <c r="E405" i="5"/>
  <c r="E429" i="5"/>
  <c r="Q441" i="5"/>
  <c r="Q453" i="5"/>
  <c r="E268" i="5"/>
  <c r="E280" i="5"/>
  <c r="E292" i="5"/>
  <c r="E304" i="5"/>
  <c r="E316" i="5"/>
  <c r="E328" i="5"/>
  <c r="E340" i="5"/>
  <c r="D356" i="5"/>
  <c r="C356" i="5"/>
  <c r="E366" i="5"/>
  <c r="Q351" i="5"/>
  <c r="Q383" i="5"/>
  <c r="Q395" i="5"/>
  <c r="Q407" i="5"/>
  <c r="Q419" i="5"/>
  <c r="Q431" i="5"/>
  <c r="Q443" i="5"/>
  <c r="Q455" i="5"/>
  <c r="D301" i="5"/>
  <c r="C301" i="5"/>
  <c r="E330" i="5"/>
  <c r="E342" i="5"/>
  <c r="E354" i="5"/>
  <c r="Q384" i="5"/>
  <c r="Q396" i="5"/>
  <c r="Q408" i="5"/>
  <c r="Q420" i="5"/>
  <c r="Q432" i="5"/>
  <c r="Q444" i="5"/>
  <c r="E253" i="5"/>
  <c r="E265" i="5"/>
  <c r="E277" i="5"/>
  <c r="E289" i="5"/>
  <c r="E301" i="5"/>
  <c r="E313" i="5"/>
  <c r="E325" i="5"/>
  <c r="E337" i="5"/>
  <c r="Q349" i="5"/>
  <c r="E351" i="5"/>
  <c r="E361" i="5"/>
  <c r="E373" i="5"/>
  <c r="E385" i="5"/>
  <c r="E397" i="5"/>
  <c r="E409" i="5"/>
  <c r="E421" i="5"/>
  <c r="E433" i="5"/>
  <c r="E445" i="5"/>
  <c r="Q348" i="5"/>
  <c r="Q350" i="5"/>
  <c r="E350" i="5"/>
  <c r="Q364" i="5"/>
  <c r="Q367" i="5"/>
  <c r="E367" i="5"/>
  <c r="Q374" i="5"/>
  <c r="Q386" i="5"/>
  <c r="Q398" i="5"/>
  <c r="Q410" i="5"/>
  <c r="Q422" i="5"/>
  <c r="Q434" i="5"/>
  <c r="Q446" i="5"/>
  <c r="Q375" i="5"/>
  <c r="Q387" i="5"/>
  <c r="Q399" i="5"/>
  <c r="Q411" i="5"/>
  <c r="Q423" i="5"/>
  <c r="Q435" i="5"/>
  <c r="Q472" i="5"/>
  <c r="E467" i="5"/>
  <c r="Q473" i="5"/>
  <c r="Q485" i="5"/>
  <c r="Q497" i="5"/>
  <c r="Q509" i="5"/>
  <c r="Q461" i="5"/>
  <c r="Q464" i="5"/>
  <c r="E464" i="5"/>
  <c r="Q474" i="5"/>
  <c r="Q486" i="5"/>
  <c r="Q498" i="5"/>
  <c r="Q510" i="5"/>
  <c r="E353" i="5"/>
  <c r="E365" i="5"/>
  <c r="E377" i="5"/>
  <c r="E389" i="5"/>
  <c r="E401" i="5"/>
  <c r="E413" i="5"/>
  <c r="E425" i="5"/>
  <c r="E475" i="5"/>
  <c r="E487" i="5"/>
  <c r="E499" i="5"/>
  <c r="E511" i="5"/>
  <c r="E384" i="5"/>
  <c r="E396" i="5"/>
  <c r="E408" i="5"/>
  <c r="E420" i="5"/>
  <c r="E432" i="5"/>
  <c r="E444" i="5"/>
  <c r="Q476" i="5"/>
  <c r="Q488" i="5"/>
  <c r="Q500" i="5"/>
  <c r="Q512" i="5"/>
  <c r="E379" i="5"/>
  <c r="E391" i="5"/>
  <c r="D398" i="5"/>
  <c r="E403" i="5"/>
  <c r="E415" i="5"/>
  <c r="E427" i="5"/>
  <c r="E439" i="5"/>
  <c r="E451" i="5"/>
  <c r="Q462" i="5"/>
  <c r="Q465" i="5"/>
  <c r="Q477" i="5"/>
  <c r="Q489" i="5"/>
  <c r="E362" i="5"/>
  <c r="E374" i="5"/>
  <c r="E386" i="5"/>
  <c r="E398" i="5"/>
  <c r="E410" i="5"/>
  <c r="E422" i="5"/>
  <c r="E434" i="5"/>
  <c r="D441" i="5"/>
  <c r="E446" i="5"/>
  <c r="Q459" i="5"/>
  <c r="Q469" i="5"/>
  <c r="Q478" i="5"/>
  <c r="Q490" i="5"/>
  <c r="Q502" i="5"/>
  <c r="Q514" i="5"/>
  <c r="D400" i="5"/>
  <c r="E441" i="5"/>
  <c r="E453" i="5"/>
  <c r="E479" i="5"/>
  <c r="E491" i="5"/>
  <c r="E364" i="5"/>
  <c r="E376" i="5"/>
  <c r="E388" i="5"/>
  <c r="E400" i="5"/>
  <c r="E412" i="5"/>
  <c r="E424" i="5"/>
  <c r="E436" i="5"/>
  <c r="E448" i="5"/>
  <c r="D455" i="5"/>
  <c r="C455" i="5"/>
  <c r="Q457" i="5"/>
  <c r="E457" i="5"/>
  <c r="E504" i="5"/>
  <c r="E516" i="5"/>
  <c r="E455" i="5"/>
  <c r="Q460" i="5"/>
  <c r="Q481" i="5"/>
  <c r="Q493" i="5"/>
  <c r="Q505" i="5"/>
  <c r="Q517" i="5"/>
  <c r="E463" i="5"/>
  <c r="Q466" i="5"/>
  <c r="Q471" i="5"/>
  <c r="Q483" i="5"/>
  <c r="Q495" i="5"/>
  <c r="Q507" i="5"/>
  <c r="Q523" i="5"/>
  <c r="Q544" i="5"/>
  <c r="Q556" i="5"/>
  <c r="Q568" i="5"/>
  <c r="Q580" i="5"/>
  <c r="Q529" i="5"/>
  <c r="Q533" i="5"/>
  <c r="Q545" i="5"/>
  <c r="Q581" i="5"/>
  <c r="E519" i="5"/>
  <c r="Q534" i="5"/>
  <c r="Q546" i="5"/>
  <c r="Q558" i="5"/>
  <c r="Q570" i="5"/>
  <c r="D462" i="5"/>
  <c r="C462" i="5"/>
  <c r="Q535" i="5"/>
  <c r="E547" i="5"/>
  <c r="E462" i="5"/>
  <c r="E474" i="5"/>
  <c r="E486" i="5"/>
  <c r="D493" i="5"/>
  <c r="C493" i="5"/>
  <c r="E498" i="5"/>
  <c r="E510" i="5"/>
  <c r="Q521" i="5"/>
  <c r="Q530" i="5"/>
  <c r="E536" i="5"/>
  <c r="E548" i="5"/>
  <c r="E560" i="5"/>
  <c r="E572" i="5"/>
  <c r="E469" i="5"/>
  <c r="E481" i="5"/>
  <c r="E493" i="5"/>
  <c r="E505" i="5"/>
  <c r="E517" i="5"/>
  <c r="E524" i="5"/>
  <c r="Q527" i="5"/>
  <c r="Q537" i="5"/>
  <c r="Q549" i="5"/>
  <c r="Q561" i="5"/>
  <c r="Q573" i="5"/>
  <c r="E476" i="5"/>
  <c r="E488" i="5"/>
  <c r="E500" i="5"/>
  <c r="E512" i="5"/>
  <c r="D538" i="5"/>
  <c r="C538" i="5"/>
  <c r="E459" i="5"/>
  <c r="E471" i="5"/>
  <c r="E483" i="5"/>
  <c r="E495" i="5"/>
  <c r="E507" i="5"/>
  <c r="Q539" i="5"/>
  <c r="Q551" i="5"/>
  <c r="Q563" i="5"/>
  <c r="Q575" i="5"/>
  <c r="E466" i="5"/>
  <c r="E478" i="5"/>
  <c r="E490" i="5"/>
  <c r="D497" i="5"/>
  <c r="C497" i="5"/>
  <c r="E502" i="5"/>
  <c r="E514" i="5"/>
  <c r="Q518" i="5"/>
  <c r="Q525" i="5"/>
  <c r="E525" i="5"/>
  <c r="Q528" i="5"/>
  <c r="E531" i="5"/>
  <c r="Q540" i="5"/>
  <c r="E461" i="5"/>
  <c r="E473" i="5"/>
  <c r="E485" i="5"/>
  <c r="E497" i="5"/>
  <c r="E509" i="5"/>
  <c r="Q522" i="5"/>
  <c r="Q541" i="5"/>
  <c r="Q553" i="5"/>
  <c r="Q565" i="5"/>
  <c r="Q577" i="5"/>
  <c r="D499" i="5"/>
  <c r="C499" i="5"/>
  <c r="Q519" i="5"/>
  <c r="Q542" i="5"/>
  <c r="Q554" i="5"/>
  <c r="Q566" i="5"/>
  <c r="Q578" i="5"/>
  <c r="Q520" i="5"/>
  <c r="E520" i="5"/>
  <c r="Q532" i="5"/>
  <c r="E543" i="5"/>
  <c r="E555" i="5"/>
  <c r="E567" i="5"/>
  <c r="E579" i="5"/>
  <c r="Q524" i="5"/>
  <c r="E526" i="5"/>
  <c r="E588" i="5"/>
  <c r="Q591" i="5"/>
  <c r="E604" i="5"/>
  <c r="E629" i="5"/>
  <c r="Q606" i="5"/>
  <c r="Q618" i="5"/>
  <c r="Q630" i="5"/>
  <c r="E523" i="5"/>
  <c r="E535" i="5"/>
  <c r="Q584" i="5"/>
  <c r="E592" i="5"/>
  <c r="E530" i="5"/>
  <c r="E542" i="5"/>
  <c r="E554" i="5"/>
  <c r="E566" i="5"/>
  <c r="D573" i="5"/>
  <c r="C573" i="5"/>
  <c r="E578" i="5"/>
  <c r="Q586" i="5"/>
  <c r="Q589" i="5"/>
  <c r="E589" i="5"/>
  <c r="Q596" i="5"/>
  <c r="Q608" i="5"/>
  <c r="Q620" i="5"/>
  <c r="Q632" i="5"/>
  <c r="E537" i="5"/>
  <c r="D544" i="5"/>
  <c r="C544" i="5"/>
  <c r="E549" i="5"/>
  <c r="E561" i="5"/>
  <c r="E573" i="5"/>
  <c r="Q597" i="5"/>
  <c r="E532" i="5"/>
  <c r="E544" i="5"/>
  <c r="E556" i="5"/>
  <c r="E568" i="5"/>
  <c r="E580" i="5"/>
  <c r="Q598" i="5"/>
  <c r="Q610" i="5"/>
  <c r="Q622" i="5"/>
  <c r="Q634" i="5"/>
  <c r="E527" i="5"/>
  <c r="E539" i="5"/>
  <c r="E551" i="5"/>
  <c r="E563" i="5"/>
  <c r="E575" i="5"/>
  <c r="Q587" i="5"/>
  <c r="Q590" i="5"/>
  <c r="Q599" i="5"/>
  <c r="Q611" i="5"/>
  <c r="Q623" i="5"/>
  <c r="E522" i="5"/>
  <c r="E534" i="5"/>
  <c r="E546" i="5"/>
  <c r="E558" i="5"/>
  <c r="E570" i="5"/>
  <c r="E581" i="5"/>
  <c r="D593" i="5"/>
  <c r="C593" i="5"/>
  <c r="E600" i="5"/>
  <c r="E612" i="5"/>
  <c r="E624" i="5"/>
  <c r="E529" i="5"/>
  <c r="E541" i="5"/>
  <c r="E553" i="5"/>
  <c r="E565" i="5"/>
  <c r="D572" i="5"/>
  <c r="C572" i="5"/>
  <c r="E577" i="5"/>
  <c r="Q601" i="5"/>
  <c r="Q613" i="5"/>
  <c r="Q625" i="5"/>
  <c r="E582" i="5"/>
  <c r="Q585" i="5"/>
  <c r="Q602" i="5"/>
  <c r="Q594" i="5"/>
  <c r="Q603" i="5"/>
  <c r="Q615" i="5"/>
  <c r="Q627" i="5"/>
  <c r="Q635" i="5"/>
  <c r="Q652" i="5"/>
  <c r="Q664" i="5"/>
  <c r="Q676" i="5"/>
  <c r="Q688" i="5"/>
  <c r="Q637" i="5"/>
  <c r="E637" i="5"/>
  <c r="Q641" i="5"/>
  <c r="Q647" i="5"/>
  <c r="Q654" i="5"/>
  <c r="Q666" i="5"/>
  <c r="Q678" i="5"/>
  <c r="D635" i="5"/>
  <c r="E639" i="5"/>
  <c r="E644" i="5"/>
  <c r="E587" i="5"/>
  <c r="E599" i="5"/>
  <c r="E611" i="5"/>
  <c r="E623" i="5"/>
  <c r="E635" i="5"/>
  <c r="Q648" i="5"/>
  <c r="E656" i="5"/>
  <c r="E668" i="5"/>
  <c r="E680" i="5"/>
  <c r="E594" i="5"/>
  <c r="E606" i="5"/>
  <c r="E618" i="5"/>
  <c r="E630" i="5"/>
  <c r="Q636" i="5"/>
  <c r="Q657" i="5"/>
  <c r="Q669" i="5"/>
  <c r="Q681" i="5"/>
  <c r="E601" i="5"/>
  <c r="E613" i="5"/>
  <c r="E625" i="5"/>
  <c r="Q645" i="5"/>
  <c r="E645" i="5"/>
  <c r="E620" i="5"/>
  <c r="E632" i="5"/>
  <c r="Q638" i="5"/>
  <c r="E638" i="5"/>
  <c r="D638" i="5"/>
  <c r="C638" i="5"/>
  <c r="Q642" i="5"/>
  <c r="Q649" i="5"/>
  <c r="Q659" i="5"/>
  <c r="Q671" i="5"/>
  <c r="Q683" i="5"/>
  <c r="E591" i="5"/>
  <c r="E603" i="5"/>
  <c r="E615" i="5"/>
  <c r="D622" i="5"/>
  <c r="E627" i="5"/>
  <c r="E586" i="5"/>
  <c r="E598" i="5"/>
  <c r="E610" i="5"/>
  <c r="E622" i="5"/>
  <c r="E634" i="5"/>
  <c r="Q650" i="5"/>
  <c r="Q661" i="5"/>
  <c r="Q673" i="5"/>
  <c r="Q685" i="5"/>
  <c r="Q640" i="5"/>
  <c r="E640" i="5"/>
  <c r="E643" i="5"/>
  <c r="Q662" i="5"/>
  <c r="Q674" i="5"/>
  <c r="Q686" i="5"/>
  <c r="E651" i="5"/>
  <c r="E663" i="5"/>
  <c r="E675" i="5"/>
  <c r="E687" i="5"/>
  <c r="Q691" i="5"/>
  <c r="E712" i="5"/>
  <c r="E724" i="5"/>
  <c r="E736" i="5"/>
  <c r="Q713" i="5"/>
  <c r="Q725" i="5"/>
  <c r="Q737" i="5"/>
  <c r="Q692" i="5"/>
  <c r="Q698" i="5"/>
  <c r="Q703" i="5"/>
  <c r="Q715" i="5"/>
  <c r="Q727" i="5"/>
  <c r="E650" i="5"/>
  <c r="E662" i="5"/>
  <c r="E674" i="5"/>
  <c r="E686" i="5"/>
  <c r="E695" i="5"/>
  <c r="Q704" i="5"/>
  <c r="E657" i="5"/>
  <c r="D664" i="5"/>
  <c r="E669" i="5"/>
  <c r="E681" i="5"/>
  <c r="E699" i="5"/>
  <c r="Q705" i="5"/>
  <c r="Q717" i="5"/>
  <c r="Q729" i="5"/>
  <c r="E652" i="5"/>
  <c r="E664" i="5"/>
  <c r="E676" i="5"/>
  <c r="E688" i="5"/>
  <c r="Q706" i="5"/>
  <c r="Q718" i="5"/>
  <c r="Q730" i="5"/>
  <c r="E647" i="5"/>
  <c r="E659" i="5"/>
  <c r="E671" i="5"/>
  <c r="E683" i="5"/>
  <c r="E707" i="5"/>
  <c r="E719" i="5"/>
  <c r="E731" i="5"/>
  <c r="E642" i="5"/>
  <c r="E654" i="5"/>
  <c r="E666" i="5"/>
  <c r="E678" i="5"/>
  <c r="Q693" i="5"/>
  <c r="Q696" i="5"/>
  <c r="E696" i="5"/>
  <c r="E700" i="5"/>
  <c r="Q708" i="5"/>
  <c r="Q720" i="5"/>
  <c r="Q732" i="5"/>
  <c r="D644" i="5"/>
  <c r="C644" i="5"/>
  <c r="E649" i="5"/>
  <c r="E661" i="5"/>
  <c r="E673" i="5"/>
  <c r="E685" i="5"/>
  <c r="Q709" i="5"/>
  <c r="D687" i="5"/>
  <c r="C687" i="5"/>
  <c r="Q701" i="5"/>
  <c r="E701" i="5"/>
  <c r="Q710" i="5"/>
  <c r="Q722" i="5"/>
  <c r="Q734" i="5"/>
  <c r="Q694" i="5"/>
  <c r="Q697" i="5"/>
  <c r="E752" i="5"/>
  <c r="E760" i="5"/>
  <c r="E772" i="5"/>
  <c r="E784" i="5"/>
  <c r="Q746" i="5"/>
  <c r="Q749" i="5"/>
  <c r="E749" i="5"/>
  <c r="Q761" i="5"/>
  <c r="Q773" i="5"/>
  <c r="Q785" i="5"/>
  <c r="Q742" i="5"/>
  <c r="Q786" i="5"/>
  <c r="D718" i="5"/>
  <c r="C718" i="5"/>
  <c r="Q739" i="5"/>
  <c r="E753" i="5"/>
  <c r="Q763" i="5"/>
  <c r="Q775" i="5"/>
  <c r="E694" i="5"/>
  <c r="E706" i="5"/>
  <c r="E718" i="5"/>
  <c r="E730" i="5"/>
  <c r="D737" i="5"/>
  <c r="C737" i="5"/>
  <c r="Q747" i="5"/>
  <c r="Q750" i="5"/>
  <c r="E713" i="5"/>
  <c r="E725" i="5"/>
  <c r="E737" i="5"/>
  <c r="E742" i="5"/>
  <c r="Q744" i="5"/>
  <c r="Q754" i="5"/>
  <c r="E754" i="5"/>
  <c r="E777" i="5"/>
  <c r="E708" i="5"/>
  <c r="E720" i="5"/>
  <c r="E732" i="5"/>
  <c r="D739" i="5"/>
  <c r="C739" i="5"/>
  <c r="Q766" i="5"/>
  <c r="Q778" i="5"/>
  <c r="Q790" i="5"/>
  <c r="E715" i="5"/>
  <c r="E727" i="5"/>
  <c r="E739" i="5"/>
  <c r="E741" i="5"/>
  <c r="D767" i="5"/>
  <c r="C767" i="5"/>
  <c r="E698" i="5"/>
  <c r="E710" i="5"/>
  <c r="E722" i="5"/>
  <c r="E734" i="5"/>
  <c r="E740" i="5"/>
  <c r="Q756" i="5"/>
  <c r="Q768" i="5"/>
  <c r="Q780" i="5"/>
  <c r="E693" i="5"/>
  <c r="E705" i="5"/>
  <c r="E717" i="5"/>
  <c r="E729" i="5"/>
  <c r="E748" i="5"/>
  <c r="Q751" i="5"/>
  <c r="D719" i="5"/>
  <c r="Q758" i="5"/>
  <c r="Q770" i="5"/>
  <c r="Q782" i="5"/>
  <c r="Q759" i="5"/>
  <c r="Q771" i="5"/>
  <c r="Q783" i="5"/>
  <c r="Q787" i="5"/>
  <c r="E806" i="5"/>
  <c r="Q810" i="5"/>
  <c r="Q788" i="5"/>
  <c r="Q792" i="5"/>
  <c r="Q799" i="5"/>
  <c r="Q822" i="5"/>
  <c r="E789" i="5"/>
  <c r="Q789" i="5"/>
  <c r="E795" i="5"/>
  <c r="Q802" i="5"/>
  <c r="E802" i="5"/>
  <c r="Q807" i="5"/>
  <c r="E807" i="5"/>
  <c r="E747" i="5"/>
  <c r="E759" i="5"/>
  <c r="E771" i="5"/>
  <c r="D778" i="5"/>
  <c r="C778" i="5"/>
  <c r="E783" i="5"/>
  <c r="Q791" i="5"/>
  <c r="Q804" i="5"/>
  <c r="Q812" i="5"/>
  <c r="E766" i="5"/>
  <c r="E778" i="5"/>
  <c r="E788" i="5"/>
  <c r="Q798" i="5"/>
  <c r="E813" i="5"/>
  <c r="E825" i="5"/>
  <c r="E761" i="5"/>
  <c r="E773" i="5"/>
  <c r="E785" i="5"/>
  <c r="E790" i="5"/>
  <c r="E744" i="5"/>
  <c r="D751" i="5"/>
  <c r="C751" i="5"/>
  <c r="E756" i="5"/>
  <c r="E768" i="5"/>
  <c r="E780" i="5"/>
  <c r="E794" i="5"/>
  <c r="E801" i="5"/>
  <c r="Q839" i="5"/>
  <c r="D746" i="5"/>
  <c r="C746" i="5"/>
  <c r="E751" i="5"/>
  <c r="E763" i="5"/>
  <c r="E775" i="5"/>
  <c r="Q816" i="5"/>
  <c r="E828" i="5"/>
  <c r="E746" i="5"/>
  <c r="E758" i="5"/>
  <c r="E770" i="5"/>
  <c r="E782" i="5"/>
  <c r="Q797" i="5"/>
  <c r="Q803" i="5"/>
  <c r="E829" i="5"/>
  <c r="Q793" i="5"/>
  <c r="E800" i="5"/>
  <c r="D800" i="5"/>
  <c r="C800" i="5"/>
  <c r="Q809" i="5"/>
  <c r="E809" i="5"/>
  <c r="E786" i="5"/>
  <c r="Q795" i="5"/>
  <c r="E819" i="5"/>
  <c r="Q806" i="5"/>
  <c r="Q893" i="5"/>
  <c r="Q841" i="5"/>
  <c r="E844" i="5"/>
  <c r="D815" i="5"/>
  <c r="C815" i="5"/>
  <c r="Q818" i="5"/>
  <c r="Q824" i="5"/>
  <c r="Q837" i="5"/>
  <c r="E894" i="5"/>
  <c r="E850" i="5"/>
  <c r="Q878" i="5"/>
  <c r="E878" i="5"/>
  <c r="E815" i="5"/>
  <c r="Q815" i="5"/>
  <c r="E821" i="5"/>
  <c r="Q821" i="5"/>
  <c r="E827" i="5"/>
  <c r="Q827" i="5"/>
  <c r="E836" i="5"/>
  <c r="Q836" i="5"/>
  <c r="Q891" i="5"/>
  <c r="E891" i="5"/>
  <c r="E895" i="5"/>
  <c r="D895" i="5"/>
  <c r="C895" i="5"/>
  <c r="Q828" i="5"/>
  <c r="Q829" i="5"/>
  <c r="Q835" i="5"/>
  <c r="Q843" i="5"/>
  <c r="E883" i="5"/>
  <c r="Q883" i="5"/>
  <c r="Q830" i="5"/>
  <c r="Q831" i="5"/>
  <c r="D832" i="5"/>
  <c r="Q832" i="5"/>
  <c r="Q834" i="5"/>
  <c r="Q844" i="5"/>
  <c r="Q895" i="5"/>
  <c r="E804" i="5"/>
  <c r="E835" i="5"/>
  <c r="E845" i="5"/>
  <c r="Q845" i="5"/>
  <c r="Q850" i="5"/>
  <c r="E900" i="5"/>
  <c r="Q900" i="5"/>
  <c r="E810" i="5"/>
  <c r="Q813" i="5"/>
  <c r="E816" i="5"/>
  <c r="Q819" i="5"/>
  <c r="E822" i="5"/>
  <c r="Q825" i="5"/>
  <c r="E830" i="5"/>
  <c r="E839" i="5"/>
  <c r="E876" i="5"/>
  <c r="Q876" i="5"/>
  <c r="E814" i="5"/>
  <c r="E820" i="5"/>
  <c r="E826" i="5"/>
  <c r="E832" i="5"/>
  <c r="E834" i="5"/>
  <c r="Q889" i="5"/>
  <c r="E889" i="5"/>
  <c r="I3" i="6"/>
  <c r="G3" i="6"/>
  <c r="M3" i="6"/>
  <c r="Q875" i="5"/>
  <c r="E880" i="5"/>
  <c r="D880" i="5"/>
  <c r="C880" i="5"/>
  <c r="Q885" i="5"/>
  <c r="E885" i="5"/>
  <c r="E897" i="5"/>
  <c r="E859" i="5"/>
  <c r="E862" i="5"/>
  <c r="Q865" i="5"/>
  <c r="E865" i="5"/>
  <c r="E875" i="5"/>
  <c r="E847" i="5"/>
  <c r="D859" i="5"/>
  <c r="E882" i="5"/>
  <c r="E887" i="5"/>
  <c r="Q887" i="5"/>
  <c r="E833" i="5"/>
  <c r="Q846" i="5"/>
  <c r="E846" i="5"/>
  <c r="E848" i="5"/>
  <c r="D841" i="5"/>
  <c r="C841" i="5"/>
  <c r="Q854" i="5"/>
  <c r="E854" i="5"/>
  <c r="Q874" i="5"/>
  <c r="M2" i="6"/>
  <c r="I2" i="6"/>
  <c r="G2" i="6"/>
  <c r="Q866" i="5"/>
  <c r="D881" i="5"/>
  <c r="C881" i="5"/>
  <c r="E893" i="5"/>
  <c r="Q898" i="5"/>
  <c r="E898" i="5"/>
  <c r="E863" i="5"/>
  <c r="Q863" i="5"/>
  <c r="E869" i="5"/>
  <c r="Q869" i="5"/>
  <c r="Q882" i="5"/>
  <c r="Q861" i="5"/>
  <c r="E861" i="5"/>
  <c r="E870" i="5"/>
  <c r="Q862" i="5"/>
  <c r="E852" i="5"/>
  <c r="E856" i="5"/>
  <c r="Q857" i="5"/>
  <c r="Q867" i="5"/>
  <c r="Q899" i="5"/>
  <c r="Q890" i="5"/>
  <c r="M7" i="6"/>
  <c r="E868" i="5"/>
  <c r="E892" i="5"/>
  <c r="I8" i="6"/>
  <c r="G9" i="6"/>
  <c r="I9" i="6"/>
  <c r="D891" i="5"/>
  <c r="D663" i="5"/>
  <c r="D611" i="5"/>
  <c r="C611" i="5"/>
  <c r="D507" i="5"/>
  <c r="D526" i="5"/>
  <c r="D470" i="5"/>
  <c r="C470" i="5"/>
  <c r="D376" i="5"/>
  <c r="D429" i="5"/>
  <c r="D296" i="5"/>
  <c r="C296" i="5"/>
  <c r="D347" i="5"/>
  <c r="C347" i="5"/>
  <c r="N347" i="5"/>
  <c r="D292" i="5"/>
  <c r="D285" i="5"/>
  <c r="D255" i="5"/>
  <c r="D185" i="5"/>
  <c r="D212" i="5"/>
  <c r="D131" i="5"/>
  <c r="D88" i="5"/>
  <c r="D82" i="5"/>
  <c r="C82" i="5"/>
  <c r="D111" i="5"/>
  <c r="C111" i="5"/>
  <c r="D38" i="5"/>
  <c r="D50" i="5"/>
  <c r="D8" i="5"/>
  <c r="C8" i="5"/>
  <c r="I8" i="5" a="1"/>
  <c r="I8" i="5"/>
  <c r="D599" i="5"/>
  <c r="D579" i="5"/>
  <c r="D490" i="5"/>
  <c r="D433" i="5"/>
  <c r="C433" i="5"/>
  <c r="D359" i="5"/>
  <c r="C359" i="5"/>
  <c r="D364" i="5"/>
  <c r="D427" i="5"/>
  <c r="D263" i="5"/>
  <c r="C263" i="5"/>
  <c r="D338" i="5"/>
  <c r="D256" i="5"/>
  <c r="C256" i="5"/>
  <c r="D178" i="5"/>
  <c r="D231" i="5"/>
  <c r="C231" i="5"/>
  <c r="D159" i="5"/>
  <c r="D200" i="5"/>
  <c r="D73" i="5"/>
  <c r="C73" i="5"/>
  <c r="D93" i="5"/>
  <c r="D98" i="5"/>
  <c r="D67" i="5"/>
  <c r="D244" i="5"/>
  <c r="C244" i="5"/>
  <c r="D99" i="5"/>
  <c r="D26" i="5"/>
  <c r="C26" i="5"/>
  <c r="D24" i="5"/>
  <c r="C24" i="5"/>
  <c r="E872" i="5"/>
  <c r="D878" i="5"/>
  <c r="C878" i="5"/>
  <c r="I878" i="5" a="1"/>
  <c r="I878" i="5"/>
  <c r="D675" i="5"/>
  <c r="C675" i="5"/>
  <c r="D623" i="5"/>
  <c r="C623" i="5"/>
  <c r="D617" i="5"/>
  <c r="C617" i="5"/>
  <c r="D371" i="5"/>
  <c r="C371" i="5"/>
  <c r="D360" i="5"/>
  <c r="C360" i="5"/>
  <c r="D243" i="5"/>
  <c r="C243" i="5"/>
  <c r="D85" i="5"/>
  <c r="C85" i="5"/>
  <c r="D123" i="5"/>
  <c r="C123" i="5"/>
  <c r="D36" i="5"/>
  <c r="C36" i="5"/>
  <c r="D857" i="5"/>
  <c r="D741" i="5"/>
  <c r="C741" i="5"/>
  <c r="D801" i="5"/>
  <c r="C801" i="5"/>
  <c r="D651" i="5"/>
  <c r="D649" i="5"/>
  <c r="D642" i="5"/>
  <c r="D647" i="5"/>
  <c r="C647" i="5"/>
  <c r="D646" i="5"/>
  <c r="C646" i="5"/>
  <c r="D625" i="5"/>
  <c r="D577" i="5"/>
  <c r="D539" i="5"/>
  <c r="D554" i="5"/>
  <c r="D866" i="5"/>
  <c r="C866" i="5"/>
  <c r="D813" i="5"/>
  <c r="C813" i="5"/>
  <c r="D816" i="5"/>
  <c r="C816" i="5"/>
  <c r="M816" i="5"/>
  <c r="D850" i="5"/>
  <c r="D784" i="5"/>
  <c r="D780" i="5"/>
  <c r="D773" i="5"/>
  <c r="D771" i="5"/>
  <c r="D729" i="5"/>
  <c r="D734" i="5"/>
  <c r="D715" i="5"/>
  <c r="D732" i="5"/>
  <c r="D713" i="5"/>
  <c r="D639" i="5"/>
  <c r="C639" i="5"/>
  <c r="D598" i="5"/>
  <c r="D627" i="5"/>
  <c r="D620" i="5"/>
  <c r="C620" i="5"/>
  <c r="D618" i="5"/>
  <c r="D587" i="5"/>
  <c r="D567" i="5"/>
  <c r="D548" i="5"/>
  <c r="C548" i="5"/>
  <c r="D549" i="5"/>
  <c r="D542" i="5"/>
  <c r="D473" i="5"/>
  <c r="D495" i="5"/>
  <c r="C495" i="5"/>
  <c r="D469" i="5"/>
  <c r="D421" i="5"/>
  <c r="C421" i="5"/>
  <c r="J421" i="5"/>
  <c r="D446" i="5"/>
  <c r="D374" i="5"/>
  <c r="D444" i="5"/>
  <c r="D284" i="5"/>
  <c r="C284" i="5"/>
  <c r="D335" i="5"/>
  <c r="C335" i="5"/>
  <c r="D251" i="5"/>
  <c r="C251" i="5"/>
  <c r="D280" i="5"/>
  <c r="D345" i="5"/>
  <c r="C345" i="5"/>
  <c r="D273" i="5"/>
  <c r="C273" i="5"/>
  <c r="D326" i="5"/>
  <c r="D269" i="5"/>
  <c r="D250" i="5"/>
  <c r="C250" i="5"/>
  <c r="D245" i="5"/>
  <c r="D173" i="5"/>
  <c r="D188" i="5"/>
  <c r="D119" i="5"/>
  <c r="D76" i="5"/>
  <c r="C76" i="5"/>
  <c r="D232" i="5"/>
  <c r="C232" i="5"/>
  <c r="D87" i="5"/>
  <c r="D19" i="5"/>
  <c r="C19" i="5"/>
  <c r="E817" i="5"/>
  <c r="E840" i="5"/>
  <c r="E843" i="5"/>
  <c r="D766" i="5"/>
  <c r="C766" i="5"/>
  <c r="D443" i="5"/>
  <c r="C443" i="5"/>
  <c r="D696" i="5"/>
  <c r="D555" i="5"/>
  <c r="D565" i="5"/>
  <c r="D518" i="5"/>
  <c r="D525" i="5"/>
  <c r="D478" i="5"/>
  <c r="D512" i="5"/>
  <c r="D409" i="5"/>
  <c r="C409" i="5"/>
  <c r="D419" i="5"/>
  <c r="C419" i="5"/>
  <c r="D405" i="5"/>
  <c r="C405" i="5"/>
  <c r="D362" i="5"/>
  <c r="C362" i="5"/>
  <c r="D415" i="5"/>
  <c r="D432" i="5"/>
  <c r="D339" i="5"/>
  <c r="D314" i="5"/>
  <c r="D368" i="5"/>
  <c r="D238" i="5"/>
  <c r="D166" i="5"/>
  <c r="D219" i="5"/>
  <c r="D176" i="5"/>
  <c r="D142" i="5"/>
  <c r="C142" i="5"/>
  <c r="D147" i="5"/>
  <c r="D61" i="5"/>
  <c r="C61" i="5"/>
  <c r="G61" i="5"/>
  <c r="D81" i="5"/>
  <c r="D86" i="5"/>
  <c r="D55" i="5"/>
  <c r="D220" i="5"/>
  <c r="C220" i="5"/>
  <c r="D70" i="5"/>
  <c r="C70" i="5"/>
  <c r="D75" i="5"/>
  <c r="D869" i="5"/>
  <c r="D828" i="5"/>
  <c r="D808" i="5"/>
  <c r="C808" i="5"/>
  <c r="D605" i="5"/>
  <c r="C605" i="5"/>
  <c r="D629" i="5"/>
  <c r="D806" i="5"/>
  <c r="C806" i="5"/>
  <c r="K806" i="5"/>
  <c r="D748" i="5"/>
  <c r="C748" i="5"/>
  <c r="P748" i="5"/>
  <c r="D782" i="5"/>
  <c r="C782" i="5"/>
  <c r="D768" i="5"/>
  <c r="C768" i="5"/>
  <c r="D761" i="5"/>
  <c r="C761" i="5"/>
  <c r="D747" i="5"/>
  <c r="C747" i="5"/>
  <c r="D717" i="5"/>
  <c r="C717" i="5"/>
  <c r="D722" i="5"/>
  <c r="C722" i="5"/>
  <c r="D703" i="5"/>
  <c r="C703" i="5"/>
  <c r="D720" i="5"/>
  <c r="C720" i="5"/>
  <c r="D681" i="5"/>
  <c r="C681" i="5"/>
  <c r="D674" i="5"/>
  <c r="C674" i="5"/>
  <c r="D702" i="5"/>
  <c r="C702" i="5"/>
  <c r="L702" i="5"/>
  <c r="D586" i="5"/>
  <c r="C586" i="5"/>
  <c r="D615" i="5"/>
  <c r="C615" i="5"/>
  <c r="D608" i="5"/>
  <c r="C608" i="5"/>
  <c r="D606" i="5"/>
  <c r="C606" i="5"/>
  <c r="D543" i="5"/>
  <c r="C543" i="5"/>
  <c r="D536" i="5"/>
  <c r="C536" i="5"/>
  <c r="D580" i="5"/>
  <c r="C580" i="5"/>
  <c r="D537" i="5"/>
  <c r="C537" i="5"/>
  <c r="D530" i="5"/>
  <c r="C530" i="5"/>
  <c r="D461" i="5"/>
  <c r="C461" i="5"/>
  <c r="D483" i="5"/>
  <c r="C483" i="5"/>
  <c r="D397" i="5"/>
  <c r="C397" i="5"/>
  <c r="F397" i="5"/>
  <c r="D434" i="5"/>
  <c r="C434" i="5"/>
  <c r="K434" i="5"/>
  <c r="D458" i="5"/>
  <c r="C458" i="5"/>
  <c r="D327" i="5"/>
  <c r="C327" i="5"/>
  <c r="D272" i="5"/>
  <c r="C272" i="5"/>
  <c r="D351" i="5"/>
  <c r="C351" i="5"/>
  <c r="D323" i="5"/>
  <c r="C323" i="5"/>
  <c r="D340" i="5"/>
  <c r="C340" i="5"/>
  <c r="D268" i="5"/>
  <c r="C268" i="5"/>
  <c r="D333" i="5"/>
  <c r="C333" i="5"/>
  <c r="D261" i="5"/>
  <c r="C261" i="5"/>
  <c r="D302" i="5"/>
  <c r="C302" i="5"/>
  <c r="D237" i="5"/>
  <c r="C237" i="5"/>
  <c r="K237" i="5"/>
  <c r="D346" i="5"/>
  <c r="C346" i="5"/>
  <c r="G346" i="5"/>
  <c r="D233" i="5"/>
  <c r="C233" i="5"/>
  <c r="D161" i="5"/>
  <c r="C161" i="5"/>
  <c r="D164" i="5"/>
  <c r="C164" i="5"/>
  <c r="D104" i="5"/>
  <c r="C104" i="5"/>
  <c r="D138" i="5"/>
  <c r="C138" i="5"/>
  <c r="D107" i="5"/>
  <c r="C107" i="5"/>
  <c r="D136" i="5"/>
  <c r="C136" i="5"/>
  <c r="D64" i="5"/>
  <c r="C64" i="5"/>
  <c r="D208" i="5"/>
  <c r="C208" i="5"/>
  <c r="D63" i="5"/>
  <c r="C63" i="5"/>
  <c r="D133" i="5"/>
  <c r="C133" i="5"/>
  <c r="O133" i="5"/>
  <c r="D34" i="5"/>
  <c r="C34" i="5"/>
  <c r="D9" i="5"/>
  <c r="C9" i="5"/>
  <c r="C304" i="5"/>
  <c r="D582" i="5"/>
  <c r="C582" i="5"/>
  <c r="D695" i="5"/>
  <c r="C695" i="5"/>
  <c r="D652" i="5"/>
  <c r="D632" i="5"/>
  <c r="D786" i="5"/>
  <c r="D882" i="5"/>
  <c r="D794" i="5"/>
  <c r="D843" i="5"/>
  <c r="C843" i="5"/>
  <c r="D848" i="5"/>
  <c r="C848" i="5"/>
  <c r="M848" i="5"/>
  <c r="D690" i="5"/>
  <c r="C690" i="5"/>
  <c r="D662" i="5"/>
  <c r="C662" i="5"/>
  <c r="D603" i="5"/>
  <c r="C603" i="5"/>
  <c r="D601" i="5"/>
  <c r="D531" i="5"/>
  <c r="C531" i="5"/>
  <c r="D553" i="5"/>
  <c r="C553" i="5"/>
  <c r="D570" i="5"/>
  <c r="C570" i="5"/>
  <c r="D583" i="5"/>
  <c r="C583" i="5"/>
  <c r="D589" i="5"/>
  <c r="C589" i="5"/>
  <c r="D516" i="5"/>
  <c r="C516" i="5"/>
  <c r="D466" i="5"/>
  <c r="D500" i="5"/>
  <c r="C500" i="5"/>
  <c r="P500" i="5"/>
  <c r="D519" i="5"/>
  <c r="D385" i="5"/>
  <c r="C385" i="5"/>
  <c r="D492" i="5"/>
  <c r="C492" i="5"/>
  <c r="D407" i="5"/>
  <c r="D448" i="5"/>
  <c r="C448" i="5"/>
  <c r="D393" i="5"/>
  <c r="D403" i="5"/>
  <c r="C403" i="5"/>
  <c r="D420" i="5"/>
  <c r="C420" i="5"/>
  <c r="D315" i="5"/>
  <c r="C315" i="5"/>
  <c r="D290" i="5"/>
  <c r="C290" i="5"/>
  <c r="D355" i="5"/>
  <c r="C355" i="5"/>
  <c r="D225" i="5"/>
  <c r="C225" i="5"/>
  <c r="F225" i="5"/>
  <c r="D334" i="5"/>
  <c r="C334" i="5"/>
  <c r="D149" i="5"/>
  <c r="C149" i="5"/>
  <c r="D226" i="5"/>
  <c r="D320" i="5"/>
  <c r="C320" i="5"/>
  <c r="D207" i="5"/>
  <c r="D152" i="5"/>
  <c r="D92" i="5"/>
  <c r="C92" i="5"/>
  <c r="D49" i="5"/>
  <c r="C49" i="5"/>
  <c r="D141" i="5"/>
  <c r="C141" i="5"/>
  <c r="D69" i="5"/>
  <c r="D148" i="5"/>
  <c r="D74" i="5"/>
  <c r="C74" i="5"/>
  <c r="D139" i="5"/>
  <c r="C139" i="5"/>
  <c r="D43" i="5"/>
  <c r="C43" i="5"/>
  <c r="D196" i="5"/>
  <c r="D109" i="5"/>
  <c r="C109" i="5"/>
  <c r="D44" i="5"/>
  <c r="C44" i="5"/>
  <c r="D39" i="5"/>
  <c r="D707" i="5"/>
  <c r="D659" i="5"/>
  <c r="D487" i="5"/>
  <c r="C487" i="5"/>
  <c r="D502" i="5"/>
  <c r="D275" i="5"/>
  <c r="C275" i="5"/>
  <c r="D830" i="5"/>
  <c r="D727" i="5"/>
  <c r="D630" i="5"/>
  <c r="D560" i="5"/>
  <c r="C560" i="5"/>
  <c r="D561" i="5"/>
  <c r="D875" i="5"/>
  <c r="D822" i="5"/>
  <c r="D883" i="5"/>
  <c r="D759" i="5"/>
  <c r="D640" i="5"/>
  <c r="D613" i="5"/>
  <c r="D863" i="5"/>
  <c r="D743" i="5"/>
  <c r="C743" i="5"/>
  <c r="K743" i="5"/>
  <c r="D691" i="5"/>
  <c r="C691" i="5"/>
  <c r="D680" i="5"/>
  <c r="C680" i="5"/>
  <c r="D894" i="5"/>
  <c r="D854" i="5"/>
  <c r="C854" i="5"/>
  <c r="D887" i="5"/>
  <c r="D829" i="5"/>
  <c r="D900" i="5"/>
  <c r="C900" i="5"/>
  <c r="D835" i="5"/>
  <c r="C835" i="5"/>
  <c r="D827" i="5"/>
  <c r="D770" i="5"/>
  <c r="D775" i="5"/>
  <c r="D756" i="5"/>
  <c r="C756" i="5"/>
  <c r="D802" i="5"/>
  <c r="C802" i="5"/>
  <c r="D705" i="5"/>
  <c r="D710" i="5"/>
  <c r="D708" i="5"/>
  <c r="C708" i="5"/>
  <c r="D749" i="5"/>
  <c r="D688" i="5"/>
  <c r="D669" i="5"/>
  <c r="C669" i="5"/>
  <c r="D650" i="5"/>
  <c r="C650" i="5"/>
  <c r="D624" i="5"/>
  <c r="C624" i="5"/>
  <c r="D682" i="5"/>
  <c r="C682" i="5"/>
  <c r="D596" i="5"/>
  <c r="D594" i="5"/>
  <c r="C594" i="5"/>
  <c r="D524" i="5"/>
  <c r="C524" i="5"/>
  <c r="I524" i="5" a="1"/>
  <c r="I524" i="5"/>
  <c r="D568" i="5"/>
  <c r="D631" i="5"/>
  <c r="C631" i="5"/>
  <c r="D521" i="5"/>
  <c r="D471" i="5"/>
  <c r="D517" i="5"/>
  <c r="D510" i="5"/>
  <c r="D456" i="5"/>
  <c r="C456" i="5"/>
  <c r="D373" i="5"/>
  <c r="D480" i="5"/>
  <c r="C480" i="5"/>
  <c r="D422" i="5"/>
  <c r="C422" i="5"/>
  <c r="D303" i="5"/>
  <c r="C303" i="5"/>
  <c r="L303" i="5"/>
  <c r="D260" i="5"/>
  <c r="D337" i="5"/>
  <c r="D311" i="5"/>
  <c r="C311" i="5"/>
  <c r="D328" i="5"/>
  <c r="C328" i="5"/>
  <c r="D452" i="5"/>
  <c r="C452" i="5"/>
  <c r="D321" i="5"/>
  <c r="D278" i="5"/>
  <c r="C278" i="5"/>
  <c r="D213" i="5"/>
  <c r="D322" i="5"/>
  <c r="C322" i="5"/>
  <c r="D221" i="5"/>
  <c r="D308" i="5"/>
  <c r="C308" i="5"/>
  <c r="D80" i="5"/>
  <c r="C80" i="5"/>
  <c r="P80" i="5"/>
  <c r="D126" i="5"/>
  <c r="C126" i="5"/>
  <c r="D124" i="5"/>
  <c r="C124" i="5"/>
  <c r="D52" i="5"/>
  <c r="C52" i="5"/>
  <c r="D127" i="5"/>
  <c r="D184" i="5"/>
  <c r="C184" i="5"/>
  <c r="D58" i="5"/>
  <c r="C58" i="5"/>
  <c r="D29" i="5"/>
  <c r="C29" i="5"/>
  <c r="D22" i="5"/>
  <c r="C22" i="5"/>
  <c r="D897" i="5"/>
  <c r="D689" i="5"/>
  <c r="C689" i="5"/>
  <c r="D534" i="5"/>
  <c r="D388" i="5"/>
  <c r="C388" i="5"/>
  <c r="D171" i="5"/>
  <c r="C171" i="5"/>
  <c r="D79" i="5"/>
  <c r="D386" i="5"/>
  <c r="D876" i="5"/>
  <c r="D831" i="5"/>
  <c r="C831" i="5"/>
  <c r="D744" i="5"/>
  <c r="C744" i="5"/>
  <c r="D700" i="5"/>
  <c r="C700" i="5"/>
  <c r="D701" i="5"/>
  <c r="D678" i="5"/>
  <c r="D683" i="5"/>
  <c r="D612" i="5"/>
  <c r="C612" i="5"/>
  <c r="D670" i="5"/>
  <c r="C670" i="5"/>
  <c r="M670" i="5"/>
  <c r="D541" i="5"/>
  <c r="C541" i="5"/>
  <c r="G541" i="5"/>
  <c r="D558" i="5"/>
  <c r="D575" i="5"/>
  <c r="D619" i="5"/>
  <c r="C619" i="5"/>
  <c r="D504" i="5"/>
  <c r="D574" i="5"/>
  <c r="C574" i="5"/>
  <c r="D459" i="5"/>
  <c r="D488" i="5"/>
  <c r="C488" i="5"/>
  <c r="D498" i="5"/>
  <c r="D506" i="5"/>
  <c r="C506" i="5"/>
  <c r="D361" i="5"/>
  <c r="C361" i="5"/>
  <c r="D457" i="5"/>
  <c r="C457" i="5"/>
  <c r="D395" i="5"/>
  <c r="C395" i="5"/>
  <c r="L395" i="5"/>
  <c r="D436" i="5"/>
  <c r="C436" i="5"/>
  <c r="D391" i="5"/>
  <c r="C391" i="5"/>
  <c r="D408" i="5"/>
  <c r="D464" i="5"/>
  <c r="D367" i="5"/>
  <c r="D291" i="5"/>
  <c r="D440" i="5"/>
  <c r="C440" i="5"/>
  <c r="D201" i="5"/>
  <c r="C201" i="5"/>
  <c r="D310" i="5"/>
  <c r="C310" i="5"/>
  <c r="D214" i="5"/>
  <c r="D195" i="5"/>
  <c r="C195" i="5"/>
  <c r="D68" i="5"/>
  <c r="C68" i="5"/>
  <c r="O68" i="5"/>
  <c r="D129" i="5"/>
  <c r="D57" i="5"/>
  <c r="D134" i="5"/>
  <c r="C134" i="5"/>
  <c r="D62" i="5"/>
  <c r="C62" i="5"/>
  <c r="D115" i="5"/>
  <c r="D172" i="5"/>
  <c r="D819" i="5"/>
  <c r="D844" i="5"/>
  <c r="D661" i="5"/>
  <c r="D551" i="5"/>
  <c r="D578" i="5"/>
  <c r="C578" i="5"/>
  <c r="D384" i="5"/>
  <c r="D350" i="5"/>
  <c r="C350" i="5"/>
  <c r="D289" i="5"/>
  <c r="D153" i="5"/>
  <c r="C153" i="5"/>
  <c r="D262" i="5"/>
  <c r="D190" i="5"/>
  <c r="D224" i="5"/>
  <c r="D105" i="5"/>
  <c r="C105" i="5"/>
  <c r="D110" i="5"/>
  <c r="D694" i="5"/>
  <c r="D610" i="5"/>
  <c r="D532" i="5"/>
  <c r="C532" i="5"/>
  <c r="D566" i="5"/>
  <c r="D520" i="5"/>
  <c r="D445" i="5"/>
  <c r="D852" i="5"/>
  <c r="C852" i="5"/>
  <c r="D839" i="5"/>
  <c r="D810" i="5"/>
  <c r="D807" i="5"/>
  <c r="D736" i="5"/>
  <c r="C736" i="5"/>
  <c r="D874" i="5"/>
  <c r="D834" i="5"/>
  <c r="D825" i="5"/>
  <c r="C825" i="5"/>
  <c r="D821" i="5"/>
  <c r="C821" i="5"/>
  <c r="K821" i="5"/>
  <c r="D758" i="5"/>
  <c r="C758" i="5"/>
  <c r="H758" i="5" a="1"/>
  <c r="H758" i="5"/>
  <c r="D763" i="5"/>
  <c r="C763" i="5"/>
  <c r="D790" i="5"/>
  <c r="C790" i="5"/>
  <c r="D693" i="5"/>
  <c r="D754" i="5"/>
  <c r="D676" i="5"/>
  <c r="D657" i="5"/>
  <c r="C657" i="5"/>
  <c r="D726" i="5"/>
  <c r="C726" i="5"/>
  <c r="D600" i="5"/>
  <c r="C600" i="5"/>
  <c r="D634" i="5"/>
  <c r="C634" i="5"/>
  <c r="D658" i="5"/>
  <c r="C658" i="5"/>
  <c r="D637" i="5"/>
  <c r="C637" i="5"/>
  <c r="D556" i="5"/>
  <c r="C556" i="5"/>
  <c r="D607" i="5"/>
  <c r="C607" i="5"/>
  <c r="D509" i="5"/>
  <c r="C509" i="5"/>
  <c r="D562" i="5"/>
  <c r="C562" i="5"/>
  <c r="D505" i="5"/>
  <c r="D486" i="5"/>
  <c r="C486" i="5"/>
  <c r="D494" i="5"/>
  <c r="C494" i="5"/>
  <c r="D424" i="5"/>
  <c r="C424" i="5"/>
  <c r="D453" i="5"/>
  <c r="D410" i="5"/>
  <c r="C410" i="5"/>
  <c r="D468" i="5"/>
  <c r="C468" i="5"/>
  <c r="D279" i="5"/>
  <c r="C279" i="5"/>
  <c r="B279" i="5"/>
  <c r="D248" i="5"/>
  <c r="C248" i="5"/>
  <c r="K248" i="5"/>
  <c r="D325" i="5"/>
  <c r="C325" i="5"/>
  <c r="D369" i="5"/>
  <c r="C369" i="5"/>
  <c r="D381" i="5"/>
  <c r="C381" i="5"/>
  <c r="D316" i="5"/>
  <c r="C316" i="5"/>
  <c r="D428" i="5"/>
  <c r="C428" i="5"/>
  <c r="D309" i="5"/>
  <c r="C309" i="5"/>
  <c r="D266" i="5"/>
  <c r="D189" i="5"/>
  <c r="C189" i="5"/>
  <c r="D298" i="5"/>
  <c r="C298" i="5"/>
  <c r="D209" i="5"/>
  <c r="D249" i="5"/>
  <c r="C249" i="5"/>
  <c r="D56" i="5"/>
  <c r="C56" i="5"/>
  <c r="D114" i="5"/>
  <c r="C114" i="5"/>
  <c r="D112" i="5"/>
  <c r="C112" i="5"/>
  <c r="D40" i="5"/>
  <c r="C40" i="5"/>
  <c r="D45" i="5"/>
  <c r="C45" i="5"/>
  <c r="D103" i="5"/>
  <c r="D160" i="5"/>
  <c r="D17" i="5"/>
  <c r="C17" i="5"/>
  <c r="D10" i="5"/>
  <c r="C10" i="5"/>
  <c r="D27" i="5"/>
  <c r="C27" i="5"/>
  <c r="D32" i="5"/>
  <c r="C32" i="5"/>
  <c r="D755" i="5"/>
  <c r="C755" i="5"/>
  <c r="K755" i="5"/>
  <c r="D706" i="5"/>
  <c r="D654" i="5"/>
  <c r="C654" i="5"/>
  <c r="D439" i="5"/>
  <c r="C439" i="5"/>
  <c r="D785" i="5"/>
  <c r="C785" i="5"/>
  <c r="D796" i="5"/>
  <c r="C796" i="5"/>
  <c r="D725" i="5"/>
  <c r="C725" i="5"/>
  <c r="D485" i="5"/>
  <c r="D481" i="5"/>
  <c r="D783" i="5"/>
  <c r="D772" i="5"/>
  <c r="C772" i="5"/>
  <c r="D686" i="5"/>
  <c r="D885" i="5"/>
  <c r="C885" i="5"/>
  <c r="D765" i="5"/>
  <c r="C765" i="5"/>
  <c r="L765" i="5"/>
  <c r="D668" i="5"/>
  <c r="C668" i="5"/>
  <c r="D685" i="5"/>
  <c r="D738" i="5"/>
  <c r="C738" i="5"/>
  <c r="D584" i="5"/>
  <c r="D898" i="5"/>
  <c r="C898" i="5"/>
  <c r="D871" i="5"/>
  <c r="C871" i="5"/>
  <c r="D899" i="5"/>
  <c r="D847" i="5"/>
  <c r="C847" i="5"/>
  <c r="D865" i="5"/>
  <c r="C865" i="5"/>
  <c r="D809" i="5"/>
  <c r="D777" i="5"/>
  <c r="C777" i="5"/>
  <c r="P777" i="5"/>
  <c r="D795" i="5"/>
  <c r="C795" i="5"/>
  <c r="D788" i="5"/>
  <c r="D731" i="5"/>
  <c r="C731" i="5"/>
  <c r="D779" i="5"/>
  <c r="C779" i="5"/>
  <c r="D742" i="5"/>
  <c r="C742" i="5"/>
  <c r="D730" i="5"/>
  <c r="C730" i="5"/>
  <c r="D673" i="5"/>
  <c r="D666" i="5"/>
  <c r="D671" i="5"/>
  <c r="D714" i="5"/>
  <c r="C714" i="5"/>
  <c r="D588" i="5"/>
  <c r="C588" i="5"/>
  <c r="D645" i="5"/>
  <c r="C645" i="5"/>
  <c r="D581" i="5"/>
  <c r="C581" i="5"/>
  <c r="D529" i="5"/>
  <c r="D546" i="5"/>
  <c r="D563" i="5"/>
  <c r="D595" i="5"/>
  <c r="C595" i="5"/>
  <c r="D511" i="5"/>
  <c r="D514" i="5"/>
  <c r="D550" i="5"/>
  <c r="C550" i="5"/>
  <c r="D476" i="5"/>
  <c r="D474" i="5"/>
  <c r="C474" i="5"/>
  <c r="D482" i="5"/>
  <c r="C482" i="5"/>
  <c r="D383" i="5"/>
  <c r="C383" i="5"/>
  <c r="H383" i="5" a="1"/>
  <c r="H383" i="5"/>
  <c r="D412" i="5"/>
  <c r="C412" i="5"/>
  <c r="D451" i="5"/>
  <c r="C451" i="5"/>
  <c r="D379" i="5"/>
  <c r="C379" i="5"/>
  <c r="D396" i="5"/>
  <c r="D267" i="5"/>
  <c r="C267" i="5"/>
  <c r="D313" i="5"/>
  <c r="D287" i="5"/>
  <c r="D372" i="5"/>
  <c r="D404" i="5"/>
  <c r="C404" i="5"/>
  <c r="D349" i="5"/>
  <c r="D177" i="5"/>
  <c r="C177" i="5"/>
  <c r="D240" i="5"/>
  <c r="C240" i="5"/>
  <c r="D286" i="5"/>
  <c r="D202" i="5"/>
  <c r="D183" i="5"/>
  <c r="C183" i="5"/>
  <c r="D97" i="5"/>
  <c r="C97" i="5"/>
  <c r="D102" i="5"/>
  <c r="D117" i="5"/>
  <c r="D122" i="5"/>
  <c r="D91" i="5"/>
  <c r="D154" i="5"/>
  <c r="L9" i="5"/>
  <c r="B9" i="5"/>
  <c r="K9" i="5"/>
  <c r="I9" i="5" a="1"/>
  <c r="I9" i="5"/>
  <c r="G9" i="5"/>
  <c r="P9" i="5"/>
  <c r="F9" i="5"/>
  <c r="O9" i="5"/>
  <c r="J748" i="5"/>
  <c r="I748" i="5" a="1"/>
  <c r="I748" i="5"/>
  <c r="J530" i="5"/>
  <c r="I530" i="5" a="1"/>
  <c r="I530" i="5"/>
  <c r="H530" i="5" a="1"/>
  <c r="H530" i="5"/>
  <c r="G530" i="5"/>
  <c r="P530" i="5"/>
  <c r="F530" i="5"/>
  <c r="O530" i="5"/>
  <c r="N530" i="5"/>
  <c r="M530" i="5"/>
  <c r="K530" i="5"/>
  <c r="L530" i="5"/>
  <c r="B530" i="5"/>
  <c r="M434" i="5"/>
  <c r="L434" i="5"/>
  <c r="H340" i="5" a="1"/>
  <c r="H340" i="5"/>
  <c r="G340" i="5"/>
  <c r="P340" i="5"/>
  <c r="F340" i="5"/>
  <c r="O340" i="5"/>
  <c r="N340" i="5"/>
  <c r="M340" i="5"/>
  <c r="L340" i="5"/>
  <c r="B340" i="5"/>
  <c r="K340" i="5"/>
  <c r="J340" i="5"/>
  <c r="I340" i="5" a="1"/>
  <c r="I340" i="5"/>
  <c r="N63" i="5"/>
  <c r="M63" i="5"/>
  <c r="L63" i="5"/>
  <c r="B63" i="5"/>
  <c r="K63" i="5"/>
  <c r="J63" i="5"/>
  <c r="I63" i="5" a="1"/>
  <c r="I63" i="5"/>
  <c r="H63" i="5" a="1"/>
  <c r="H63" i="5"/>
  <c r="G63" i="5"/>
  <c r="P63" i="5"/>
  <c r="F63" i="5"/>
  <c r="O63" i="5"/>
  <c r="C829" i="5"/>
  <c r="H900" i="5" a="1"/>
  <c r="H900" i="5"/>
  <c r="P900" i="5"/>
  <c r="O900" i="5"/>
  <c r="G900" i="5"/>
  <c r="F900" i="5"/>
  <c r="L900" i="5"/>
  <c r="J900" i="5"/>
  <c r="I900" i="5" a="1"/>
  <c r="I900" i="5"/>
  <c r="N900" i="5"/>
  <c r="M900" i="5"/>
  <c r="K900" i="5"/>
  <c r="B900" i="5"/>
  <c r="M835" i="5"/>
  <c r="J835" i="5"/>
  <c r="H835" i="5" a="1"/>
  <c r="H835" i="5"/>
  <c r="K835" i="5"/>
  <c r="I835" i="5" a="1"/>
  <c r="I835" i="5"/>
  <c r="G835" i="5"/>
  <c r="F835" i="5"/>
  <c r="B835" i="5"/>
  <c r="P835" i="5"/>
  <c r="O835" i="5"/>
  <c r="N835" i="5"/>
  <c r="L835" i="5"/>
  <c r="C827" i="5"/>
  <c r="C770" i="5"/>
  <c r="C775" i="5"/>
  <c r="C705" i="5"/>
  <c r="C710" i="5"/>
  <c r="H708" i="5" a="1"/>
  <c r="H708" i="5"/>
  <c r="G708" i="5"/>
  <c r="P708" i="5"/>
  <c r="F708" i="5"/>
  <c r="O708" i="5"/>
  <c r="N708" i="5"/>
  <c r="M708" i="5"/>
  <c r="L708" i="5"/>
  <c r="B708" i="5"/>
  <c r="K708" i="5"/>
  <c r="J708" i="5"/>
  <c r="I708" i="5" a="1"/>
  <c r="I708" i="5"/>
  <c r="C749" i="5"/>
  <c r="C688" i="5"/>
  <c r="I669" i="5" a="1"/>
  <c r="I669" i="5"/>
  <c r="H669" i="5" a="1"/>
  <c r="H669" i="5"/>
  <c r="G669" i="5"/>
  <c r="P669" i="5"/>
  <c r="F669" i="5"/>
  <c r="O669" i="5"/>
  <c r="N669" i="5"/>
  <c r="M669" i="5"/>
  <c r="L669" i="5"/>
  <c r="B669" i="5"/>
  <c r="K669" i="5"/>
  <c r="J669" i="5"/>
  <c r="J650" i="5"/>
  <c r="I650" i="5" a="1"/>
  <c r="I650" i="5"/>
  <c r="H650" i="5" a="1"/>
  <c r="H650" i="5"/>
  <c r="G650" i="5"/>
  <c r="P650" i="5"/>
  <c r="F650" i="5"/>
  <c r="O650" i="5"/>
  <c r="N650" i="5"/>
  <c r="M650" i="5"/>
  <c r="L650" i="5"/>
  <c r="K650" i="5"/>
  <c r="B650" i="5"/>
  <c r="O624" i="5"/>
  <c r="N624" i="5"/>
  <c r="M624" i="5"/>
  <c r="L624" i="5"/>
  <c r="B624" i="5"/>
  <c r="K624" i="5"/>
  <c r="J624" i="5"/>
  <c r="I624" i="5" a="1"/>
  <c r="I624" i="5"/>
  <c r="H624" i="5" a="1"/>
  <c r="H624" i="5"/>
  <c r="G624" i="5"/>
  <c r="P624" i="5"/>
  <c r="F624" i="5"/>
  <c r="N682" i="5"/>
  <c r="M682" i="5"/>
  <c r="L682" i="5"/>
  <c r="B682" i="5"/>
  <c r="K682" i="5"/>
  <c r="J682" i="5"/>
  <c r="I682" i="5" a="1"/>
  <c r="I682" i="5"/>
  <c r="H682" i="5" a="1"/>
  <c r="H682" i="5"/>
  <c r="G682" i="5"/>
  <c r="P682" i="5"/>
  <c r="F682" i="5"/>
  <c r="O682" i="5"/>
  <c r="C596" i="5"/>
  <c r="F524" i="5"/>
  <c r="B524" i="5"/>
  <c r="K524" i="5"/>
  <c r="C568" i="5"/>
  <c r="N631" i="5"/>
  <c r="M631" i="5"/>
  <c r="L631" i="5"/>
  <c r="B631" i="5"/>
  <c r="K631" i="5"/>
  <c r="J631" i="5"/>
  <c r="I631" i="5" a="1"/>
  <c r="I631" i="5"/>
  <c r="H631" i="5" a="1"/>
  <c r="H631" i="5"/>
  <c r="G631" i="5"/>
  <c r="P631" i="5"/>
  <c r="F631" i="5"/>
  <c r="O631" i="5"/>
  <c r="C521" i="5"/>
  <c r="C471" i="5"/>
  <c r="C517" i="5"/>
  <c r="C510" i="5"/>
  <c r="P456" i="5"/>
  <c r="F456" i="5"/>
  <c r="O456" i="5"/>
  <c r="N456" i="5"/>
  <c r="M456" i="5"/>
  <c r="L456" i="5"/>
  <c r="K456" i="5"/>
  <c r="I456" i="5" a="1"/>
  <c r="I456" i="5"/>
  <c r="J456" i="5"/>
  <c r="H456" i="5" a="1"/>
  <c r="H456" i="5"/>
  <c r="G456" i="5"/>
  <c r="B456" i="5"/>
  <c r="C373" i="5"/>
  <c r="P480" i="5"/>
  <c r="F480" i="5"/>
  <c r="O480" i="5"/>
  <c r="N480" i="5"/>
  <c r="M480" i="5"/>
  <c r="L480" i="5"/>
  <c r="B480" i="5"/>
  <c r="K480" i="5"/>
  <c r="J480" i="5"/>
  <c r="I480" i="5" a="1"/>
  <c r="I480" i="5"/>
  <c r="H480" i="5" a="1"/>
  <c r="H480" i="5"/>
  <c r="G480" i="5"/>
  <c r="H422" i="5" a="1"/>
  <c r="H422" i="5"/>
  <c r="G422" i="5"/>
  <c r="P422" i="5"/>
  <c r="F422" i="5"/>
  <c r="O422" i="5"/>
  <c r="N422" i="5"/>
  <c r="M422" i="5"/>
  <c r="L422" i="5"/>
  <c r="B422" i="5"/>
  <c r="K422" i="5"/>
  <c r="J422" i="5"/>
  <c r="I422" i="5" a="1"/>
  <c r="I422" i="5"/>
  <c r="O303" i="5"/>
  <c r="C260" i="5"/>
  <c r="C337" i="5"/>
  <c r="H311" i="5" a="1"/>
  <c r="H311" i="5"/>
  <c r="G311" i="5"/>
  <c r="P311" i="5"/>
  <c r="F311" i="5"/>
  <c r="O311" i="5"/>
  <c r="N311" i="5"/>
  <c r="M311" i="5"/>
  <c r="L311" i="5"/>
  <c r="B311" i="5"/>
  <c r="K311" i="5"/>
  <c r="J311" i="5"/>
  <c r="I311" i="5" a="1"/>
  <c r="I311" i="5"/>
  <c r="H328" i="5" a="1"/>
  <c r="H328" i="5"/>
  <c r="G328" i="5"/>
  <c r="P328" i="5"/>
  <c r="F328" i="5"/>
  <c r="O328" i="5"/>
  <c r="N328" i="5"/>
  <c r="M328" i="5"/>
  <c r="L328" i="5"/>
  <c r="B328" i="5"/>
  <c r="K328" i="5"/>
  <c r="J328" i="5"/>
  <c r="I328" i="5" a="1"/>
  <c r="I328" i="5"/>
  <c r="N452" i="5"/>
  <c r="M452" i="5"/>
  <c r="L452" i="5"/>
  <c r="B452" i="5"/>
  <c r="K452" i="5"/>
  <c r="J452" i="5"/>
  <c r="I452" i="5" a="1"/>
  <c r="I452" i="5"/>
  <c r="H452" i="5" a="1"/>
  <c r="H452" i="5"/>
  <c r="G452" i="5"/>
  <c r="P452" i="5"/>
  <c r="F452" i="5"/>
  <c r="O452" i="5"/>
  <c r="C321" i="5"/>
  <c r="J278" i="5"/>
  <c r="I278" i="5" a="1"/>
  <c r="I278" i="5"/>
  <c r="H278" i="5" a="1"/>
  <c r="H278" i="5"/>
  <c r="G278" i="5"/>
  <c r="P278" i="5"/>
  <c r="F278" i="5"/>
  <c r="O278" i="5"/>
  <c r="N278" i="5"/>
  <c r="M278" i="5"/>
  <c r="L278" i="5"/>
  <c r="B278" i="5"/>
  <c r="K278" i="5"/>
  <c r="C213" i="5"/>
  <c r="N322" i="5"/>
  <c r="M322" i="5"/>
  <c r="L322" i="5"/>
  <c r="B322" i="5"/>
  <c r="K322" i="5"/>
  <c r="J322" i="5"/>
  <c r="I322" i="5" a="1"/>
  <c r="I322" i="5"/>
  <c r="H322" i="5" a="1"/>
  <c r="H322" i="5"/>
  <c r="G322" i="5"/>
  <c r="P322" i="5"/>
  <c r="F322" i="5"/>
  <c r="O322" i="5"/>
  <c r="C221" i="5"/>
  <c r="P308" i="5"/>
  <c r="F308" i="5"/>
  <c r="O308" i="5"/>
  <c r="N308" i="5"/>
  <c r="M308" i="5"/>
  <c r="L308" i="5"/>
  <c r="B308" i="5"/>
  <c r="K308" i="5"/>
  <c r="J308" i="5"/>
  <c r="I308" i="5" a="1"/>
  <c r="I308" i="5"/>
  <c r="H308" i="5" a="1"/>
  <c r="H308" i="5"/>
  <c r="G308" i="5"/>
  <c r="I80" i="5" a="1"/>
  <c r="I80" i="5"/>
  <c r="H124" i="5" a="1"/>
  <c r="H124" i="5"/>
  <c r="G124" i="5"/>
  <c r="P124" i="5"/>
  <c r="F124" i="5"/>
  <c r="O124" i="5"/>
  <c r="N124" i="5"/>
  <c r="M124" i="5"/>
  <c r="L124" i="5"/>
  <c r="B124" i="5"/>
  <c r="K124" i="5"/>
  <c r="J124" i="5"/>
  <c r="I124" i="5" a="1"/>
  <c r="I124" i="5"/>
  <c r="H52" i="5" a="1"/>
  <c r="H52" i="5"/>
  <c r="G52" i="5"/>
  <c r="P52" i="5"/>
  <c r="F52" i="5"/>
  <c r="O52" i="5"/>
  <c r="N52" i="5"/>
  <c r="M52" i="5"/>
  <c r="L52" i="5"/>
  <c r="B52" i="5"/>
  <c r="K52" i="5"/>
  <c r="J52" i="5"/>
  <c r="I52" i="5" a="1"/>
  <c r="I52" i="5"/>
  <c r="C127" i="5"/>
  <c r="N184" i="5"/>
  <c r="M184" i="5"/>
  <c r="L184" i="5"/>
  <c r="B184" i="5"/>
  <c r="K184" i="5"/>
  <c r="J184" i="5"/>
  <c r="I184" i="5" a="1"/>
  <c r="I184" i="5"/>
  <c r="H184" i="5" a="1"/>
  <c r="H184" i="5"/>
  <c r="G184" i="5"/>
  <c r="P184" i="5"/>
  <c r="F184" i="5"/>
  <c r="O184" i="5"/>
  <c r="M58" i="5"/>
  <c r="L58" i="5"/>
  <c r="B58" i="5"/>
  <c r="K58" i="5"/>
  <c r="J58" i="5"/>
  <c r="I58" i="5" a="1"/>
  <c r="I58" i="5"/>
  <c r="H58" i="5" a="1"/>
  <c r="H58" i="5"/>
  <c r="G58" i="5"/>
  <c r="P58" i="5"/>
  <c r="F58" i="5"/>
  <c r="O58" i="5"/>
  <c r="N58" i="5"/>
  <c r="G29" i="5"/>
  <c r="P29" i="5"/>
  <c r="F29" i="5"/>
  <c r="L29" i="5"/>
  <c r="B29" i="5"/>
  <c r="K29" i="5"/>
  <c r="G22" i="5"/>
  <c r="P22" i="5"/>
  <c r="F22" i="5"/>
  <c r="L22" i="5"/>
  <c r="B22" i="5"/>
  <c r="K22" i="5"/>
  <c r="G782" i="5"/>
  <c r="P782" i="5"/>
  <c r="F782" i="5"/>
  <c r="O782" i="5"/>
  <c r="N782" i="5"/>
  <c r="M782" i="5"/>
  <c r="L782" i="5"/>
  <c r="B782" i="5"/>
  <c r="K782" i="5"/>
  <c r="J782" i="5"/>
  <c r="I782" i="5" a="1"/>
  <c r="I782" i="5"/>
  <c r="H782" i="5" a="1"/>
  <c r="H782" i="5"/>
  <c r="I537" i="5" a="1"/>
  <c r="I537" i="5"/>
  <c r="H537" i="5" a="1"/>
  <c r="H537" i="5"/>
  <c r="G537" i="5"/>
  <c r="P537" i="5"/>
  <c r="F537" i="5"/>
  <c r="O537" i="5"/>
  <c r="N537" i="5"/>
  <c r="M537" i="5"/>
  <c r="L537" i="5"/>
  <c r="B537" i="5"/>
  <c r="K537" i="5"/>
  <c r="J537" i="5"/>
  <c r="H323" i="5" a="1"/>
  <c r="H323" i="5"/>
  <c r="G323" i="5"/>
  <c r="P323" i="5"/>
  <c r="F323" i="5"/>
  <c r="O323" i="5"/>
  <c r="N323" i="5"/>
  <c r="M323" i="5"/>
  <c r="L323" i="5"/>
  <c r="B323" i="5"/>
  <c r="K323" i="5"/>
  <c r="J323" i="5"/>
  <c r="I323" i="5" a="1"/>
  <c r="I323" i="5"/>
  <c r="N346" i="5"/>
  <c r="J346" i="5"/>
  <c r="I346" i="5" a="1"/>
  <c r="I346" i="5"/>
  <c r="G107" i="5"/>
  <c r="P107" i="5"/>
  <c r="F107" i="5"/>
  <c r="O107" i="5"/>
  <c r="N107" i="5"/>
  <c r="M107" i="5"/>
  <c r="L107" i="5"/>
  <c r="B107" i="5"/>
  <c r="K107" i="5"/>
  <c r="J107" i="5"/>
  <c r="I107" i="5" a="1"/>
  <c r="I107" i="5"/>
  <c r="H107" i="5" a="1"/>
  <c r="H107" i="5"/>
  <c r="C863" i="5"/>
  <c r="C834" i="5"/>
  <c r="H744" i="5" a="1"/>
  <c r="H744" i="5"/>
  <c r="G744" i="5"/>
  <c r="P744" i="5"/>
  <c r="F744" i="5"/>
  <c r="O744" i="5"/>
  <c r="N744" i="5"/>
  <c r="M744" i="5"/>
  <c r="L744" i="5"/>
  <c r="B744" i="5"/>
  <c r="K744" i="5"/>
  <c r="J744" i="5"/>
  <c r="I744" i="5" a="1"/>
  <c r="I744" i="5"/>
  <c r="P700" i="5"/>
  <c r="F700" i="5"/>
  <c r="O700" i="5"/>
  <c r="N700" i="5"/>
  <c r="M700" i="5"/>
  <c r="L700" i="5"/>
  <c r="B700" i="5"/>
  <c r="K700" i="5"/>
  <c r="J700" i="5"/>
  <c r="I700" i="5" a="1"/>
  <c r="I700" i="5"/>
  <c r="H700" i="5" a="1"/>
  <c r="H700" i="5"/>
  <c r="G700" i="5"/>
  <c r="O765" i="5"/>
  <c r="N765" i="5"/>
  <c r="I765" i="5" a="1"/>
  <c r="I765" i="5"/>
  <c r="C701" i="5"/>
  <c r="P668" i="5"/>
  <c r="F668" i="5"/>
  <c r="O668" i="5"/>
  <c r="N668" i="5"/>
  <c r="M668" i="5"/>
  <c r="L668" i="5"/>
  <c r="B668" i="5"/>
  <c r="K668" i="5"/>
  <c r="J668" i="5"/>
  <c r="I668" i="5" a="1"/>
  <c r="I668" i="5"/>
  <c r="H668" i="5" a="1"/>
  <c r="H668" i="5"/>
  <c r="G668" i="5"/>
  <c r="C685" i="5"/>
  <c r="C678" i="5"/>
  <c r="C683" i="5"/>
  <c r="N738" i="5"/>
  <c r="M738" i="5"/>
  <c r="L738" i="5"/>
  <c r="B738" i="5"/>
  <c r="K738" i="5"/>
  <c r="J738" i="5"/>
  <c r="I738" i="5" a="1"/>
  <c r="I738" i="5"/>
  <c r="H738" i="5" a="1"/>
  <c r="H738" i="5"/>
  <c r="G738" i="5"/>
  <c r="P738" i="5"/>
  <c r="F738" i="5"/>
  <c r="O738" i="5"/>
  <c r="O612" i="5"/>
  <c r="N612" i="5"/>
  <c r="M612" i="5"/>
  <c r="L612" i="5"/>
  <c r="B612" i="5"/>
  <c r="K612" i="5"/>
  <c r="J612" i="5"/>
  <c r="I612" i="5" a="1"/>
  <c r="I612" i="5"/>
  <c r="H612" i="5" a="1"/>
  <c r="H612" i="5"/>
  <c r="G612" i="5"/>
  <c r="P612" i="5"/>
  <c r="F612" i="5"/>
  <c r="F670" i="5"/>
  <c r="C584" i="5"/>
  <c r="N541" i="5"/>
  <c r="J541" i="5"/>
  <c r="I541" i="5" a="1"/>
  <c r="I541" i="5"/>
  <c r="C558" i="5"/>
  <c r="C575" i="5"/>
  <c r="N619" i="5"/>
  <c r="M619" i="5"/>
  <c r="L619" i="5"/>
  <c r="B619" i="5"/>
  <c r="K619" i="5"/>
  <c r="J619" i="5"/>
  <c r="I619" i="5" a="1"/>
  <c r="I619" i="5"/>
  <c r="H619" i="5" a="1"/>
  <c r="H619" i="5"/>
  <c r="G619" i="5"/>
  <c r="P619" i="5"/>
  <c r="F619" i="5"/>
  <c r="O619" i="5"/>
  <c r="C504" i="5"/>
  <c r="N574" i="5"/>
  <c r="M574" i="5"/>
  <c r="L574" i="5"/>
  <c r="B574" i="5"/>
  <c r="K574" i="5"/>
  <c r="J574" i="5"/>
  <c r="I574" i="5" a="1"/>
  <c r="I574" i="5"/>
  <c r="H574" i="5" a="1"/>
  <c r="H574" i="5"/>
  <c r="G574" i="5"/>
  <c r="P574" i="5"/>
  <c r="F574" i="5"/>
  <c r="O574" i="5"/>
  <c r="C459" i="5"/>
  <c r="H488" i="5" a="1"/>
  <c r="H488" i="5"/>
  <c r="G488" i="5"/>
  <c r="P488" i="5"/>
  <c r="F488" i="5"/>
  <c r="O488" i="5"/>
  <c r="N488" i="5"/>
  <c r="M488" i="5"/>
  <c r="L488" i="5"/>
  <c r="B488" i="5"/>
  <c r="K488" i="5"/>
  <c r="J488" i="5"/>
  <c r="I488" i="5" a="1"/>
  <c r="I488" i="5"/>
  <c r="C498" i="5"/>
  <c r="N506" i="5"/>
  <c r="M506" i="5"/>
  <c r="L506" i="5"/>
  <c r="B506" i="5"/>
  <c r="K506" i="5"/>
  <c r="J506" i="5"/>
  <c r="I506" i="5" a="1"/>
  <c r="I506" i="5"/>
  <c r="H506" i="5" a="1"/>
  <c r="H506" i="5"/>
  <c r="G506" i="5"/>
  <c r="P506" i="5"/>
  <c r="F506" i="5"/>
  <c r="O506" i="5"/>
  <c r="O361" i="5"/>
  <c r="N361" i="5"/>
  <c r="M361" i="5"/>
  <c r="L361" i="5"/>
  <c r="B361" i="5"/>
  <c r="K361" i="5"/>
  <c r="J361" i="5"/>
  <c r="I361" i="5" a="1"/>
  <c r="I361" i="5"/>
  <c r="H361" i="5" a="1"/>
  <c r="H361" i="5"/>
  <c r="G361" i="5"/>
  <c r="F361" i="5"/>
  <c r="P361" i="5"/>
  <c r="F395" i="5"/>
  <c r="O395" i="5"/>
  <c r="N395" i="5"/>
  <c r="I395" i="5" a="1"/>
  <c r="I395" i="5"/>
  <c r="G436" i="5"/>
  <c r="P436" i="5"/>
  <c r="F436" i="5"/>
  <c r="O436" i="5"/>
  <c r="N436" i="5"/>
  <c r="M436" i="5"/>
  <c r="L436" i="5"/>
  <c r="B436" i="5"/>
  <c r="K436" i="5"/>
  <c r="J436" i="5"/>
  <c r="I436" i="5" a="1"/>
  <c r="I436" i="5"/>
  <c r="H436" i="5" a="1"/>
  <c r="H436" i="5"/>
  <c r="I391" i="5" a="1"/>
  <c r="I391" i="5"/>
  <c r="H391" i="5" a="1"/>
  <c r="H391" i="5"/>
  <c r="G391" i="5"/>
  <c r="P391" i="5"/>
  <c r="F391" i="5"/>
  <c r="O391" i="5"/>
  <c r="N391" i="5"/>
  <c r="M391" i="5"/>
  <c r="L391" i="5"/>
  <c r="B391" i="5"/>
  <c r="K391" i="5"/>
  <c r="J391" i="5"/>
  <c r="C408" i="5"/>
  <c r="C464" i="5"/>
  <c r="C367" i="5"/>
  <c r="C291" i="5"/>
  <c r="N440" i="5"/>
  <c r="M440" i="5"/>
  <c r="L440" i="5"/>
  <c r="B440" i="5"/>
  <c r="K440" i="5"/>
  <c r="J440" i="5"/>
  <c r="I440" i="5" a="1"/>
  <c r="I440" i="5"/>
  <c r="H440" i="5" a="1"/>
  <c r="H440" i="5"/>
  <c r="G440" i="5"/>
  <c r="P440" i="5"/>
  <c r="F440" i="5"/>
  <c r="O440" i="5"/>
  <c r="O201" i="5"/>
  <c r="N201" i="5"/>
  <c r="M201" i="5"/>
  <c r="L201" i="5"/>
  <c r="B201" i="5"/>
  <c r="K201" i="5"/>
  <c r="J201" i="5"/>
  <c r="I201" i="5" a="1"/>
  <c r="I201" i="5"/>
  <c r="H201" i="5" a="1"/>
  <c r="H201" i="5"/>
  <c r="G201" i="5"/>
  <c r="P201" i="5"/>
  <c r="F201" i="5"/>
  <c r="N310" i="5"/>
  <c r="M310" i="5"/>
  <c r="L310" i="5"/>
  <c r="B310" i="5"/>
  <c r="K310" i="5"/>
  <c r="J310" i="5"/>
  <c r="I310" i="5" a="1"/>
  <c r="I310" i="5"/>
  <c r="H310" i="5" a="1"/>
  <c r="H310" i="5"/>
  <c r="G310" i="5"/>
  <c r="P310" i="5"/>
  <c r="F310" i="5"/>
  <c r="O310" i="5"/>
  <c r="C214" i="5"/>
  <c r="B68" i="5"/>
  <c r="H68" i="5" a="1"/>
  <c r="H68" i="5"/>
  <c r="G68" i="5"/>
  <c r="P68" i="5"/>
  <c r="C129" i="5"/>
  <c r="C57" i="5"/>
  <c r="I134" i="5" a="1"/>
  <c r="I134" i="5"/>
  <c r="H134" i="5" a="1"/>
  <c r="H134" i="5"/>
  <c r="G134" i="5"/>
  <c r="P134" i="5"/>
  <c r="F134" i="5"/>
  <c r="O134" i="5"/>
  <c r="N134" i="5"/>
  <c r="M134" i="5"/>
  <c r="L134" i="5"/>
  <c r="B134" i="5"/>
  <c r="K134" i="5"/>
  <c r="J134" i="5"/>
  <c r="I62" i="5" a="1"/>
  <c r="I62" i="5"/>
  <c r="H62" i="5" a="1"/>
  <c r="H62" i="5"/>
  <c r="G62" i="5"/>
  <c r="P62" i="5"/>
  <c r="F62" i="5"/>
  <c r="O62" i="5"/>
  <c r="N62" i="5"/>
  <c r="M62" i="5"/>
  <c r="L62" i="5"/>
  <c r="B62" i="5"/>
  <c r="K62" i="5"/>
  <c r="J62" i="5"/>
  <c r="C115" i="5"/>
  <c r="C172" i="5"/>
  <c r="D896" i="5"/>
  <c r="C896" i="5"/>
  <c r="D873" i="5"/>
  <c r="C873" i="5"/>
  <c r="D856" i="5"/>
  <c r="C856" i="5"/>
  <c r="D840" i="5"/>
  <c r="C840" i="5"/>
  <c r="D870" i="5"/>
  <c r="C870" i="5"/>
  <c r="D861" i="5"/>
  <c r="C861" i="5"/>
  <c r="D860" i="5"/>
  <c r="C860" i="5"/>
  <c r="D886" i="5"/>
  <c r="C886" i="5"/>
  <c r="D853" i="5"/>
  <c r="C853" i="5"/>
  <c r="D877" i="5"/>
  <c r="C877" i="5"/>
  <c r="D892" i="5"/>
  <c r="C892" i="5"/>
  <c r="D868" i="5"/>
  <c r="C868" i="5"/>
  <c r="D862" i="5"/>
  <c r="C862" i="5"/>
  <c r="D855" i="5"/>
  <c r="C855" i="5"/>
  <c r="D849" i="5"/>
  <c r="C849" i="5"/>
  <c r="D838" i="5"/>
  <c r="C838" i="5"/>
  <c r="D890" i="5"/>
  <c r="C890" i="5"/>
  <c r="D872" i="5"/>
  <c r="C872" i="5"/>
  <c r="D893" i="5"/>
  <c r="C893" i="5"/>
  <c r="D888" i="5"/>
  <c r="C888" i="5"/>
  <c r="D842" i="5"/>
  <c r="C842" i="5"/>
  <c r="D851" i="5"/>
  <c r="C851" i="5"/>
  <c r="D833" i="5"/>
  <c r="C833" i="5"/>
  <c r="D884" i="5"/>
  <c r="C884" i="5"/>
  <c r="D845" i="5"/>
  <c r="C845" i="5"/>
  <c r="D799" i="5"/>
  <c r="C799" i="5"/>
  <c r="D804" i="5"/>
  <c r="C804" i="5"/>
  <c r="D858" i="5"/>
  <c r="C858" i="5"/>
  <c r="D836" i="5"/>
  <c r="C836" i="5"/>
  <c r="D879" i="5"/>
  <c r="C879" i="5"/>
  <c r="D837" i="5"/>
  <c r="C837" i="5"/>
  <c r="D824" i="5"/>
  <c r="C824" i="5"/>
  <c r="D818" i="5"/>
  <c r="C818" i="5"/>
  <c r="D812" i="5"/>
  <c r="C812" i="5"/>
  <c r="D867" i="5"/>
  <c r="C867" i="5"/>
  <c r="D864" i="5"/>
  <c r="C864" i="5"/>
  <c r="D846" i="5"/>
  <c r="C846" i="5"/>
  <c r="D889" i="5"/>
  <c r="C889" i="5"/>
  <c r="D826" i="5"/>
  <c r="C826" i="5"/>
  <c r="D820" i="5"/>
  <c r="C820" i="5"/>
  <c r="D814" i="5"/>
  <c r="C814" i="5"/>
  <c r="D823" i="5"/>
  <c r="C823" i="5"/>
  <c r="D817" i="5"/>
  <c r="C817" i="5"/>
  <c r="D811" i="5"/>
  <c r="C811" i="5"/>
  <c r="D803" i="5"/>
  <c r="C803" i="5"/>
  <c r="D797" i="5"/>
  <c r="C797" i="5"/>
  <c r="D760" i="5"/>
  <c r="C760" i="5"/>
  <c r="D805" i="5"/>
  <c r="C805" i="5"/>
  <c r="D753" i="5"/>
  <c r="C753" i="5"/>
  <c r="D798" i="5"/>
  <c r="C798" i="5"/>
  <c r="D791" i="5"/>
  <c r="C791" i="5"/>
  <c r="D789" i="5"/>
  <c r="C789" i="5"/>
  <c r="D792" i="5"/>
  <c r="C792" i="5"/>
  <c r="D787" i="5"/>
  <c r="C787" i="5"/>
  <c r="D776" i="5"/>
  <c r="C776" i="5"/>
  <c r="D764" i="5"/>
  <c r="C764" i="5"/>
  <c r="D752" i="5"/>
  <c r="C752" i="5"/>
  <c r="D793" i="5"/>
  <c r="C793" i="5"/>
  <c r="D781" i="5"/>
  <c r="C781" i="5"/>
  <c r="D769" i="5"/>
  <c r="C769" i="5"/>
  <c r="D757" i="5"/>
  <c r="C757" i="5"/>
  <c r="D774" i="5"/>
  <c r="C774" i="5"/>
  <c r="D762" i="5"/>
  <c r="C762" i="5"/>
  <c r="D750" i="5"/>
  <c r="C750" i="5"/>
  <c r="D740" i="5"/>
  <c r="C740" i="5"/>
  <c r="D745" i="5"/>
  <c r="C745" i="5"/>
  <c r="D724" i="5"/>
  <c r="C724" i="5"/>
  <c r="D712" i="5"/>
  <c r="C712" i="5"/>
  <c r="D698" i="5"/>
  <c r="C698" i="5"/>
  <c r="D735" i="5"/>
  <c r="C735" i="5"/>
  <c r="D723" i="5"/>
  <c r="C723" i="5"/>
  <c r="D711" i="5"/>
  <c r="C711" i="5"/>
  <c r="D699" i="5"/>
  <c r="C699" i="5"/>
  <c r="D728" i="5"/>
  <c r="C728" i="5"/>
  <c r="D716" i="5"/>
  <c r="C716" i="5"/>
  <c r="D704" i="5"/>
  <c r="C704" i="5"/>
  <c r="D733" i="5"/>
  <c r="C733" i="5"/>
  <c r="D721" i="5"/>
  <c r="C721" i="5"/>
  <c r="D709" i="5"/>
  <c r="C709" i="5"/>
  <c r="D697" i="5"/>
  <c r="C697" i="5"/>
  <c r="D656" i="5"/>
  <c r="C656" i="5"/>
  <c r="D692" i="5"/>
  <c r="C692" i="5"/>
  <c r="D679" i="5"/>
  <c r="C679" i="5"/>
  <c r="D667" i="5"/>
  <c r="C667" i="5"/>
  <c r="D655" i="5"/>
  <c r="C655" i="5"/>
  <c r="D684" i="5"/>
  <c r="C684" i="5"/>
  <c r="D672" i="5"/>
  <c r="C672" i="5"/>
  <c r="D660" i="5"/>
  <c r="C660" i="5"/>
  <c r="D677" i="5"/>
  <c r="C677" i="5"/>
  <c r="D665" i="5"/>
  <c r="C665" i="5"/>
  <c r="D653" i="5"/>
  <c r="C653" i="5"/>
  <c r="D641" i="5"/>
  <c r="C641" i="5"/>
  <c r="D636" i="5"/>
  <c r="C636" i="5"/>
  <c r="D591" i="5"/>
  <c r="C591" i="5"/>
  <c r="D648" i="5"/>
  <c r="C648" i="5"/>
  <c r="D628" i="5"/>
  <c r="C628" i="5"/>
  <c r="D616" i="5"/>
  <c r="C616" i="5"/>
  <c r="D604" i="5"/>
  <c r="C604" i="5"/>
  <c r="D633" i="5"/>
  <c r="C633" i="5"/>
  <c r="D621" i="5"/>
  <c r="C621" i="5"/>
  <c r="D609" i="5"/>
  <c r="C609" i="5"/>
  <c r="D597" i="5"/>
  <c r="C597" i="5"/>
  <c r="D643" i="5"/>
  <c r="C643" i="5"/>
  <c r="D626" i="5"/>
  <c r="C626" i="5"/>
  <c r="D614" i="5"/>
  <c r="C614" i="5"/>
  <c r="D602" i="5"/>
  <c r="C602" i="5"/>
  <c r="D590" i="5"/>
  <c r="C590" i="5"/>
  <c r="D522" i="5"/>
  <c r="C522" i="5"/>
  <c r="D527" i="5"/>
  <c r="C527" i="5"/>
  <c r="D592" i="5"/>
  <c r="C592" i="5"/>
  <c r="D571" i="5"/>
  <c r="C571" i="5"/>
  <c r="D559" i="5"/>
  <c r="C559" i="5"/>
  <c r="D547" i="5"/>
  <c r="C547" i="5"/>
  <c r="D535" i="5"/>
  <c r="C535" i="5"/>
  <c r="D576" i="5"/>
  <c r="C576" i="5"/>
  <c r="D564" i="5"/>
  <c r="C564" i="5"/>
  <c r="D552" i="5"/>
  <c r="C552" i="5"/>
  <c r="D540" i="5"/>
  <c r="C540" i="5"/>
  <c r="D585" i="5"/>
  <c r="C585" i="5"/>
  <c r="D569" i="5"/>
  <c r="C569" i="5"/>
  <c r="D557" i="5"/>
  <c r="C557" i="5"/>
  <c r="D545" i="5"/>
  <c r="C545" i="5"/>
  <c r="D533" i="5"/>
  <c r="C533" i="5"/>
  <c r="D475" i="5"/>
  <c r="C475" i="5"/>
  <c r="D463" i="5"/>
  <c r="C463" i="5"/>
  <c r="D528" i="5"/>
  <c r="C528" i="5"/>
  <c r="D523" i="5"/>
  <c r="C523" i="5"/>
  <c r="D515" i="5"/>
  <c r="C515" i="5"/>
  <c r="D503" i="5"/>
  <c r="C503" i="5"/>
  <c r="D491" i="5"/>
  <c r="C491" i="5"/>
  <c r="D479" i="5"/>
  <c r="C479" i="5"/>
  <c r="D508" i="5"/>
  <c r="C508" i="5"/>
  <c r="D496" i="5"/>
  <c r="C496" i="5"/>
  <c r="D484" i="5"/>
  <c r="C484" i="5"/>
  <c r="D472" i="5"/>
  <c r="C472" i="5"/>
  <c r="D513" i="5"/>
  <c r="C513" i="5"/>
  <c r="D501" i="5"/>
  <c r="C501" i="5"/>
  <c r="D489" i="5"/>
  <c r="C489" i="5"/>
  <c r="D477" i="5"/>
  <c r="C477" i="5"/>
  <c r="D465" i="5"/>
  <c r="C465" i="5"/>
  <c r="D416" i="5"/>
  <c r="C416" i="5"/>
  <c r="D392" i="5"/>
  <c r="C392" i="5"/>
  <c r="D460" i="5"/>
  <c r="C460" i="5"/>
  <c r="D450" i="5"/>
  <c r="C450" i="5"/>
  <c r="D438" i="5"/>
  <c r="C438" i="5"/>
  <c r="D426" i="5"/>
  <c r="C426" i="5"/>
  <c r="D414" i="5"/>
  <c r="C414" i="5"/>
  <c r="D402" i="5"/>
  <c r="C402" i="5"/>
  <c r="D390" i="5"/>
  <c r="C390" i="5"/>
  <c r="D378" i="5"/>
  <c r="C378" i="5"/>
  <c r="D366" i="5"/>
  <c r="C366" i="5"/>
  <c r="D354" i="5"/>
  <c r="C354" i="5"/>
  <c r="D431" i="5"/>
  <c r="C431" i="5"/>
  <c r="D417" i="5"/>
  <c r="C417" i="5"/>
  <c r="D357" i="5"/>
  <c r="C357" i="5"/>
  <c r="D467" i="5"/>
  <c r="C467" i="5"/>
  <c r="D449" i="5"/>
  <c r="C449" i="5"/>
  <c r="D437" i="5"/>
  <c r="C437" i="5"/>
  <c r="D425" i="5"/>
  <c r="C425" i="5"/>
  <c r="D413" i="5"/>
  <c r="C413" i="5"/>
  <c r="D401" i="5"/>
  <c r="C401" i="5"/>
  <c r="D389" i="5"/>
  <c r="C389" i="5"/>
  <c r="D377" i="5"/>
  <c r="C377" i="5"/>
  <c r="D365" i="5"/>
  <c r="C365" i="5"/>
  <c r="D454" i="5"/>
  <c r="C454" i="5"/>
  <c r="D442" i="5"/>
  <c r="C442" i="5"/>
  <c r="D430" i="5"/>
  <c r="C430" i="5"/>
  <c r="D418" i="5"/>
  <c r="C418" i="5"/>
  <c r="D406" i="5"/>
  <c r="C406" i="5"/>
  <c r="D394" i="5"/>
  <c r="C394" i="5"/>
  <c r="D382" i="5"/>
  <c r="C382" i="5"/>
  <c r="D447" i="5"/>
  <c r="C447" i="5"/>
  <c r="D435" i="5"/>
  <c r="C435" i="5"/>
  <c r="D423" i="5"/>
  <c r="C423" i="5"/>
  <c r="D411" i="5"/>
  <c r="C411" i="5"/>
  <c r="D399" i="5"/>
  <c r="C399" i="5"/>
  <c r="D387" i="5"/>
  <c r="C387" i="5"/>
  <c r="D375" i="5"/>
  <c r="C375" i="5"/>
  <c r="D370" i="5"/>
  <c r="C370" i="5"/>
  <c r="D344" i="5"/>
  <c r="C344" i="5"/>
  <c r="D332" i="5"/>
  <c r="C332" i="5"/>
  <c r="D277" i="5"/>
  <c r="C277" i="5"/>
  <c r="D265" i="5"/>
  <c r="C265" i="5"/>
  <c r="D253" i="5"/>
  <c r="C253" i="5"/>
  <c r="D358" i="5"/>
  <c r="C358" i="5"/>
  <c r="D342" i="5"/>
  <c r="C342" i="5"/>
  <c r="D330" i="5"/>
  <c r="C330" i="5"/>
  <c r="D318" i="5"/>
  <c r="C318" i="5"/>
  <c r="D306" i="5"/>
  <c r="C306" i="5"/>
  <c r="D294" i="5"/>
  <c r="C294" i="5"/>
  <c r="D282" i="5"/>
  <c r="C282" i="5"/>
  <c r="D270" i="5"/>
  <c r="C270" i="5"/>
  <c r="D258" i="5"/>
  <c r="C258" i="5"/>
  <c r="D363" i="5"/>
  <c r="C363" i="5"/>
  <c r="D299" i="5"/>
  <c r="C299" i="5"/>
  <c r="D353" i="5"/>
  <c r="C353" i="5"/>
  <c r="D343" i="5"/>
  <c r="C343" i="5"/>
  <c r="D331" i="5"/>
  <c r="C331" i="5"/>
  <c r="D319" i="5"/>
  <c r="C319" i="5"/>
  <c r="D307" i="5"/>
  <c r="C307" i="5"/>
  <c r="D295" i="5"/>
  <c r="C295" i="5"/>
  <c r="D283" i="5"/>
  <c r="C283" i="5"/>
  <c r="D271" i="5"/>
  <c r="C271" i="5"/>
  <c r="D348" i="5"/>
  <c r="C348" i="5"/>
  <c r="D336" i="5"/>
  <c r="C336" i="5"/>
  <c r="D324" i="5"/>
  <c r="C324" i="5"/>
  <c r="D312" i="5"/>
  <c r="C312" i="5"/>
  <c r="D300" i="5"/>
  <c r="C300" i="5"/>
  <c r="D288" i="5"/>
  <c r="C288" i="5"/>
  <c r="D276" i="5"/>
  <c r="C276" i="5"/>
  <c r="D264" i="5"/>
  <c r="C264" i="5"/>
  <c r="D341" i="5"/>
  <c r="C341" i="5"/>
  <c r="D329" i="5"/>
  <c r="C329" i="5"/>
  <c r="D317" i="5"/>
  <c r="C317" i="5"/>
  <c r="D305" i="5"/>
  <c r="C305" i="5"/>
  <c r="D293" i="5"/>
  <c r="C293" i="5"/>
  <c r="D281" i="5"/>
  <c r="C281" i="5"/>
  <c r="D257" i="5"/>
  <c r="C257" i="5"/>
  <c r="D259" i="5"/>
  <c r="C259" i="5"/>
  <c r="D242" i="5"/>
  <c r="C242" i="5"/>
  <c r="D230" i="5"/>
  <c r="C230" i="5"/>
  <c r="D218" i="5"/>
  <c r="C218" i="5"/>
  <c r="D206" i="5"/>
  <c r="C206" i="5"/>
  <c r="D194" i="5"/>
  <c r="C194" i="5"/>
  <c r="D182" i="5"/>
  <c r="C182" i="5"/>
  <c r="D170" i="5"/>
  <c r="C170" i="5"/>
  <c r="D158" i="5"/>
  <c r="C158" i="5"/>
  <c r="D235" i="5"/>
  <c r="C235" i="5"/>
  <c r="D223" i="5"/>
  <c r="C223" i="5"/>
  <c r="D211" i="5"/>
  <c r="C211" i="5"/>
  <c r="D199" i="5"/>
  <c r="C199" i="5"/>
  <c r="D187" i="5"/>
  <c r="C187" i="5"/>
  <c r="D175" i="5"/>
  <c r="C175" i="5"/>
  <c r="D163" i="5"/>
  <c r="C163" i="5"/>
  <c r="D151" i="5"/>
  <c r="C151" i="5"/>
  <c r="D228" i="5"/>
  <c r="C228" i="5"/>
  <c r="D216" i="5"/>
  <c r="C216" i="5"/>
  <c r="D204" i="5"/>
  <c r="C204" i="5"/>
  <c r="D192" i="5"/>
  <c r="C192" i="5"/>
  <c r="D180" i="5"/>
  <c r="C180" i="5"/>
  <c r="D168" i="5"/>
  <c r="C168" i="5"/>
  <c r="D156" i="5"/>
  <c r="C156" i="5"/>
  <c r="D247" i="5"/>
  <c r="C247" i="5"/>
  <c r="D241" i="5"/>
  <c r="C241" i="5"/>
  <c r="D229" i="5"/>
  <c r="C229" i="5"/>
  <c r="D217" i="5"/>
  <c r="C217" i="5"/>
  <c r="D205" i="5"/>
  <c r="C205" i="5"/>
  <c r="D193" i="5"/>
  <c r="C193" i="5"/>
  <c r="D181" i="5"/>
  <c r="C181" i="5"/>
  <c r="D169" i="5"/>
  <c r="C169" i="5"/>
  <c r="D252" i="5"/>
  <c r="C252" i="5"/>
  <c r="D246" i="5"/>
  <c r="C246" i="5"/>
  <c r="D234" i="5"/>
  <c r="C234" i="5"/>
  <c r="D222" i="5"/>
  <c r="C222" i="5"/>
  <c r="D210" i="5"/>
  <c r="C210" i="5"/>
  <c r="D198" i="5"/>
  <c r="C198" i="5"/>
  <c r="D186" i="5"/>
  <c r="C186" i="5"/>
  <c r="D174" i="5"/>
  <c r="C174" i="5"/>
  <c r="D162" i="5"/>
  <c r="C162" i="5"/>
  <c r="D239" i="5"/>
  <c r="C239" i="5"/>
  <c r="D227" i="5"/>
  <c r="C227" i="5"/>
  <c r="D215" i="5"/>
  <c r="C215" i="5"/>
  <c r="D203" i="5"/>
  <c r="C203" i="5"/>
  <c r="D191" i="5"/>
  <c r="C191" i="5"/>
  <c r="D179" i="5"/>
  <c r="C179" i="5"/>
  <c r="D167" i="5"/>
  <c r="C167" i="5"/>
  <c r="D155" i="5"/>
  <c r="C155" i="5"/>
  <c r="D144" i="5"/>
  <c r="C144" i="5"/>
  <c r="D140" i="5"/>
  <c r="C140" i="5"/>
  <c r="D128" i="5"/>
  <c r="C128" i="5"/>
  <c r="D116" i="5"/>
  <c r="C116" i="5"/>
  <c r="D157" i="5"/>
  <c r="C157" i="5"/>
  <c r="D145" i="5"/>
  <c r="C145" i="5"/>
  <c r="D121" i="5"/>
  <c r="C121" i="5"/>
  <c r="D90" i="5"/>
  <c r="C90" i="5"/>
  <c r="D78" i="5"/>
  <c r="C78" i="5"/>
  <c r="D66" i="5"/>
  <c r="C66" i="5"/>
  <c r="D54" i="5"/>
  <c r="C54" i="5"/>
  <c r="D42" i="5"/>
  <c r="C42" i="5"/>
  <c r="D150" i="5"/>
  <c r="C150" i="5"/>
  <c r="D95" i="5"/>
  <c r="C95" i="5"/>
  <c r="D83" i="5"/>
  <c r="C83" i="5"/>
  <c r="D71" i="5"/>
  <c r="C71" i="5"/>
  <c r="D59" i="5"/>
  <c r="C59" i="5"/>
  <c r="D47" i="5"/>
  <c r="C47" i="5"/>
  <c r="D132" i="5"/>
  <c r="C132" i="5"/>
  <c r="D120" i="5"/>
  <c r="C120" i="5"/>
  <c r="D108" i="5"/>
  <c r="C108" i="5"/>
  <c r="D96" i="5"/>
  <c r="C96" i="5"/>
  <c r="D84" i="5"/>
  <c r="C84" i="5"/>
  <c r="D72" i="5"/>
  <c r="C72" i="5"/>
  <c r="D60" i="5"/>
  <c r="C60" i="5"/>
  <c r="D48" i="5"/>
  <c r="C48" i="5"/>
  <c r="D137" i="5"/>
  <c r="C137" i="5"/>
  <c r="D125" i="5"/>
  <c r="C125" i="5"/>
  <c r="D113" i="5"/>
  <c r="C113" i="5"/>
  <c r="D101" i="5"/>
  <c r="C101" i="5"/>
  <c r="D89" i="5"/>
  <c r="C89" i="5"/>
  <c r="D77" i="5"/>
  <c r="C77" i="5"/>
  <c r="D65" i="5"/>
  <c r="C65" i="5"/>
  <c r="D53" i="5"/>
  <c r="C53" i="5"/>
  <c r="D143" i="5"/>
  <c r="C143" i="5"/>
  <c r="D130" i="5"/>
  <c r="C130" i="5"/>
  <c r="D118" i="5"/>
  <c r="C118" i="5"/>
  <c r="D106" i="5"/>
  <c r="C106" i="5"/>
  <c r="D94" i="5"/>
  <c r="C94" i="5"/>
  <c r="D31" i="5"/>
  <c r="C31" i="5"/>
  <c r="D7" i="5"/>
  <c r="C7" i="5"/>
  <c r="D5" i="5"/>
  <c r="C5" i="5"/>
  <c r="D15" i="5"/>
  <c r="C15" i="5"/>
  <c r="D3" i="5"/>
  <c r="C3" i="5"/>
  <c r="D41" i="5"/>
  <c r="C41" i="5"/>
  <c r="D30" i="5"/>
  <c r="C30" i="5"/>
  <c r="D18" i="5"/>
  <c r="C18" i="5"/>
  <c r="D6" i="5"/>
  <c r="C6" i="5"/>
  <c r="D35" i="5"/>
  <c r="C35" i="5"/>
  <c r="D23" i="5"/>
  <c r="C23" i="5"/>
  <c r="D11" i="5"/>
  <c r="C11" i="5"/>
  <c r="D28" i="5"/>
  <c r="C28" i="5"/>
  <c r="D16" i="5"/>
  <c r="C16" i="5"/>
  <c r="D4" i="5"/>
  <c r="C4" i="5"/>
  <c r="H768" i="5" a="1"/>
  <c r="H768" i="5"/>
  <c r="G768" i="5"/>
  <c r="P768" i="5"/>
  <c r="F768" i="5"/>
  <c r="O768" i="5"/>
  <c r="N768" i="5"/>
  <c r="M768" i="5"/>
  <c r="L768" i="5"/>
  <c r="B768" i="5"/>
  <c r="K768" i="5"/>
  <c r="J768" i="5"/>
  <c r="I768" i="5" a="1"/>
  <c r="I768" i="5"/>
  <c r="G615" i="5"/>
  <c r="P615" i="5"/>
  <c r="F615" i="5"/>
  <c r="O615" i="5"/>
  <c r="N615" i="5"/>
  <c r="M615" i="5"/>
  <c r="L615" i="5"/>
  <c r="B615" i="5"/>
  <c r="K615" i="5"/>
  <c r="J615" i="5"/>
  <c r="I615" i="5" a="1"/>
  <c r="I615" i="5"/>
  <c r="H615" i="5" a="1"/>
  <c r="H615" i="5"/>
  <c r="H397" i="5" a="1"/>
  <c r="H397" i="5"/>
  <c r="J302" i="5"/>
  <c r="I302" i="5" a="1"/>
  <c r="I302" i="5"/>
  <c r="H302" i="5" a="1"/>
  <c r="H302" i="5"/>
  <c r="G302" i="5"/>
  <c r="P302" i="5"/>
  <c r="F302" i="5"/>
  <c r="O302" i="5"/>
  <c r="N302" i="5"/>
  <c r="M302" i="5"/>
  <c r="L302" i="5"/>
  <c r="B302" i="5"/>
  <c r="K302" i="5"/>
  <c r="G831" i="5"/>
  <c r="N831" i="5"/>
  <c r="K831" i="5"/>
  <c r="M831" i="5"/>
  <c r="F831" i="5"/>
  <c r="B831" i="5"/>
  <c r="P831" i="5"/>
  <c r="O831" i="5"/>
  <c r="L831" i="5"/>
  <c r="J831" i="5"/>
  <c r="I831" i="5" a="1"/>
  <c r="I831" i="5"/>
  <c r="H831" i="5" a="1"/>
  <c r="H831" i="5"/>
  <c r="B821" i="5"/>
  <c r="O758" i="5"/>
  <c r="B758" i="5"/>
  <c r="K758" i="5"/>
  <c r="J758" i="5"/>
  <c r="G763" i="5"/>
  <c r="P763" i="5"/>
  <c r="F763" i="5"/>
  <c r="O763" i="5"/>
  <c r="N763" i="5"/>
  <c r="M763" i="5"/>
  <c r="L763" i="5"/>
  <c r="B763" i="5"/>
  <c r="K763" i="5"/>
  <c r="J763" i="5"/>
  <c r="I763" i="5" a="1"/>
  <c r="I763" i="5"/>
  <c r="H763" i="5" a="1"/>
  <c r="H763" i="5"/>
  <c r="H790" i="5" a="1"/>
  <c r="H790" i="5"/>
  <c r="N790" i="5"/>
  <c r="L790" i="5"/>
  <c r="B790" i="5"/>
  <c r="K790" i="5"/>
  <c r="J790" i="5"/>
  <c r="I790" i="5" a="1"/>
  <c r="I790" i="5"/>
  <c r="G790" i="5"/>
  <c r="F790" i="5"/>
  <c r="P790" i="5"/>
  <c r="O790" i="5"/>
  <c r="M790" i="5"/>
  <c r="C693" i="5"/>
  <c r="C754" i="5"/>
  <c r="C676" i="5"/>
  <c r="I657" i="5" a="1"/>
  <c r="I657" i="5"/>
  <c r="H657" i="5" a="1"/>
  <c r="H657" i="5"/>
  <c r="G657" i="5"/>
  <c r="P657" i="5"/>
  <c r="F657" i="5"/>
  <c r="O657" i="5"/>
  <c r="N657" i="5"/>
  <c r="M657" i="5"/>
  <c r="L657" i="5"/>
  <c r="B657" i="5"/>
  <c r="K657" i="5"/>
  <c r="J657" i="5"/>
  <c r="N726" i="5"/>
  <c r="M726" i="5"/>
  <c r="L726" i="5"/>
  <c r="B726" i="5"/>
  <c r="K726" i="5"/>
  <c r="J726" i="5"/>
  <c r="I726" i="5" a="1"/>
  <c r="I726" i="5"/>
  <c r="H726" i="5" a="1"/>
  <c r="H726" i="5"/>
  <c r="G726" i="5"/>
  <c r="P726" i="5"/>
  <c r="F726" i="5"/>
  <c r="O726" i="5"/>
  <c r="O600" i="5"/>
  <c r="N600" i="5"/>
  <c r="M600" i="5"/>
  <c r="L600" i="5"/>
  <c r="B600" i="5"/>
  <c r="K600" i="5"/>
  <c r="J600" i="5"/>
  <c r="I600" i="5" a="1"/>
  <c r="I600" i="5"/>
  <c r="H600" i="5" a="1"/>
  <c r="H600" i="5"/>
  <c r="G600" i="5"/>
  <c r="P600" i="5"/>
  <c r="F600" i="5"/>
  <c r="G634" i="5"/>
  <c r="P634" i="5"/>
  <c r="F634" i="5"/>
  <c r="O634" i="5"/>
  <c r="N634" i="5"/>
  <c r="M634" i="5"/>
  <c r="L634" i="5"/>
  <c r="B634" i="5"/>
  <c r="K634" i="5"/>
  <c r="J634" i="5"/>
  <c r="I634" i="5" a="1"/>
  <c r="I634" i="5"/>
  <c r="H634" i="5" a="1"/>
  <c r="H634" i="5"/>
  <c r="N658" i="5"/>
  <c r="M658" i="5"/>
  <c r="L658" i="5"/>
  <c r="B658" i="5"/>
  <c r="K658" i="5"/>
  <c r="J658" i="5"/>
  <c r="I658" i="5" a="1"/>
  <c r="I658" i="5"/>
  <c r="H658" i="5" a="1"/>
  <c r="H658" i="5"/>
  <c r="G658" i="5"/>
  <c r="P658" i="5"/>
  <c r="F658" i="5"/>
  <c r="O658" i="5"/>
  <c r="N607" i="5"/>
  <c r="M607" i="5"/>
  <c r="L607" i="5"/>
  <c r="B607" i="5"/>
  <c r="K607" i="5"/>
  <c r="J607" i="5"/>
  <c r="I607" i="5" a="1"/>
  <c r="I607" i="5"/>
  <c r="H607" i="5" a="1"/>
  <c r="H607" i="5"/>
  <c r="G607" i="5"/>
  <c r="P607" i="5"/>
  <c r="F607" i="5"/>
  <c r="O607" i="5"/>
  <c r="G509" i="5"/>
  <c r="P509" i="5"/>
  <c r="F509" i="5"/>
  <c r="O509" i="5"/>
  <c r="N509" i="5"/>
  <c r="M509" i="5"/>
  <c r="L509" i="5"/>
  <c r="B509" i="5"/>
  <c r="K509" i="5"/>
  <c r="J509" i="5"/>
  <c r="I509" i="5" a="1"/>
  <c r="I509" i="5"/>
  <c r="H509" i="5" a="1"/>
  <c r="H509" i="5"/>
  <c r="N562" i="5"/>
  <c r="M562" i="5"/>
  <c r="L562" i="5"/>
  <c r="B562" i="5"/>
  <c r="K562" i="5"/>
  <c r="J562" i="5"/>
  <c r="I562" i="5" a="1"/>
  <c r="I562" i="5"/>
  <c r="H562" i="5" a="1"/>
  <c r="H562" i="5"/>
  <c r="G562" i="5"/>
  <c r="P562" i="5"/>
  <c r="F562" i="5"/>
  <c r="O562" i="5"/>
  <c r="C505" i="5"/>
  <c r="J486" i="5"/>
  <c r="I486" i="5" a="1"/>
  <c r="I486" i="5"/>
  <c r="H486" i="5" a="1"/>
  <c r="H486" i="5"/>
  <c r="G486" i="5"/>
  <c r="P486" i="5"/>
  <c r="F486" i="5"/>
  <c r="O486" i="5"/>
  <c r="N486" i="5"/>
  <c r="M486" i="5"/>
  <c r="L486" i="5"/>
  <c r="B486" i="5"/>
  <c r="K486" i="5"/>
  <c r="N494" i="5"/>
  <c r="M494" i="5"/>
  <c r="L494" i="5"/>
  <c r="B494" i="5"/>
  <c r="K494" i="5"/>
  <c r="J494" i="5"/>
  <c r="I494" i="5" a="1"/>
  <c r="I494" i="5"/>
  <c r="H494" i="5" a="1"/>
  <c r="H494" i="5"/>
  <c r="G494" i="5"/>
  <c r="P494" i="5"/>
  <c r="F494" i="5"/>
  <c r="O494" i="5"/>
  <c r="G424" i="5"/>
  <c r="P424" i="5"/>
  <c r="F424" i="5"/>
  <c r="O424" i="5"/>
  <c r="N424" i="5"/>
  <c r="M424" i="5"/>
  <c r="L424" i="5"/>
  <c r="B424" i="5"/>
  <c r="K424" i="5"/>
  <c r="J424" i="5"/>
  <c r="I424" i="5" a="1"/>
  <c r="I424" i="5"/>
  <c r="H424" i="5" a="1"/>
  <c r="H424" i="5"/>
  <c r="C453" i="5"/>
  <c r="H410" i="5" a="1"/>
  <c r="H410" i="5"/>
  <c r="G410" i="5"/>
  <c r="P410" i="5"/>
  <c r="F410" i="5"/>
  <c r="O410" i="5"/>
  <c r="N410" i="5"/>
  <c r="M410" i="5"/>
  <c r="L410" i="5"/>
  <c r="B410" i="5"/>
  <c r="K410" i="5"/>
  <c r="J410" i="5"/>
  <c r="I410" i="5" a="1"/>
  <c r="I410" i="5"/>
  <c r="P468" i="5"/>
  <c r="F468" i="5"/>
  <c r="O468" i="5"/>
  <c r="N468" i="5"/>
  <c r="M468" i="5"/>
  <c r="L468" i="5"/>
  <c r="B468" i="5"/>
  <c r="K468" i="5"/>
  <c r="J468" i="5"/>
  <c r="I468" i="5" a="1"/>
  <c r="I468" i="5"/>
  <c r="G468" i="5"/>
  <c r="H468" i="5" a="1"/>
  <c r="H468" i="5"/>
  <c r="N279" i="5"/>
  <c r="P248" i="5"/>
  <c r="F248" i="5"/>
  <c r="O248" i="5"/>
  <c r="B248" i="5"/>
  <c r="G325" i="5"/>
  <c r="P325" i="5"/>
  <c r="F325" i="5"/>
  <c r="O325" i="5"/>
  <c r="N325" i="5"/>
  <c r="M325" i="5"/>
  <c r="L325" i="5"/>
  <c r="B325" i="5"/>
  <c r="K325" i="5"/>
  <c r="J325" i="5"/>
  <c r="I325" i="5" a="1"/>
  <c r="I325" i="5"/>
  <c r="H325" i="5" a="1"/>
  <c r="H325" i="5"/>
  <c r="H369" i="5" a="1"/>
  <c r="H369" i="5"/>
  <c r="G369" i="5"/>
  <c r="P369" i="5"/>
  <c r="F369" i="5"/>
  <c r="O369" i="5"/>
  <c r="N369" i="5"/>
  <c r="M369" i="5"/>
  <c r="L369" i="5"/>
  <c r="B369" i="5"/>
  <c r="K369" i="5"/>
  <c r="J369" i="5"/>
  <c r="I369" i="5" a="1"/>
  <c r="I369" i="5"/>
  <c r="H381" i="5" a="1"/>
  <c r="H381" i="5"/>
  <c r="G381" i="5"/>
  <c r="P381" i="5"/>
  <c r="F381" i="5"/>
  <c r="O381" i="5"/>
  <c r="N381" i="5"/>
  <c r="M381" i="5"/>
  <c r="L381" i="5"/>
  <c r="B381" i="5"/>
  <c r="K381" i="5"/>
  <c r="J381" i="5"/>
  <c r="I381" i="5" a="1"/>
  <c r="I381" i="5"/>
  <c r="H316" i="5" a="1"/>
  <c r="H316" i="5"/>
  <c r="G316" i="5"/>
  <c r="P316" i="5"/>
  <c r="F316" i="5"/>
  <c r="O316" i="5"/>
  <c r="N316" i="5"/>
  <c r="M316" i="5"/>
  <c r="L316" i="5"/>
  <c r="B316" i="5"/>
  <c r="K316" i="5"/>
  <c r="J316" i="5"/>
  <c r="I316" i="5" a="1"/>
  <c r="I316" i="5"/>
  <c r="N428" i="5"/>
  <c r="M428" i="5"/>
  <c r="L428" i="5"/>
  <c r="B428" i="5"/>
  <c r="K428" i="5"/>
  <c r="J428" i="5"/>
  <c r="I428" i="5" a="1"/>
  <c r="I428" i="5"/>
  <c r="H428" i="5" a="1"/>
  <c r="H428" i="5"/>
  <c r="G428" i="5"/>
  <c r="P428" i="5"/>
  <c r="F428" i="5"/>
  <c r="O428" i="5"/>
  <c r="I309" i="5" a="1"/>
  <c r="I309" i="5"/>
  <c r="H309" i="5" a="1"/>
  <c r="H309" i="5"/>
  <c r="G309" i="5"/>
  <c r="P309" i="5"/>
  <c r="F309" i="5"/>
  <c r="O309" i="5"/>
  <c r="N309" i="5"/>
  <c r="M309" i="5"/>
  <c r="L309" i="5"/>
  <c r="B309" i="5"/>
  <c r="K309" i="5"/>
  <c r="J309" i="5"/>
  <c r="C266" i="5"/>
  <c r="O189" i="5"/>
  <c r="N189" i="5"/>
  <c r="M189" i="5"/>
  <c r="L189" i="5"/>
  <c r="B189" i="5"/>
  <c r="K189" i="5"/>
  <c r="J189" i="5"/>
  <c r="I189" i="5" a="1"/>
  <c r="I189" i="5"/>
  <c r="H189" i="5" a="1"/>
  <c r="H189" i="5"/>
  <c r="G189" i="5"/>
  <c r="P189" i="5"/>
  <c r="F189" i="5"/>
  <c r="N298" i="5"/>
  <c r="M298" i="5"/>
  <c r="L298" i="5"/>
  <c r="B298" i="5"/>
  <c r="K298" i="5"/>
  <c r="J298" i="5"/>
  <c r="I298" i="5" a="1"/>
  <c r="I298" i="5"/>
  <c r="H298" i="5" a="1"/>
  <c r="H298" i="5"/>
  <c r="G298" i="5"/>
  <c r="P298" i="5"/>
  <c r="F298" i="5"/>
  <c r="O298" i="5"/>
  <c r="C209" i="5"/>
  <c r="G114" i="5"/>
  <c r="P114" i="5"/>
  <c r="F114" i="5"/>
  <c r="O114" i="5"/>
  <c r="N114" i="5"/>
  <c r="M114" i="5"/>
  <c r="L114" i="5"/>
  <c r="B114" i="5"/>
  <c r="K114" i="5"/>
  <c r="J114" i="5"/>
  <c r="I114" i="5" a="1"/>
  <c r="I114" i="5"/>
  <c r="H114" i="5" a="1"/>
  <c r="H114" i="5"/>
  <c r="H112" i="5" a="1"/>
  <c r="H112" i="5"/>
  <c r="G112" i="5"/>
  <c r="P112" i="5"/>
  <c r="F112" i="5"/>
  <c r="O112" i="5"/>
  <c r="N112" i="5"/>
  <c r="M112" i="5"/>
  <c r="L112" i="5"/>
  <c r="B112" i="5"/>
  <c r="K112" i="5"/>
  <c r="J112" i="5"/>
  <c r="I112" i="5" a="1"/>
  <c r="I112" i="5"/>
  <c r="H40" i="5" a="1"/>
  <c r="H40" i="5"/>
  <c r="G40" i="5"/>
  <c r="N40" i="5"/>
  <c r="M40" i="5"/>
  <c r="L40" i="5"/>
  <c r="B40" i="5"/>
  <c r="K40" i="5"/>
  <c r="I40" i="5" a="1"/>
  <c r="I40" i="5"/>
  <c r="F40" i="5"/>
  <c r="P40" i="5"/>
  <c r="O40" i="5"/>
  <c r="J40" i="5"/>
  <c r="H45" i="5" a="1"/>
  <c r="H45" i="5"/>
  <c r="G45" i="5"/>
  <c r="P45" i="5"/>
  <c r="F45" i="5"/>
  <c r="O45" i="5"/>
  <c r="N45" i="5"/>
  <c r="M45" i="5"/>
  <c r="L45" i="5"/>
  <c r="B45" i="5"/>
  <c r="K45" i="5"/>
  <c r="I45" i="5" a="1"/>
  <c r="I45" i="5"/>
  <c r="J45" i="5"/>
  <c r="C103" i="5"/>
  <c r="C160" i="5"/>
  <c r="G17" i="5"/>
  <c r="P17" i="5"/>
  <c r="F17" i="5"/>
  <c r="L17" i="5"/>
  <c r="B17" i="5"/>
  <c r="K17" i="5"/>
  <c r="G10" i="5"/>
  <c r="P10" i="5"/>
  <c r="F10" i="5"/>
  <c r="O10" i="5"/>
  <c r="L10" i="5"/>
  <c r="B10" i="5"/>
  <c r="K10" i="5"/>
  <c r="I10" i="5" a="1"/>
  <c r="I10" i="5"/>
  <c r="G27" i="5"/>
  <c r="P27" i="5"/>
  <c r="F27" i="5"/>
  <c r="L27" i="5"/>
  <c r="B27" i="5"/>
  <c r="K27" i="5"/>
  <c r="I32" i="5" a="1"/>
  <c r="I32" i="5"/>
  <c r="H32" i="5" a="1"/>
  <c r="H32" i="5"/>
  <c r="G32" i="5"/>
  <c r="P32" i="5"/>
  <c r="F32" i="5"/>
  <c r="O32" i="5"/>
  <c r="N32" i="5"/>
  <c r="M32" i="5"/>
  <c r="L32" i="5"/>
  <c r="B32" i="5"/>
  <c r="K32" i="5"/>
  <c r="J32" i="5"/>
  <c r="G722" i="5"/>
  <c r="P722" i="5"/>
  <c r="F722" i="5"/>
  <c r="O722" i="5"/>
  <c r="N722" i="5"/>
  <c r="M722" i="5"/>
  <c r="L722" i="5"/>
  <c r="B722" i="5"/>
  <c r="K722" i="5"/>
  <c r="J722" i="5"/>
  <c r="I722" i="5" a="1"/>
  <c r="I722" i="5"/>
  <c r="H722" i="5" a="1"/>
  <c r="H722" i="5"/>
  <c r="N702" i="5"/>
  <c r="F702" i="5"/>
  <c r="I333" i="5" a="1"/>
  <c r="I333" i="5"/>
  <c r="H333" i="5" a="1"/>
  <c r="H333" i="5"/>
  <c r="G333" i="5"/>
  <c r="P333" i="5"/>
  <c r="F333" i="5"/>
  <c r="O333" i="5"/>
  <c r="N333" i="5"/>
  <c r="M333" i="5"/>
  <c r="L333" i="5"/>
  <c r="B333" i="5"/>
  <c r="K333" i="5"/>
  <c r="J333" i="5"/>
  <c r="G133" i="5"/>
  <c r="C894" i="5"/>
  <c r="L865" i="5"/>
  <c r="B865" i="5"/>
  <c r="F865" i="5"/>
  <c r="P865" i="5"/>
  <c r="N865" i="5"/>
  <c r="K865" i="5"/>
  <c r="J865" i="5"/>
  <c r="I865" i="5" a="1"/>
  <c r="I865" i="5"/>
  <c r="H865" i="5" a="1"/>
  <c r="H865" i="5"/>
  <c r="G865" i="5"/>
  <c r="O865" i="5"/>
  <c r="M865" i="5"/>
  <c r="C809" i="5"/>
  <c r="I777" i="5" a="1"/>
  <c r="I777" i="5"/>
  <c r="C788" i="5"/>
  <c r="O731" i="5"/>
  <c r="N731" i="5"/>
  <c r="M731" i="5"/>
  <c r="L731" i="5"/>
  <c r="B731" i="5"/>
  <c r="K731" i="5"/>
  <c r="J731" i="5"/>
  <c r="I731" i="5" a="1"/>
  <c r="I731" i="5"/>
  <c r="H731" i="5" a="1"/>
  <c r="H731" i="5"/>
  <c r="G731" i="5"/>
  <c r="P731" i="5"/>
  <c r="F731" i="5"/>
  <c r="N779" i="5"/>
  <c r="M779" i="5"/>
  <c r="L779" i="5"/>
  <c r="B779" i="5"/>
  <c r="K779" i="5"/>
  <c r="J779" i="5"/>
  <c r="I779" i="5" a="1"/>
  <c r="I779" i="5"/>
  <c r="H779" i="5" a="1"/>
  <c r="H779" i="5"/>
  <c r="G779" i="5"/>
  <c r="P779" i="5"/>
  <c r="F779" i="5"/>
  <c r="O779" i="5"/>
  <c r="I742" i="5" a="1"/>
  <c r="I742" i="5"/>
  <c r="H742" i="5" a="1"/>
  <c r="H742" i="5"/>
  <c r="G742" i="5"/>
  <c r="P742" i="5"/>
  <c r="F742" i="5"/>
  <c r="M742" i="5"/>
  <c r="O742" i="5"/>
  <c r="N742" i="5"/>
  <c r="L742" i="5"/>
  <c r="K742" i="5"/>
  <c r="J742" i="5"/>
  <c r="B742" i="5"/>
  <c r="J730" i="5"/>
  <c r="I730" i="5" a="1"/>
  <c r="I730" i="5"/>
  <c r="H730" i="5" a="1"/>
  <c r="H730" i="5"/>
  <c r="G730" i="5"/>
  <c r="P730" i="5"/>
  <c r="F730" i="5"/>
  <c r="O730" i="5"/>
  <c r="N730" i="5"/>
  <c r="M730" i="5"/>
  <c r="L730" i="5"/>
  <c r="B730" i="5"/>
  <c r="K730" i="5"/>
  <c r="C673" i="5"/>
  <c r="C666" i="5"/>
  <c r="C671" i="5"/>
  <c r="N714" i="5"/>
  <c r="M714" i="5"/>
  <c r="L714" i="5"/>
  <c r="B714" i="5"/>
  <c r="K714" i="5"/>
  <c r="J714" i="5"/>
  <c r="I714" i="5" a="1"/>
  <c r="I714" i="5"/>
  <c r="H714" i="5" a="1"/>
  <c r="H714" i="5"/>
  <c r="G714" i="5"/>
  <c r="P714" i="5"/>
  <c r="F714" i="5"/>
  <c r="O714" i="5"/>
  <c r="O588" i="5"/>
  <c r="N588" i="5"/>
  <c r="M588" i="5"/>
  <c r="L588" i="5"/>
  <c r="B588" i="5"/>
  <c r="K588" i="5"/>
  <c r="J588" i="5"/>
  <c r="I588" i="5" a="1"/>
  <c r="I588" i="5"/>
  <c r="H588" i="5" a="1"/>
  <c r="H588" i="5"/>
  <c r="P588" i="5"/>
  <c r="F588" i="5"/>
  <c r="G588" i="5"/>
  <c r="C529" i="5"/>
  <c r="C546" i="5"/>
  <c r="C563" i="5"/>
  <c r="N595" i="5"/>
  <c r="M595" i="5"/>
  <c r="L595" i="5"/>
  <c r="B595" i="5"/>
  <c r="K595" i="5"/>
  <c r="J595" i="5"/>
  <c r="I595" i="5" a="1"/>
  <c r="I595" i="5"/>
  <c r="H595" i="5" a="1"/>
  <c r="H595" i="5"/>
  <c r="P595" i="5"/>
  <c r="F595" i="5"/>
  <c r="O595" i="5"/>
  <c r="G595" i="5"/>
  <c r="C511" i="5"/>
  <c r="C514" i="5"/>
  <c r="N550" i="5"/>
  <c r="M550" i="5"/>
  <c r="L550" i="5"/>
  <c r="B550" i="5"/>
  <c r="K550" i="5"/>
  <c r="J550" i="5"/>
  <c r="I550" i="5" a="1"/>
  <c r="I550" i="5"/>
  <c r="H550" i="5" a="1"/>
  <c r="H550" i="5"/>
  <c r="G550" i="5"/>
  <c r="P550" i="5"/>
  <c r="F550" i="5"/>
  <c r="O550" i="5"/>
  <c r="C476" i="5"/>
  <c r="J474" i="5"/>
  <c r="I474" i="5" a="1"/>
  <c r="I474" i="5"/>
  <c r="H474" i="5" a="1"/>
  <c r="H474" i="5"/>
  <c r="G474" i="5"/>
  <c r="P474" i="5"/>
  <c r="F474" i="5"/>
  <c r="O474" i="5"/>
  <c r="N474" i="5"/>
  <c r="M474" i="5"/>
  <c r="L474" i="5"/>
  <c r="B474" i="5"/>
  <c r="K474" i="5"/>
  <c r="N482" i="5"/>
  <c r="M482" i="5"/>
  <c r="L482" i="5"/>
  <c r="B482" i="5"/>
  <c r="K482" i="5"/>
  <c r="J482" i="5"/>
  <c r="I482" i="5" a="1"/>
  <c r="I482" i="5"/>
  <c r="H482" i="5" a="1"/>
  <c r="H482" i="5"/>
  <c r="G482" i="5"/>
  <c r="P482" i="5"/>
  <c r="F482" i="5"/>
  <c r="O482" i="5"/>
  <c r="K383" i="5"/>
  <c r="I451" i="5" a="1"/>
  <c r="I451" i="5"/>
  <c r="H451" i="5" a="1"/>
  <c r="H451" i="5"/>
  <c r="G451" i="5"/>
  <c r="P451" i="5"/>
  <c r="F451" i="5"/>
  <c r="O451" i="5"/>
  <c r="N451" i="5"/>
  <c r="M451" i="5"/>
  <c r="L451" i="5"/>
  <c r="B451" i="5"/>
  <c r="K451" i="5"/>
  <c r="J451" i="5"/>
  <c r="I379" i="5" a="1"/>
  <c r="I379" i="5"/>
  <c r="H379" i="5" a="1"/>
  <c r="H379" i="5"/>
  <c r="G379" i="5"/>
  <c r="P379" i="5"/>
  <c r="F379" i="5"/>
  <c r="O379" i="5"/>
  <c r="N379" i="5"/>
  <c r="M379" i="5"/>
  <c r="L379" i="5"/>
  <c r="B379" i="5"/>
  <c r="K379" i="5"/>
  <c r="J379" i="5"/>
  <c r="C396" i="5"/>
  <c r="O267" i="5"/>
  <c r="N267" i="5"/>
  <c r="M267" i="5"/>
  <c r="L267" i="5"/>
  <c r="B267" i="5"/>
  <c r="K267" i="5"/>
  <c r="J267" i="5"/>
  <c r="I267" i="5" a="1"/>
  <c r="I267" i="5"/>
  <c r="H267" i="5" a="1"/>
  <c r="H267" i="5"/>
  <c r="G267" i="5"/>
  <c r="P267" i="5"/>
  <c r="F267" i="5"/>
  <c r="C313" i="5"/>
  <c r="C287" i="5"/>
  <c r="C372" i="5"/>
  <c r="N404" i="5"/>
  <c r="M404" i="5"/>
  <c r="L404" i="5"/>
  <c r="B404" i="5"/>
  <c r="K404" i="5"/>
  <c r="J404" i="5"/>
  <c r="I404" i="5" a="1"/>
  <c r="I404" i="5"/>
  <c r="H404" i="5" a="1"/>
  <c r="H404" i="5"/>
  <c r="G404" i="5"/>
  <c r="P404" i="5"/>
  <c r="F404" i="5"/>
  <c r="O404" i="5"/>
  <c r="C349" i="5"/>
  <c r="O177" i="5"/>
  <c r="N177" i="5"/>
  <c r="M177" i="5"/>
  <c r="L177" i="5"/>
  <c r="B177" i="5"/>
  <c r="K177" i="5"/>
  <c r="J177" i="5"/>
  <c r="I177" i="5" a="1"/>
  <c r="I177" i="5"/>
  <c r="H177" i="5" a="1"/>
  <c r="H177" i="5"/>
  <c r="G177" i="5"/>
  <c r="P177" i="5"/>
  <c r="F177" i="5"/>
  <c r="C286" i="5"/>
  <c r="C202" i="5"/>
  <c r="I183" i="5" a="1"/>
  <c r="I183" i="5"/>
  <c r="H183" i="5" a="1"/>
  <c r="H183" i="5"/>
  <c r="G183" i="5"/>
  <c r="P183" i="5"/>
  <c r="F183" i="5"/>
  <c r="O183" i="5"/>
  <c r="N183" i="5"/>
  <c r="M183" i="5"/>
  <c r="L183" i="5"/>
  <c r="B183" i="5"/>
  <c r="K183" i="5"/>
  <c r="J183" i="5"/>
  <c r="P97" i="5"/>
  <c r="F97" i="5"/>
  <c r="O97" i="5"/>
  <c r="N97" i="5"/>
  <c r="M97" i="5"/>
  <c r="L97" i="5"/>
  <c r="B97" i="5"/>
  <c r="K97" i="5"/>
  <c r="J97" i="5"/>
  <c r="I97" i="5" a="1"/>
  <c r="I97" i="5"/>
  <c r="H97" i="5" a="1"/>
  <c r="H97" i="5"/>
  <c r="G97" i="5"/>
  <c r="C102" i="5"/>
  <c r="C117" i="5"/>
  <c r="C122" i="5"/>
  <c r="C91" i="5"/>
  <c r="C154" i="5"/>
  <c r="C46" i="5"/>
  <c r="G843" i="5"/>
  <c r="N843" i="5"/>
  <c r="L843" i="5"/>
  <c r="B843" i="5"/>
  <c r="K843" i="5"/>
  <c r="F843" i="5"/>
  <c r="O843" i="5"/>
  <c r="M843" i="5"/>
  <c r="J843" i="5"/>
  <c r="I843" i="5" a="1"/>
  <c r="I843" i="5"/>
  <c r="H843" i="5" a="1"/>
  <c r="H843" i="5"/>
  <c r="P843" i="5"/>
  <c r="H703" i="5" a="1"/>
  <c r="H703" i="5"/>
  <c r="G703" i="5"/>
  <c r="P703" i="5"/>
  <c r="F703" i="5"/>
  <c r="O703" i="5"/>
  <c r="N703" i="5"/>
  <c r="M703" i="5"/>
  <c r="L703" i="5"/>
  <c r="B703" i="5"/>
  <c r="K703" i="5"/>
  <c r="J703" i="5"/>
  <c r="I703" i="5" a="1"/>
  <c r="I703" i="5"/>
  <c r="P536" i="5"/>
  <c r="F536" i="5"/>
  <c r="O536" i="5"/>
  <c r="N536" i="5"/>
  <c r="M536" i="5"/>
  <c r="L536" i="5"/>
  <c r="B536" i="5"/>
  <c r="K536" i="5"/>
  <c r="J536" i="5"/>
  <c r="I536" i="5" a="1"/>
  <c r="I536" i="5"/>
  <c r="H536" i="5" a="1"/>
  <c r="H536" i="5"/>
  <c r="G536" i="5"/>
  <c r="H268" i="5" a="1"/>
  <c r="H268" i="5"/>
  <c r="G268" i="5"/>
  <c r="P268" i="5"/>
  <c r="F268" i="5"/>
  <c r="O268" i="5"/>
  <c r="N268" i="5"/>
  <c r="M268" i="5"/>
  <c r="L268" i="5"/>
  <c r="B268" i="5"/>
  <c r="K268" i="5"/>
  <c r="J268" i="5"/>
  <c r="I268" i="5" a="1"/>
  <c r="I268" i="5"/>
  <c r="O104" i="5"/>
  <c r="N104" i="5"/>
  <c r="M104" i="5"/>
  <c r="L104" i="5"/>
  <c r="B104" i="5"/>
  <c r="K104" i="5"/>
  <c r="J104" i="5"/>
  <c r="I104" i="5" a="1"/>
  <c r="I104" i="5"/>
  <c r="H104" i="5" a="1"/>
  <c r="H104" i="5"/>
  <c r="G104" i="5"/>
  <c r="P104" i="5"/>
  <c r="F104" i="5"/>
  <c r="G854" i="5"/>
  <c r="F854" i="5"/>
  <c r="H854" i="5" a="1"/>
  <c r="H854" i="5"/>
  <c r="K854" i="5"/>
  <c r="P854" i="5"/>
  <c r="L854" i="5"/>
  <c r="J854" i="5"/>
  <c r="N854" i="5"/>
  <c r="B854" i="5"/>
  <c r="O854" i="5"/>
  <c r="M854" i="5"/>
  <c r="I854" i="5" a="1"/>
  <c r="I854" i="5"/>
  <c r="M881" i="5"/>
  <c r="B881" i="5"/>
  <c r="L881" i="5"/>
  <c r="O881" i="5"/>
  <c r="N881" i="5"/>
  <c r="P881" i="5"/>
  <c r="I881" i="5" a="1"/>
  <c r="I881" i="5"/>
  <c r="G881" i="5"/>
  <c r="F881" i="5"/>
  <c r="K881" i="5"/>
  <c r="J881" i="5"/>
  <c r="H881" i="5" a="1"/>
  <c r="H881" i="5"/>
  <c r="G746" i="5"/>
  <c r="P746" i="5"/>
  <c r="F746" i="5"/>
  <c r="O746" i="5"/>
  <c r="N746" i="5"/>
  <c r="M746" i="5"/>
  <c r="L746" i="5"/>
  <c r="B746" i="5"/>
  <c r="K746" i="5"/>
  <c r="J746" i="5"/>
  <c r="I746" i="5" a="1"/>
  <c r="I746" i="5"/>
  <c r="H746" i="5" a="1"/>
  <c r="H746" i="5"/>
  <c r="I737" i="5" a="1"/>
  <c r="I737" i="5"/>
  <c r="H737" i="5" a="1"/>
  <c r="H737" i="5"/>
  <c r="G737" i="5"/>
  <c r="P737" i="5"/>
  <c r="F737" i="5"/>
  <c r="O737" i="5"/>
  <c r="N737" i="5"/>
  <c r="M737" i="5"/>
  <c r="L737" i="5"/>
  <c r="B737" i="5"/>
  <c r="K737" i="5"/>
  <c r="J737" i="5"/>
  <c r="J718" i="5"/>
  <c r="I718" i="5" a="1"/>
  <c r="I718" i="5"/>
  <c r="H718" i="5" a="1"/>
  <c r="H718" i="5"/>
  <c r="G718" i="5"/>
  <c r="P718" i="5"/>
  <c r="F718" i="5"/>
  <c r="O718" i="5"/>
  <c r="N718" i="5"/>
  <c r="M718" i="5"/>
  <c r="L718" i="5"/>
  <c r="B718" i="5"/>
  <c r="K718" i="5"/>
  <c r="O687" i="5"/>
  <c r="N687" i="5"/>
  <c r="M687" i="5"/>
  <c r="L687" i="5"/>
  <c r="B687" i="5"/>
  <c r="K687" i="5"/>
  <c r="J687" i="5"/>
  <c r="I687" i="5" a="1"/>
  <c r="I687" i="5"/>
  <c r="H687" i="5" a="1"/>
  <c r="H687" i="5"/>
  <c r="G687" i="5"/>
  <c r="P687" i="5"/>
  <c r="F687" i="5"/>
  <c r="P644" i="5"/>
  <c r="F644" i="5"/>
  <c r="O644" i="5"/>
  <c r="N644" i="5"/>
  <c r="M644" i="5"/>
  <c r="L644" i="5"/>
  <c r="B644" i="5"/>
  <c r="K644" i="5"/>
  <c r="J644" i="5"/>
  <c r="I644" i="5" a="1"/>
  <c r="I644" i="5"/>
  <c r="G644" i="5"/>
  <c r="H644" i="5" a="1"/>
  <c r="H644" i="5"/>
  <c r="C664" i="5"/>
  <c r="C622" i="5"/>
  <c r="J638" i="5"/>
  <c r="I638" i="5" a="1"/>
  <c r="I638" i="5"/>
  <c r="H638" i="5" a="1"/>
  <c r="H638" i="5"/>
  <c r="G638" i="5"/>
  <c r="O638" i="5"/>
  <c r="N638" i="5"/>
  <c r="K638" i="5"/>
  <c r="F638" i="5"/>
  <c r="B638" i="5"/>
  <c r="P638" i="5"/>
  <c r="M638" i="5"/>
  <c r="L638" i="5"/>
  <c r="C635" i="5"/>
  <c r="P572" i="5"/>
  <c r="F572" i="5"/>
  <c r="O572" i="5"/>
  <c r="N572" i="5"/>
  <c r="M572" i="5"/>
  <c r="L572" i="5"/>
  <c r="B572" i="5"/>
  <c r="K572" i="5"/>
  <c r="J572" i="5"/>
  <c r="I572" i="5" a="1"/>
  <c r="I572" i="5"/>
  <c r="H572" i="5" a="1"/>
  <c r="H572" i="5"/>
  <c r="G572" i="5"/>
  <c r="P593" i="5"/>
  <c r="F593" i="5"/>
  <c r="O593" i="5"/>
  <c r="N593" i="5"/>
  <c r="M593" i="5"/>
  <c r="L593" i="5"/>
  <c r="B593" i="5"/>
  <c r="K593" i="5"/>
  <c r="J593" i="5"/>
  <c r="I593" i="5" a="1"/>
  <c r="I593" i="5"/>
  <c r="G593" i="5"/>
  <c r="H593" i="5" a="1"/>
  <c r="H593" i="5"/>
  <c r="H544" i="5" a="1"/>
  <c r="H544" i="5"/>
  <c r="G544" i="5"/>
  <c r="P544" i="5"/>
  <c r="F544" i="5"/>
  <c r="O544" i="5"/>
  <c r="N544" i="5"/>
  <c r="M544" i="5"/>
  <c r="L544" i="5"/>
  <c r="B544" i="5"/>
  <c r="K544" i="5"/>
  <c r="J544" i="5"/>
  <c r="I544" i="5" a="1"/>
  <c r="I544" i="5"/>
  <c r="I573" i="5" a="1"/>
  <c r="I573" i="5"/>
  <c r="H573" i="5" a="1"/>
  <c r="H573" i="5"/>
  <c r="G573" i="5"/>
  <c r="P573" i="5"/>
  <c r="F573" i="5"/>
  <c r="O573" i="5"/>
  <c r="N573" i="5"/>
  <c r="M573" i="5"/>
  <c r="L573" i="5"/>
  <c r="B573" i="5"/>
  <c r="K573" i="5"/>
  <c r="J573" i="5"/>
  <c r="O499" i="5"/>
  <c r="N499" i="5"/>
  <c r="M499" i="5"/>
  <c r="L499" i="5"/>
  <c r="B499" i="5"/>
  <c r="K499" i="5"/>
  <c r="J499" i="5"/>
  <c r="I499" i="5" a="1"/>
  <c r="I499" i="5"/>
  <c r="H499" i="5" a="1"/>
  <c r="H499" i="5"/>
  <c r="G499" i="5"/>
  <c r="P499" i="5"/>
  <c r="F499" i="5"/>
  <c r="G497" i="5"/>
  <c r="P497" i="5"/>
  <c r="F497" i="5"/>
  <c r="O497" i="5"/>
  <c r="N497" i="5"/>
  <c r="M497" i="5"/>
  <c r="L497" i="5"/>
  <c r="B497" i="5"/>
  <c r="K497" i="5"/>
  <c r="J497" i="5"/>
  <c r="I497" i="5" a="1"/>
  <c r="I497" i="5"/>
  <c r="H497" i="5" a="1"/>
  <c r="H497" i="5"/>
  <c r="N538" i="5"/>
  <c r="M538" i="5"/>
  <c r="L538" i="5"/>
  <c r="B538" i="5"/>
  <c r="K538" i="5"/>
  <c r="J538" i="5"/>
  <c r="I538" i="5" a="1"/>
  <c r="I538" i="5"/>
  <c r="H538" i="5" a="1"/>
  <c r="H538" i="5"/>
  <c r="G538" i="5"/>
  <c r="P538" i="5"/>
  <c r="F538" i="5"/>
  <c r="O538" i="5"/>
  <c r="I493" i="5" a="1"/>
  <c r="I493" i="5"/>
  <c r="H493" i="5" a="1"/>
  <c r="H493" i="5"/>
  <c r="G493" i="5"/>
  <c r="P493" i="5"/>
  <c r="F493" i="5"/>
  <c r="O493" i="5"/>
  <c r="N493" i="5"/>
  <c r="M493" i="5"/>
  <c r="L493" i="5"/>
  <c r="B493" i="5"/>
  <c r="K493" i="5"/>
  <c r="J493" i="5"/>
  <c r="J462" i="5"/>
  <c r="I462" i="5" a="1"/>
  <c r="I462" i="5"/>
  <c r="H462" i="5" a="1"/>
  <c r="H462" i="5"/>
  <c r="G462" i="5"/>
  <c r="P462" i="5"/>
  <c r="F462" i="5"/>
  <c r="O462" i="5"/>
  <c r="N462" i="5"/>
  <c r="K462" i="5"/>
  <c r="M462" i="5"/>
  <c r="L462" i="5"/>
  <c r="B462" i="5"/>
  <c r="O455" i="5"/>
  <c r="G455" i="5"/>
  <c r="F455" i="5"/>
  <c r="P455" i="5"/>
  <c r="N455" i="5"/>
  <c r="M455" i="5"/>
  <c r="L455" i="5"/>
  <c r="B455" i="5"/>
  <c r="K455" i="5"/>
  <c r="J455" i="5"/>
  <c r="I455" i="5" a="1"/>
  <c r="I455" i="5"/>
  <c r="H455" i="5" a="1"/>
  <c r="H455" i="5"/>
  <c r="C400" i="5"/>
  <c r="C441" i="5"/>
  <c r="C398" i="5"/>
  <c r="G301" i="5"/>
  <c r="P301" i="5"/>
  <c r="F301" i="5"/>
  <c r="O301" i="5"/>
  <c r="N301" i="5"/>
  <c r="M301" i="5"/>
  <c r="L301" i="5"/>
  <c r="B301" i="5"/>
  <c r="K301" i="5"/>
  <c r="J301" i="5"/>
  <c r="I301" i="5" a="1"/>
  <c r="I301" i="5"/>
  <c r="H301" i="5" a="1"/>
  <c r="H301" i="5"/>
  <c r="N356" i="5"/>
  <c r="M356" i="5"/>
  <c r="L356" i="5"/>
  <c r="B356" i="5"/>
  <c r="K356" i="5"/>
  <c r="J356" i="5"/>
  <c r="I356" i="5" a="1"/>
  <c r="I356" i="5"/>
  <c r="H356" i="5" a="1"/>
  <c r="H356" i="5"/>
  <c r="P356" i="5"/>
  <c r="O356" i="5"/>
  <c r="G356" i="5"/>
  <c r="F356" i="5"/>
  <c r="H304" i="5" a="1"/>
  <c r="H304" i="5"/>
  <c r="G304" i="5"/>
  <c r="P304" i="5"/>
  <c r="F304" i="5"/>
  <c r="O304" i="5"/>
  <c r="N304" i="5"/>
  <c r="M304" i="5"/>
  <c r="L304" i="5"/>
  <c r="B304" i="5"/>
  <c r="K304" i="5"/>
  <c r="J304" i="5"/>
  <c r="I304" i="5" a="1"/>
  <c r="I304" i="5"/>
  <c r="N380" i="5"/>
  <c r="M380" i="5"/>
  <c r="L380" i="5"/>
  <c r="B380" i="5"/>
  <c r="K380" i="5"/>
  <c r="J380" i="5"/>
  <c r="I380" i="5" a="1"/>
  <c r="I380" i="5"/>
  <c r="H380" i="5" a="1"/>
  <c r="H380" i="5"/>
  <c r="G380" i="5"/>
  <c r="P380" i="5"/>
  <c r="F380" i="5"/>
  <c r="O380" i="5"/>
  <c r="I297" i="5" a="1"/>
  <c r="I297" i="5"/>
  <c r="H297" i="5" a="1"/>
  <c r="H297" i="5"/>
  <c r="G297" i="5"/>
  <c r="P297" i="5"/>
  <c r="F297" i="5"/>
  <c r="O297" i="5"/>
  <c r="N297" i="5"/>
  <c r="M297" i="5"/>
  <c r="L297" i="5"/>
  <c r="B297" i="5"/>
  <c r="K297" i="5"/>
  <c r="J297" i="5"/>
  <c r="J254" i="5"/>
  <c r="I254" i="5" a="1"/>
  <c r="I254" i="5"/>
  <c r="H254" i="5" a="1"/>
  <c r="H254" i="5"/>
  <c r="G254" i="5"/>
  <c r="P254" i="5"/>
  <c r="F254" i="5"/>
  <c r="O254" i="5"/>
  <c r="N254" i="5"/>
  <c r="K254" i="5"/>
  <c r="M254" i="5"/>
  <c r="L254" i="5"/>
  <c r="B254" i="5"/>
  <c r="O165" i="5"/>
  <c r="N165" i="5"/>
  <c r="M165" i="5"/>
  <c r="L165" i="5"/>
  <c r="B165" i="5"/>
  <c r="K165" i="5"/>
  <c r="J165" i="5"/>
  <c r="I165" i="5" a="1"/>
  <c r="I165" i="5"/>
  <c r="H165" i="5" a="1"/>
  <c r="H165" i="5"/>
  <c r="G165" i="5"/>
  <c r="P165" i="5"/>
  <c r="F165" i="5"/>
  <c r="P146" i="5"/>
  <c r="F146" i="5"/>
  <c r="O146" i="5"/>
  <c r="N146" i="5"/>
  <c r="K146" i="5"/>
  <c r="J146" i="5"/>
  <c r="I146" i="5" a="1"/>
  <c r="I146" i="5"/>
  <c r="G146" i="5"/>
  <c r="M146" i="5"/>
  <c r="L146" i="5"/>
  <c r="H146" i="5" a="1"/>
  <c r="H146" i="5"/>
  <c r="B146" i="5"/>
  <c r="N274" i="5"/>
  <c r="M274" i="5"/>
  <c r="L274" i="5"/>
  <c r="B274" i="5"/>
  <c r="K274" i="5"/>
  <c r="J274" i="5"/>
  <c r="I274" i="5" a="1"/>
  <c r="I274" i="5"/>
  <c r="H274" i="5" a="1"/>
  <c r="H274" i="5"/>
  <c r="G274" i="5"/>
  <c r="P274" i="5"/>
  <c r="F274" i="5"/>
  <c r="O274" i="5"/>
  <c r="H197" i="5" a="1"/>
  <c r="H197" i="5"/>
  <c r="G197" i="5"/>
  <c r="P197" i="5"/>
  <c r="F197" i="5"/>
  <c r="O197" i="5"/>
  <c r="N197" i="5"/>
  <c r="M197" i="5"/>
  <c r="L197" i="5"/>
  <c r="B197" i="5"/>
  <c r="K197" i="5"/>
  <c r="J197" i="5"/>
  <c r="I197" i="5" a="1"/>
  <c r="I197" i="5"/>
  <c r="J236" i="5"/>
  <c r="I236" i="5" a="1"/>
  <c r="I236" i="5"/>
  <c r="H236" i="5" a="1"/>
  <c r="H236" i="5"/>
  <c r="G236" i="5"/>
  <c r="P236" i="5"/>
  <c r="F236" i="5"/>
  <c r="O236" i="5"/>
  <c r="N236" i="5"/>
  <c r="M236" i="5"/>
  <c r="L236" i="5"/>
  <c r="B236" i="5"/>
  <c r="K236" i="5"/>
  <c r="H100" i="5" a="1"/>
  <c r="H100" i="5"/>
  <c r="G100" i="5"/>
  <c r="P100" i="5"/>
  <c r="F100" i="5"/>
  <c r="O100" i="5"/>
  <c r="N100" i="5"/>
  <c r="M100" i="5"/>
  <c r="L100" i="5"/>
  <c r="B100" i="5"/>
  <c r="K100" i="5"/>
  <c r="J100" i="5"/>
  <c r="I100" i="5" a="1"/>
  <c r="I100" i="5"/>
  <c r="N135" i="5"/>
  <c r="M135" i="5"/>
  <c r="L135" i="5"/>
  <c r="B135" i="5"/>
  <c r="K135" i="5"/>
  <c r="J135" i="5"/>
  <c r="I135" i="5" a="1"/>
  <c r="I135" i="5"/>
  <c r="H135" i="5" a="1"/>
  <c r="H135" i="5"/>
  <c r="G135" i="5"/>
  <c r="P135" i="5"/>
  <c r="F135" i="5"/>
  <c r="O135" i="5"/>
  <c r="N51" i="5"/>
  <c r="M51" i="5"/>
  <c r="L51" i="5"/>
  <c r="B51" i="5"/>
  <c r="K51" i="5"/>
  <c r="J51" i="5"/>
  <c r="I51" i="5" a="1"/>
  <c r="I51" i="5"/>
  <c r="H51" i="5" a="1"/>
  <c r="H51" i="5"/>
  <c r="G51" i="5"/>
  <c r="O51" i="5"/>
  <c r="P51" i="5"/>
  <c r="F51" i="5"/>
  <c r="G20" i="5"/>
  <c r="P20" i="5"/>
  <c r="F20" i="5"/>
  <c r="L20" i="5"/>
  <c r="B20" i="5"/>
  <c r="K20" i="5"/>
  <c r="J37" i="5"/>
  <c r="I37" i="5" a="1"/>
  <c r="I37" i="5"/>
  <c r="H37" i="5" a="1"/>
  <c r="H37" i="5"/>
  <c r="G37" i="5"/>
  <c r="P37" i="5"/>
  <c r="F37" i="5"/>
  <c r="O37" i="5"/>
  <c r="N37" i="5"/>
  <c r="M37" i="5"/>
  <c r="L37" i="5"/>
  <c r="B37" i="5"/>
  <c r="K37" i="5"/>
  <c r="I681" i="5" a="1"/>
  <c r="I681" i="5"/>
  <c r="H681" i="5" a="1"/>
  <c r="H681" i="5"/>
  <c r="G681" i="5"/>
  <c r="P681" i="5"/>
  <c r="F681" i="5"/>
  <c r="O681" i="5"/>
  <c r="N681" i="5"/>
  <c r="M681" i="5"/>
  <c r="L681" i="5"/>
  <c r="B681" i="5"/>
  <c r="K681" i="5"/>
  <c r="J681" i="5"/>
  <c r="O580" i="5"/>
  <c r="H580" i="5" a="1"/>
  <c r="H580" i="5"/>
  <c r="G580" i="5"/>
  <c r="F580" i="5"/>
  <c r="P580" i="5"/>
  <c r="N580" i="5"/>
  <c r="M580" i="5"/>
  <c r="L580" i="5"/>
  <c r="B580" i="5"/>
  <c r="K580" i="5"/>
  <c r="J580" i="5"/>
  <c r="I580" i="5" a="1"/>
  <c r="I580" i="5"/>
  <c r="N458" i="5"/>
  <c r="M458" i="5"/>
  <c r="L458" i="5"/>
  <c r="B458" i="5"/>
  <c r="K458" i="5"/>
  <c r="J458" i="5"/>
  <c r="I458" i="5" a="1"/>
  <c r="I458" i="5"/>
  <c r="H458" i="5" a="1"/>
  <c r="H458" i="5"/>
  <c r="O458" i="5"/>
  <c r="P458" i="5"/>
  <c r="G458" i="5"/>
  <c r="F458" i="5"/>
  <c r="H233" i="5" a="1"/>
  <c r="H233" i="5"/>
  <c r="G233" i="5"/>
  <c r="P233" i="5"/>
  <c r="F233" i="5"/>
  <c r="O233" i="5"/>
  <c r="N233" i="5"/>
  <c r="M233" i="5"/>
  <c r="L233" i="5"/>
  <c r="B233" i="5"/>
  <c r="K233" i="5"/>
  <c r="J233" i="5"/>
  <c r="I233" i="5" a="1"/>
  <c r="I233" i="5"/>
  <c r="H136" i="5" a="1"/>
  <c r="H136" i="5"/>
  <c r="G136" i="5"/>
  <c r="P136" i="5"/>
  <c r="F136" i="5"/>
  <c r="O136" i="5"/>
  <c r="N136" i="5"/>
  <c r="M136" i="5"/>
  <c r="L136" i="5"/>
  <c r="B136" i="5"/>
  <c r="K136" i="5"/>
  <c r="J136" i="5"/>
  <c r="I136" i="5" a="1"/>
  <c r="I136" i="5"/>
  <c r="P825" i="5"/>
  <c r="F825" i="5"/>
  <c r="J825" i="5"/>
  <c r="G825" i="5"/>
  <c r="O825" i="5"/>
  <c r="N825" i="5"/>
  <c r="B825" i="5"/>
  <c r="M825" i="5"/>
  <c r="L825" i="5"/>
  <c r="K825" i="5"/>
  <c r="I825" i="5" a="1"/>
  <c r="I825" i="5"/>
  <c r="H825" i="5" a="1"/>
  <c r="H825" i="5"/>
  <c r="H841" i="5" a="1"/>
  <c r="H841" i="5"/>
  <c r="P841" i="5"/>
  <c r="F841" i="5"/>
  <c r="N841" i="5"/>
  <c r="M841" i="5"/>
  <c r="O841" i="5"/>
  <c r="L841" i="5"/>
  <c r="K841" i="5"/>
  <c r="J841" i="5"/>
  <c r="I841" i="5" a="1"/>
  <c r="I841" i="5"/>
  <c r="G841" i="5"/>
  <c r="B841" i="5"/>
  <c r="H895" i="5" a="1"/>
  <c r="H895" i="5"/>
  <c r="J895" i="5"/>
  <c r="I895" i="5" a="1"/>
  <c r="I895" i="5"/>
  <c r="O895" i="5"/>
  <c r="L895" i="5"/>
  <c r="G895" i="5"/>
  <c r="F895" i="5"/>
  <c r="N895" i="5"/>
  <c r="M895" i="5"/>
  <c r="K895" i="5"/>
  <c r="B895" i="5"/>
  <c r="P895" i="5"/>
  <c r="N767" i="5"/>
  <c r="M767" i="5"/>
  <c r="L767" i="5"/>
  <c r="B767" i="5"/>
  <c r="K767" i="5"/>
  <c r="J767" i="5"/>
  <c r="I767" i="5" a="1"/>
  <c r="I767" i="5"/>
  <c r="H767" i="5" a="1"/>
  <c r="H767" i="5"/>
  <c r="G767" i="5"/>
  <c r="P767" i="5"/>
  <c r="F767" i="5"/>
  <c r="O767" i="5"/>
  <c r="C897" i="5"/>
  <c r="C819" i="5"/>
  <c r="H878" i="5" a="1"/>
  <c r="H878" i="5"/>
  <c r="N878" i="5"/>
  <c r="C844" i="5"/>
  <c r="C707" i="5"/>
  <c r="M755" i="5"/>
  <c r="L755" i="5"/>
  <c r="C706" i="5"/>
  <c r="O675" i="5"/>
  <c r="N675" i="5"/>
  <c r="M675" i="5"/>
  <c r="L675" i="5"/>
  <c r="B675" i="5"/>
  <c r="K675" i="5"/>
  <c r="J675" i="5"/>
  <c r="I675" i="5" a="1"/>
  <c r="I675" i="5"/>
  <c r="H675" i="5" a="1"/>
  <c r="H675" i="5"/>
  <c r="G675" i="5"/>
  <c r="P675" i="5"/>
  <c r="F675" i="5"/>
  <c r="C661" i="5"/>
  <c r="G654" i="5"/>
  <c r="P654" i="5"/>
  <c r="F654" i="5"/>
  <c r="O654" i="5"/>
  <c r="N654" i="5"/>
  <c r="M654" i="5"/>
  <c r="L654" i="5"/>
  <c r="B654" i="5"/>
  <c r="K654" i="5"/>
  <c r="J654" i="5"/>
  <c r="I654" i="5" a="1"/>
  <c r="I654" i="5"/>
  <c r="H654" i="5" a="1"/>
  <c r="H654" i="5"/>
  <c r="C659" i="5"/>
  <c r="J623" i="5"/>
  <c r="I623" i="5" a="1"/>
  <c r="I623" i="5"/>
  <c r="H623" i="5" a="1"/>
  <c r="H623" i="5"/>
  <c r="G623" i="5"/>
  <c r="P623" i="5"/>
  <c r="F623" i="5"/>
  <c r="O623" i="5"/>
  <c r="N623" i="5"/>
  <c r="M623" i="5"/>
  <c r="L623" i="5"/>
  <c r="B623" i="5"/>
  <c r="K623" i="5"/>
  <c r="I689" i="5" a="1"/>
  <c r="I689" i="5"/>
  <c r="H689" i="5" a="1"/>
  <c r="H689" i="5"/>
  <c r="P689" i="5"/>
  <c r="F689" i="5"/>
  <c r="O689" i="5"/>
  <c r="N689" i="5"/>
  <c r="M689" i="5"/>
  <c r="B689" i="5"/>
  <c r="L689" i="5"/>
  <c r="K689" i="5"/>
  <c r="J689" i="5"/>
  <c r="G689" i="5"/>
  <c r="I582" i="5" a="1"/>
  <c r="I582" i="5"/>
  <c r="H582" i="5" a="1"/>
  <c r="H582" i="5"/>
  <c r="P582" i="5"/>
  <c r="F582" i="5"/>
  <c r="N582" i="5"/>
  <c r="M582" i="5"/>
  <c r="G582" i="5"/>
  <c r="B582" i="5"/>
  <c r="O582" i="5"/>
  <c r="L582" i="5"/>
  <c r="K582" i="5"/>
  <c r="J582" i="5"/>
  <c r="C534" i="5"/>
  <c r="C551" i="5"/>
  <c r="P617" i="5"/>
  <c r="F617" i="5"/>
  <c r="O617" i="5"/>
  <c r="N617" i="5"/>
  <c r="M617" i="5"/>
  <c r="L617" i="5"/>
  <c r="B617" i="5"/>
  <c r="K617" i="5"/>
  <c r="J617" i="5"/>
  <c r="I617" i="5" a="1"/>
  <c r="I617" i="5"/>
  <c r="H617" i="5" a="1"/>
  <c r="H617" i="5"/>
  <c r="G617" i="5"/>
  <c r="O487" i="5"/>
  <c r="N487" i="5"/>
  <c r="M487" i="5"/>
  <c r="L487" i="5"/>
  <c r="B487" i="5"/>
  <c r="K487" i="5"/>
  <c r="J487" i="5"/>
  <c r="I487" i="5" a="1"/>
  <c r="I487" i="5"/>
  <c r="H487" i="5" a="1"/>
  <c r="H487" i="5"/>
  <c r="G487" i="5"/>
  <c r="P487" i="5"/>
  <c r="F487" i="5"/>
  <c r="C502" i="5"/>
  <c r="G371" i="5"/>
  <c r="P371" i="5"/>
  <c r="F371" i="5"/>
  <c r="O371" i="5"/>
  <c r="N371" i="5"/>
  <c r="M371" i="5"/>
  <c r="L371" i="5"/>
  <c r="B371" i="5"/>
  <c r="K371" i="5"/>
  <c r="J371" i="5"/>
  <c r="I371" i="5" a="1"/>
  <c r="I371" i="5"/>
  <c r="H371" i="5" a="1"/>
  <c r="H371" i="5"/>
  <c r="I439" i="5" a="1"/>
  <c r="I439" i="5"/>
  <c r="H439" i="5" a="1"/>
  <c r="H439" i="5"/>
  <c r="G439" i="5"/>
  <c r="P439" i="5"/>
  <c r="F439" i="5"/>
  <c r="O439" i="5"/>
  <c r="N439" i="5"/>
  <c r="M439" i="5"/>
  <c r="L439" i="5"/>
  <c r="B439" i="5"/>
  <c r="K439" i="5"/>
  <c r="J439" i="5"/>
  <c r="C384" i="5"/>
  <c r="H350" i="5" a="1"/>
  <c r="H350" i="5"/>
  <c r="G350" i="5"/>
  <c r="O350" i="5"/>
  <c r="N350" i="5"/>
  <c r="L350" i="5"/>
  <c r="B350" i="5"/>
  <c r="P350" i="5"/>
  <c r="M350" i="5"/>
  <c r="K350" i="5"/>
  <c r="J350" i="5"/>
  <c r="I350" i="5" a="1"/>
  <c r="I350" i="5"/>
  <c r="F350" i="5"/>
  <c r="C289" i="5"/>
  <c r="G352" i="5"/>
  <c r="O352" i="5"/>
  <c r="N352" i="5"/>
  <c r="M352" i="5"/>
  <c r="L352" i="5"/>
  <c r="B352" i="5"/>
  <c r="K352" i="5"/>
  <c r="J352" i="5"/>
  <c r="P352" i="5"/>
  <c r="I352" i="5" a="1"/>
  <c r="I352" i="5"/>
  <c r="H352" i="5" a="1"/>
  <c r="H352" i="5"/>
  <c r="F352" i="5"/>
  <c r="H275" i="5" a="1"/>
  <c r="H275" i="5"/>
  <c r="G275" i="5"/>
  <c r="P275" i="5"/>
  <c r="F275" i="5"/>
  <c r="O275" i="5"/>
  <c r="N275" i="5"/>
  <c r="M275" i="5"/>
  <c r="L275" i="5"/>
  <c r="B275" i="5"/>
  <c r="K275" i="5"/>
  <c r="J275" i="5"/>
  <c r="I275" i="5" a="1"/>
  <c r="I275" i="5"/>
  <c r="J360" i="5"/>
  <c r="I360" i="5" a="1"/>
  <c r="I360" i="5"/>
  <c r="H360" i="5" a="1"/>
  <c r="H360" i="5"/>
  <c r="G360" i="5"/>
  <c r="P360" i="5"/>
  <c r="F360" i="5"/>
  <c r="O360" i="5"/>
  <c r="N360" i="5"/>
  <c r="M360" i="5"/>
  <c r="L360" i="5"/>
  <c r="K360" i="5"/>
  <c r="B360" i="5"/>
  <c r="O153" i="5"/>
  <c r="N153" i="5"/>
  <c r="M153" i="5"/>
  <c r="L153" i="5"/>
  <c r="B153" i="5"/>
  <c r="K153" i="5"/>
  <c r="J153" i="5"/>
  <c r="I153" i="5" a="1"/>
  <c r="I153" i="5"/>
  <c r="H153" i="5" a="1"/>
  <c r="H153" i="5"/>
  <c r="P153" i="5"/>
  <c r="F153" i="5"/>
  <c r="G153" i="5"/>
  <c r="C262" i="5"/>
  <c r="C190" i="5"/>
  <c r="I243" i="5" a="1"/>
  <c r="I243" i="5"/>
  <c r="H243" i="5" a="1"/>
  <c r="H243" i="5"/>
  <c r="G243" i="5"/>
  <c r="P243" i="5"/>
  <c r="F243" i="5"/>
  <c r="O243" i="5"/>
  <c r="N243" i="5"/>
  <c r="M243" i="5"/>
  <c r="L243" i="5"/>
  <c r="B243" i="5"/>
  <c r="K243" i="5"/>
  <c r="J243" i="5"/>
  <c r="I171" i="5" a="1"/>
  <c r="I171" i="5"/>
  <c r="H171" i="5" a="1"/>
  <c r="H171" i="5"/>
  <c r="G171" i="5"/>
  <c r="P171" i="5"/>
  <c r="F171" i="5"/>
  <c r="O171" i="5"/>
  <c r="N171" i="5"/>
  <c r="M171" i="5"/>
  <c r="L171" i="5"/>
  <c r="B171" i="5"/>
  <c r="K171" i="5"/>
  <c r="J171" i="5"/>
  <c r="C224" i="5"/>
  <c r="P85" i="5"/>
  <c r="F85" i="5"/>
  <c r="O85" i="5"/>
  <c r="N85" i="5"/>
  <c r="M85" i="5"/>
  <c r="L85" i="5"/>
  <c r="B85" i="5"/>
  <c r="K85" i="5"/>
  <c r="J85" i="5"/>
  <c r="I85" i="5" a="1"/>
  <c r="I85" i="5"/>
  <c r="H85" i="5" a="1"/>
  <c r="H85" i="5"/>
  <c r="G85" i="5"/>
  <c r="H105" i="5" a="1"/>
  <c r="H105" i="5"/>
  <c r="G105" i="5"/>
  <c r="P105" i="5"/>
  <c r="F105" i="5"/>
  <c r="O105" i="5"/>
  <c r="N105" i="5"/>
  <c r="M105" i="5"/>
  <c r="L105" i="5"/>
  <c r="B105" i="5"/>
  <c r="K105" i="5"/>
  <c r="J105" i="5"/>
  <c r="I105" i="5" a="1"/>
  <c r="I105" i="5"/>
  <c r="C110" i="5"/>
  <c r="C79" i="5"/>
  <c r="N123" i="5"/>
  <c r="M123" i="5"/>
  <c r="L123" i="5"/>
  <c r="B123" i="5"/>
  <c r="K123" i="5"/>
  <c r="J123" i="5"/>
  <c r="I123" i="5" a="1"/>
  <c r="I123" i="5"/>
  <c r="H123" i="5" a="1"/>
  <c r="H123" i="5"/>
  <c r="G123" i="5"/>
  <c r="P123" i="5"/>
  <c r="F123" i="5"/>
  <c r="O123" i="5"/>
  <c r="G36" i="5"/>
  <c r="P36" i="5"/>
  <c r="F36" i="5"/>
  <c r="O36" i="5"/>
  <c r="N36" i="5"/>
  <c r="M36" i="5"/>
  <c r="L36" i="5"/>
  <c r="B36" i="5"/>
  <c r="K36" i="5"/>
  <c r="J36" i="5"/>
  <c r="I36" i="5" a="1"/>
  <c r="I36" i="5"/>
  <c r="H36" i="5" a="1"/>
  <c r="H36" i="5"/>
  <c r="G25" i="5"/>
  <c r="P25" i="5"/>
  <c r="F25" i="5"/>
  <c r="L25" i="5"/>
  <c r="B25" i="5"/>
  <c r="K25" i="5"/>
  <c r="M806" i="5"/>
  <c r="L806" i="5"/>
  <c r="G717" i="5"/>
  <c r="P717" i="5"/>
  <c r="F717" i="5"/>
  <c r="O717" i="5"/>
  <c r="N717" i="5"/>
  <c r="M717" i="5"/>
  <c r="L717" i="5"/>
  <c r="B717" i="5"/>
  <c r="K717" i="5"/>
  <c r="J717" i="5"/>
  <c r="I717" i="5" a="1"/>
  <c r="I717" i="5"/>
  <c r="H717" i="5" a="1"/>
  <c r="H717" i="5"/>
  <c r="J674" i="5"/>
  <c r="I674" i="5" a="1"/>
  <c r="I674" i="5"/>
  <c r="H674" i="5" a="1"/>
  <c r="H674" i="5"/>
  <c r="G674" i="5"/>
  <c r="P674" i="5"/>
  <c r="F674" i="5"/>
  <c r="O674" i="5"/>
  <c r="N674" i="5"/>
  <c r="M674" i="5"/>
  <c r="L674" i="5"/>
  <c r="B674" i="5"/>
  <c r="K674" i="5"/>
  <c r="H483" i="5" a="1"/>
  <c r="H483" i="5"/>
  <c r="G483" i="5"/>
  <c r="P483" i="5"/>
  <c r="F483" i="5"/>
  <c r="O483" i="5"/>
  <c r="N483" i="5"/>
  <c r="M483" i="5"/>
  <c r="L483" i="5"/>
  <c r="B483" i="5"/>
  <c r="K483" i="5"/>
  <c r="J483" i="5"/>
  <c r="I483" i="5" a="1"/>
  <c r="I483" i="5"/>
  <c r="I261" i="5" a="1"/>
  <c r="I261" i="5"/>
  <c r="H261" i="5" a="1"/>
  <c r="H261" i="5"/>
  <c r="G261" i="5"/>
  <c r="P261" i="5"/>
  <c r="F261" i="5"/>
  <c r="O261" i="5"/>
  <c r="N261" i="5"/>
  <c r="M261" i="5"/>
  <c r="K261" i="5"/>
  <c r="J261" i="5"/>
  <c r="L261" i="5"/>
  <c r="B261" i="5"/>
  <c r="G138" i="5"/>
  <c r="P138" i="5"/>
  <c r="F138" i="5"/>
  <c r="O138" i="5"/>
  <c r="N138" i="5"/>
  <c r="M138" i="5"/>
  <c r="L138" i="5"/>
  <c r="B138" i="5"/>
  <c r="K138" i="5"/>
  <c r="J138" i="5"/>
  <c r="I138" i="5" a="1"/>
  <c r="I138" i="5"/>
  <c r="H138" i="5" a="1"/>
  <c r="H138" i="5"/>
  <c r="H871" i="5" a="1"/>
  <c r="H871" i="5"/>
  <c r="J871" i="5"/>
  <c r="G871" i="5"/>
  <c r="P871" i="5"/>
  <c r="B871" i="5"/>
  <c r="O871" i="5"/>
  <c r="N871" i="5"/>
  <c r="M871" i="5"/>
  <c r="L871" i="5"/>
  <c r="K871" i="5"/>
  <c r="I871" i="5" a="1"/>
  <c r="I871" i="5"/>
  <c r="F871" i="5"/>
  <c r="C832" i="5"/>
  <c r="G751" i="5"/>
  <c r="P751" i="5"/>
  <c r="F751" i="5"/>
  <c r="O751" i="5"/>
  <c r="N751" i="5"/>
  <c r="M751" i="5"/>
  <c r="L751" i="5"/>
  <c r="B751" i="5"/>
  <c r="K751" i="5"/>
  <c r="J751" i="5"/>
  <c r="H751" i="5" a="1"/>
  <c r="H751" i="5"/>
  <c r="I751" i="5" a="1"/>
  <c r="I751" i="5"/>
  <c r="C857" i="5"/>
  <c r="C869" i="5"/>
  <c r="C828" i="5"/>
  <c r="C830" i="5"/>
  <c r="C891" i="5"/>
  <c r="O808" i="5"/>
  <c r="N808" i="5"/>
  <c r="M808" i="5"/>
  <c r="L808" i="5"/>
  <c r="B808" i="5"/>
  <c r="K808" i="5"/>
  <c r="J808" i="5"/>
  <c r="I808" i="5" a="1"/>
  <c r="I808" i="5"/>
  <c r="H808" i="5" a="1"/>
  <c r="H808" i="5"/>
  <c r="P808" i="5"/>
  <c r="G808" i="5"/>
  <c r="F808" i="5"/>
  <c r="M785" i="5"/>
  <c r="H785" i="5" a="1"/>
  <c r="H785" i="5"/>
  <c r="G785" i="5"/>
  <c r="F785" i="5"/>
  <c r="P785" i="5"/>
  <c r="O785" i="5"/>
  <c r="N785" i="5"/>
  <c r="L785" i="5"/>
  <c r="B785" i="5"/>
  <c r="K785" i="5"/>
  <c r="J785" i="5"/>
  <c r="I785" i="5" a="1"/>
  <c r="I785" i="5"/>
  <c r="N796" i="5"/>
  <c r="M796" i="5"/>
  <c r="L796" i="5"/>
  <c r="B796" i="5"/>
  <c r="K796" i="5"/>
  <c r="H796" i="5" a="1"/>
  <c r="H796" i="5"/>
  <c r="P796" i="5"/>
  <c r="O796" i="5"/>
  <c r="J796" i="5"/>
  <c r="I796" i="5" a="1"/>
  <c r="I796" i="5"/>
  <c r="G796" i="5"/>
  <c r="F796" i="5"/>
  <c r="O695" i="5"/>
  <c r="N695" i="5"/>
  <c r="M695" i="5"/>
  <c r="L695" i="5"/>
  <c r="B695" i="5"/>
  <c r="K695" i="5"/>
  <c r="J695" i="5"/>
  <c r="I695" i="5" a="1"/>
  <c r="I695" i="5"/>
  <c r="H695" i="5" a="1"/>
  <c r="H695" i="5"/>
  <c r="P695" i="5"/>
  <c r="F695" i="5"/>
  <c r="G695" i="5"/>
  <c r="C727" i="5"/>
  <c r="I725" i="5" a="1"/>
  <c r="I725" i="5"/>
  <c r="H725" i="5" a="1"/>
  <c r="H725" i="5"/>
  <c r="G725" i="5"/>
  <c r="P725" i="5"/>
  <c r="F725" i="5"/>
  <c r="O725" i="5"/>
  <c r="N725" i="5"/>
  <c r="M725" i="5"/>
  <c r="L725" i="5"/>
  <c r="B725" i="5"/>
  <c r="K725" i="5"/>
  <c r="J725" i="5"/>
  <c r="C694" i="5"/>
  <c r="C663" i="5"/>
  <c r="C652" i="5"/>
  <c r="C610" i="5"/>
  <c r="C632" i="5"/>
  <c r="C630" i="5"/>
  <c r="J611" i="5"/>
  <c r="I611" i="5" a="1"/>
  <c r="I611" i="5"/>
  <c r="H611" i="5" a="1"/>
  <c r="H611" i="5"/>
  <c r="G611" i="5"/>
  <c r="P611" i="5"/>
  <c r="F611" i="5"/>
  <c r="O611" i="5"/>
  <c r="N611" i="5"/>
  <c r="M611" i="5"/>
  <c r="L611" i="5"/>
  <c r="B611" i="5"/>
  <c r="K611" i="5"/>
  <c r="P560" i="5"/>
  <c r="F560" i="5"/>
  <c r="O560" i="5"/>
  <c r="N560" i="5"/>
  <c r="M560" i="5"/>
  <c r="L560" i="5"/>
  <c r="B560" i="5"/>
  <c r="K560" i="5"/>
  <c r="J560" i="5"/>
  <c r="I560" i="5" a="1"/>
  <c r="I560" i="5"/>
  <c r="H560" i="5" a="1"/>
  <c r="H560" i="5"/>
  <c r="G560" i="5"/>
  <c r="C561" i="5"/>
  <c r="C566" i="5"/>
  <c r="P605" i="5"/>
  <c r="F605" i="5"/>
  <c r="O605" i="5"/>
  <c r="N605" i="5"/>
  <c r="M605" i="5"/>
  <c r="L605" i="5"/>
  <c r="B605" i="5"/>
  <c r="K605" i="5"/>
  <c r="J605" i="5"/>
  <c r="I605" i="5" a="1"/>
  <c r="I605" i="5"/>
  <c r="H605" i="5" a="1"/>
  <c r="H605" i="5"/>
  <c r="G605" i="5"/>
  <c r="C520" i="5"/>
  <c r="C485" i="5"/>
  <c r="C507" i="5"/>
  <c r="C481" i="5"/>
  <c r="C526" i="5"/>
  <c r="C445" i="5"/>
  <c r="N470" i="5"/>
  <c r="M470" i="5"/>
  <c r="L470" i="5"/>
  <c r="B470" i="5"/>
  <c r="K470" i="5"/>
  <c r="J470" i="5"/>
  <c r="I470" i="5" a="1"/>
  <c r="I470" i="5"/>
  <c r="H470" i="5" a="1"/>
  <c r="H470" i="5"/>
  <c r="P470" i="5"/>
  <c r="F470" i="5"/>
  <c r="O470" i="5"/>
  <c r="G470" i="5"/>
  <c r="G443" i="5"/>
  <c r="P443" i="5"/>
  <c r="F443" i="5"/>
  <c r="O443" i="5"/>
  <c r="N443" i="5"/>
  <c r="M443" i="5"/>
  <c r="L443" i="5"/>
  <c r="B443" i="5"/>
  <c r="K443" i="5"/>
  <c r="J443" i="5"/>
  <c r="I443" i="5" a="1"/>
  <c r="I443" i="5"/>
  <c r="H443" i="5" a="1"/>
  <c r="H443" i="5"/>
  <c r="C376" i="5"/>
  <c r="C429" i="5"/>
  <c r="C386" i="5"/>
  <c r="P296" i="5"/>
  <c r="F296" i="5"/>
  <c r="O296" i="5"/>
  <c r="N296" i="5"/>
  <c r="M296" i="5"/>
  <c r="L296" i="5"/>
  <c r="B296" i="5"/>
  <c r="K296" i="5"/>
  <c r="J296" i="5"/>
  <c r="I296" i="5" a="1"/>
  <c r="I296" i="5"/>
  <c r="H296" i="5" a="1"/>
  <c r="H296" i="5"/>
  <c r="G296" i="5"/>
  <c r="P347" i="5"/>
  <c r="F347" i="5"/>
  <c r="C292" i="5"/>
  <c r="C285" i="5"/>
  <c r="C255" i="5"/>
  <c r="C185" i="5"/>
  <c r="C212" i="5"/>
  <c r="C131" i="5"/>
  <c r="C88" i="5"/>
  <c r="M82" i="5"/>
  <c r="L82" i="5"/>
  <c r="B82" i="5"/>
  <c r="K82" i="5"/>
  <c r="J82" i="5"/>
  <c r="I82" i="5" a="1"/>
  <c r="I82" i="5"/>
  <c r="H82" i="5" a="1"/>
  <c r="H82" i="5"/>
  <c r="G82" i="5"/>
  <c r="P82" i="5"/>
  <c r="F82" i="5"/>
  <c r="O82" i="5"/>
  <c r="N82" i="5"/>
  <c r="N111" i="5"/>
  <c r="M111" i="5"/>
  <c r="L111" i="5"/>
  <c r="B111" i="5"/>
  <c r="K111" i="5"/>
  <c r="J111" i="5"/>
  <c r="I111" i="5" a="1"/>
  <c r="I111" i="5"/>
  <c r="H111" i="5" a="1"/>
  <c r="H111" i="5"/>
  <c r="G111" i="5"/>
  <c r="P111" i="5"/>
  <c r="F111" i="5"/>
  <c r="O111" i="5"/>
  <c r="C38" i="5"/>
  <c r="C50" i="5"/>
  <c r="L8" i="5"/>
  <c r="B8" i="5"/>
  <c r="G13" i="5"/>
  <c r="P13" i="5"/>
  <c r="F13" i="5"/>
  <c r="L13" i="5"/>
  <c r="B13" i="5"/>
  <c r="K13" i="5"/>
  <c r="H720" i="5" a="1"/>
  <c r="H720" i="5"/>
  <c r="G720" i="5"/>
  <c r="P720" i="5"/>
  <c r="F720" i="5"/>
  <c r="O720" i="5"/>
  <c r="N720" i="5"/>
  <c r="M720" i="5"/>
  <c r="L720" i="5"/>
  <c r="B720" i="5"/>
  <c r="K720" i="5"/>
  <c r="J720" i="5"/>
  <c r="I720" i="5" a="1"/>
  <c r="I720" i="5"/>
  <c r="O543" i="5"/>
  <c r="N543" i="5"/>
  <c r="M543" i="5"/>
  <c r="L543" i="5"/>
  <c r="B543" i="5"/>
  <c r="K543" i="5"/>
  <c r="J543" i="5"/>
  <c r="I543" i="5" a="1"/>
  <c r="I543" i="5"/>
  <c r="H543" i="5" a="1"/>
  <c r="H543" i="5"/>
  <c r="G543" i="5"/>
  <c r="P543" i="5"/>
  <c r="F543" i="5"/>
  <c r="M351" i="5"/>
  <c r="L351" i="5"/>
  <c r="B351" i="5"/>
  <c r="J351" i="5"/>
  <c r="H351" i="5" a="1"/>
  <c r="H351" i="5"/>
  <c r="G351" i="5"/>
  <c r="F351" i="5"/>
  <c r="P351" i="5"/>
  <c r="O351" i="5"/>
  <c r="N351" i="5"/>
  <c r="K351" i="5"/>
  <c r="I351" i="5" a="1"/>
  <c r="I351" i="5"/>
  <c r="J164" i="5"/>
  <c r="I164" i="5" a="1"/>
  <c r="I164" i="5"/>
  <c r="H164" i="5" a="1"/>
  <c r="H164" i="5"/>
  <c r="G164" i="5"/>
  <c r="P164" i="5"/>
  <c r="F164" i="5"/>
  <c r="O164" i="5"/>
  <c r="N164" i="5"/>
  <c r="M164" i="5"/>
  <c r="L164" i="5"/>
  <c r="B164" i="5"/>
  <c r="K164" i="5"/>
  <c r="N208" i="5"/>
  <c r="M208" i="5"/>
  <c r="L208" i="5"/>
  <c r="B208" i="5"/>
  <c r="K208" i="5"/>
  <c r="J208" i="5"/>
  <c r="I208" i="5" a="1"/>
  <c r="I208" i="5"/>
  <c r="H208" i="5" a="1"/>
  <c r="H208" i="5"/>
  <c r="G208" i="5"/>
  <c r="P208" i="5"/>
  <c r="F208" i="5"/>
  <c r="O208" i="5"/>
  <c r="C887" i="5"/>
  <c r="M847" i="5"/>
  <c r="O847" i="5"/>
  <c r="L847" i="5"/>
  <c r="I847" i="5" a="1"/>
  <c r="I847" i="5"/>
  <c r="H847" i="5" a="1"/>
  <c r="H847" i="5"/>
  <c r="K847" i="5"/>
  <c r="J847" i="5"/>
  <c r="B847" i="5"/>
  <c r="G847" i="5"/>
  <c r="F847" i="5"/>
  <c r="P847" i="5"/>
  <c r="N847" i="5"/>
  <c r="J800" i="5"/>
  <c r="I800" i="5" a="1"/>
  <c r="I800" i="5"/>
  <c r="H800" i="5" a="1"/>
  <c r="H800" i="5"/>
  <c r="P800" i="5"/>
  <c r="F800" i="5"/>
  <c r="O800" i="5"/>
  <c r="N800" i="5"/>
  <c r="B800" i="5"/>
  <c r="M800" i="5"/>
  <c r="L800" i="5"/>
  <c r="K800" i="5"/>
  <c r="G800" i="5"/>
  <c r="O739" i="5"/>
  <c r="H739" i="5" a="1"/>
  <c r="H739" i="5"/>
  <c r="G739" i="5"/>
  <c r="F739" i="5"/>
  <c r="P739" i="5"/>
  <c r="N739" i="5"/>
  <c r="M739" i="5"/>
  <c r="L739" i="5"/>
  <c r="B739" i="5"/>
  <c r="K739" i="5"/>
  <c r="J739" i="5"/>
  <c r="I739" i="5" a="1"/>
  <c r="I739" i="5"/>
  <c r="H852" i="5" a="1"/>
  <c r="H852" i="5"/>
  <c r="P852" i="5"/>
  <c r="G852" i="5"/>
  <c r="N852" i="5"/>
  <c r="L852" i="5"/>
  <c r="K852" i="5"/>
  <c r="J852" i="5"/>
  <c r="B852" i="5"/>
  <c r="O852" i="5"/>
  <c r="M852" i="5"/>
  <c r="I852" i="5" a="1"/>
  <c r="I852" i="5"/>
  <c r="F852" i="5"/>
  <c r="C875" i="5"/>
  <c r="C876" i="5"/>
  <c r="C822" i="5"/>
  <c r="C786" i="5"/>
  <c r="P741" i="5"/>
  <c r="F741" i="5"/>
  <c r="O741" i="5"/>
  <c r="N741" i="5"/>
  <c r="M741" i="5"/>
  <c r="L741" i="5"/>
  <c r="B741" i="5"/>
  <c r="K741" i="5"/>
  <c r="I741" i="5" a="1"/>
  <c r="I741" i="5"/>
  <c r="H741" i="5" a="1"/>
  <c r="H741" i="5"/>
  <c r="G741" i="5"/>
  <c r="J741" i="5"/>
  <c r="C783" i="5"/>
  <c r="C651" i="5"/>
  <c r="C649" i="5"/>
  <c r="C642" i="5"/>
  <c r="H647" i="5" a="1"/>
  <c r="H647" i="5"/>
  <c r="G647" i="5"/>
  <c r="P647" i="5"/>
  <c r="F647" i="5"/>
  <c r="O647" i="5"/>
  <c r="N647" i="5"/>
  <c r="M647" i="5"/>
  <c r="L647" i="5"/>
  <c r="B647" i="5"/>
  <c r="K647" i="5"/>
  <c r="J647" i="5"/>
  <c r="I647" i="5" a="1"/>
  <c r="I647" i="5"/>
  <c r="N646" i="5"/>
  <c r="M646" i="5"/>
  <c r="L646" i="5"/>
  <c r="B646" i="5"/>
  <c r="K646" i="5"/>
  <c r="J646" i="5"/>
  <c r="I646" i="5" a="1"/>
  <c r="I646" i="5"/>
  <c r="H646" i="5" a="1"/>
  <c r="H646" i="5"/>
  <c r="O646" i="5"/>
  <c r="F646" i="5"/>
  <c r="P646" i="5"/>
  <c r="G646" i="5"/>
  <c r="C625" i="5"/>
  <c r="C599" i="5"/>
  <c r="C579" i="5"/>
  <c r="C577" i="5"/>
  <c r="C539" i="5"/>
  <c r="C554" i="5"/>
  <c r="C490" i="5"/>
  <c r="O433" i="5"/>
  <c r="N433" i="5"/>
  <c r="M433" i="5"/>
  <c r="L433" i="5"/>
  <c r="B433" i="5"/>
  <c r="K433" i="5"/>
  <c r="J433" i="5"/>
  <c r="I433" i="5" a="1"/>
  <c r="I433" i="5"/>
  <c r="H433" i="5" a="1"/>
  <c r="H433" i="5"/>
  <c r="G433" i="5"/>
  <c r="P433" i="5"/>
  <c r="F433" i="5"/>
  <c r="G359" i="5"/>
  <c r="P359" i="5"/>
  <c r="F359" i="5"/>
  <c r="O359" i="5"/>
  <c r="N359" i="5"/>
  <c r="M359" i="5"/>
  <c r="L359" i="5"/>
  <c r="B359" i="5"/>
  <c r="K359" i="5"/>
  <c r="J359" i="5"/>
  <c r="I359" i="5" a="1"/>
  <c r="I359" i="5"/>
  <c r="H359" i="5" a="1"/>
  <c r="H359" i="5"/>
  <c r="C364" i="5"/>
  <c r="C427" i="5"/>
  <c r="H263" i="5" a="1"/>
  <c r="H263" i="5"/>
  <c r="G263" i="5"/>
  <c r="P263" i="5"/>
  <c r="F263" i="5"/>
  <c r="O263" i="5"/>
  <c r="N263" i="5"/>
  <c r="M263" i="5"/>
  <c r="L263" i="5"/>
  <c r="B263" i="5"/>
  <c r="K263" i="5"/>
  <c r="J263" i="5"/>
  <c r="I263" i="5" a="1"/>
  <c r="I263" i="5"/>
  <c r="C338" i="5"/>
  <c r="H256" i="5" a="1"/>
  <c r="H256" i="5"/>
  <c r="G256" i="5"/>
  <c r="O256" i="5"/>
  <c r="N256" i="5"/>
  <c r="M256" i="5"/>
  <c r="L256" i="5"/>
  <c r="B256" i="5"/>
  <c r="I256" i="5" a="1"/>
  <c r="I256" i="5"/>
  <c r="P256" i="5"/>
  <c r="K256" i="5"/>
  <c r="J256" i="5"/>
  <c r="F256" i="5"/>
  <c r="C178" i="5"/>
  <c r="C159" i="5"/>
  <c r="C200" i="5"/>
  <c r="P73" i="5"/>
  <c r="F73" i="5"/>
  <c r="O73" i="5"/>
  <c r="N73" i="5"/>
  <c r="M73" i="5"/>
  <c r="L73" i="5"/>
  <c r="B73" i="5"/>
  <c r="K73" i="5"/>
  <c r="J73" i="5"/>
  <c r="I73" i="5" a="1"/>
  <c r="I73" i="5"/>
  <c r="H73" i="5" a="1"/>
  <c r="H73" i="5"/>
  <c r="G73" i="5"/>
  <c r="C93" i="5"/>
  <c r="C98" i="5"/>
  <c r="C67" i="5"/>
  <c r="N244" i="5"/>
  <c r="M244" i="5"/>
  <c r="L244" i="5"/>
  <c r="B244" i="5"/>
  <c r="K244" i="5"/>
  <c r="J244" i="5"/>
  <c r="I244" i="5" a="1"/>
  <c r="I244" i="5"/>
  <c r="H244" i="5" a="1"/>
  <c r="H244" i="5"/>
  <c r="G244" i="5"/>
  <c r="P244" i="5"/>
  <c r="F244" i="5"/>
  <c r="O244" i="5"/>
  <c r="C99" i="5"/>
  <c r="L26" i="5"/>
  <c r="B26" i="5"/>
  <c r="K26" i="5"/>
  <c r="G26" i="5"/>
  <c r="P26" i="5"/>
  <c r="F26" i="5"/>
  <c r="G24" i="5"/>
  <c r="P24" i="5"/>
  <c r="F24" i="5"/>
  <c r="L24" i="5"/>
  <c r="B24" i="5"/>
  <c r="K24" i="5"/>
  <c r="J747" i="5"/>
  <c r="I747" i="5" a="1"/>
  <c r="I747" i="5"/>
  <c r="H747" i="5" a="1"/>
  <c r="H747" i="5"/>
  <c r="G747" i="5"/>
  <c r="P747" i="5"/>
  <c r="F747" i="5"/>
  <c r="O747" i="5"/>
  <c r="N747" i="5"/>
  <c r="K747" i="5"/>
  <c r="M747" i="5"/>
  <c r="L747" i="5"/>
  <c r="B747" i="5"/>
  <c r="H608" i="5" a="1"/>
  <c r="H608" i="5"/>
  <c r="G608" i="5"/>
  <c r="P608" i="5"/>
  <c r="F608" i="5"/>
  <c r="O608" i="5"/>
  <c r="N608" i="5"/>
  <c r="M608" i="5"/>
  <c r="L608" i="5"/>
  <c r="B608" i="5"/>
  <c r="K608" i="5"/>
  <c r="J608" i="5"/>
  <c r="I608" i="5" a="1"/>
  <c r="I608" i="5"/>
  <c r="P272" i="5"/>
  <c r="F272" i="5"/>
  <c r="O272" i="5"/>
  <c r="N272" i="5"/>
  <c r="M272" i="5"/>
  <c r="L272" i="5"/>
  <c r="B272" i="5"/>
  <c r="K272" i="5"/>
  <c r="J272" i="5"/>
  <c r="I272" i="5" a="1"/>
  <c r="I272" i="5"/>
  <c r="H272" i="5" a="1"/>
  <c r="H272" i="5"/>
  <c r="G272" i="5"/>
  <c r="H161" i="5" a="1"/>
  <c r="H161" i="5"/>
  <c r="G161" i="5"/>
  <c r="P161" i="5"/>
  <c r="F161" i="5"/>
  <c r="O161" i="5"/>
  <c r="N161" i="5"/>
  <c r="M161" i="5"/>
  <c r="L161" i="5"/>
  <c r="B161" i="5"/>
  <c r="K161" i="5"/>
  <c r="J161" i="5"/>
  <c r="I161" i="5" a="1"/>
  <c r="I161" i="5"/>
  <c r="H64" i="5" a="1"/>
  <c r="H64" i="5"/>
  <c r="G64" i="5"/>
  <c r="P64" i="5"/>
  <c r="F64" i="5"/>
  <c r="O64" i="5"/>
  <c r="N64" i="5"/>
  <c r="M64" i="5"/>
  <c r="L64" i="5"/>
  <c r="B64" i="5"/>
  <c r="K64" i="5"/>
  <c r="J64" i="5"/>
  <c r="I64" i="5" a="1"/>
  <c r="I64" i="5"/>
  <c r="I898" i="5" a="1"/>
  <c r="I898" i="5"/>
  <c r="O898" i="5"/>
  <c r="N898" i="5"/>
  <c r="F898" i="5"/>
  <c r="P898" i="5"/>
  <c r="K898" i="5"/>
  <c r="H898" i="5" a="1"/>
  <c r="H898" i="5"/>
  <c r="B898" i="5"/>
  <c r="M898" i="5"/>
  <c r="L898" i="5"/>
  <c r="J898" i="5"/>
  <c r="G898" i="5"/>
  <c r="C899" i="5"/>
  <c r="O880" i="5"/>
  <c r="G880" i="5"/>
  <c r="H880" i="5" a="1"/>
  <c r="H880" i="5"/>
  <c r="N880" i="5"/>
  <c r="K880" i="5"/>
  <c r="I880" i="5" a="1"/>
  <c r="I880" i="5"/>
  <c r="F880" i="5"/>
  <c r="L880" i="5"/>
  <c r="J880" i="5"/>
  <c r="B880" i="5"/>
  <c r="P880" i="5"/>
  <c r="M880" i="5"/>
  <c r="I778" i="5" a="1"/>
  <c r="I778" i="5"/>
  <c r="H778" i="5" a="1"/>
  <c r="H778" i="5"/>
  <c r="G778" i="5"/>
  <c r="P778" i="5"/>
  <c r="F778" i="5"/>
  <c r="O778" i="5"/>
  <c r="N778" i="5"/>
  <c r="M778" i="5"/>
  <c r="L778" i="5"/>
  <c r="B778" i="5"/>
  <c r="K778" i="5"/>
  <c r="J778" i="5"/>
  <c r="G866" i="5"/>
  <c r="K866" i="5"/>
  <c r="J866" i="5"/>
  <c r="M866" i="5"/>
  <c r="B866" i="5"/>
  <c r="N866" i="5"/>
  <c r="I866" i="5" a="1"/>
  <c r="I866" i="5"/>
  <c r="H866" i="5" a="1"/>
  <c r="H866" i="5"/>
  <c r="P866" i="5"/>
  <c r="O866" i="5"/>
  <c r="L866" i="5"/>
  <c r="F866" i="5"/>
  <c r="J816" i="5"/>
  <c r="I816" i="5" a="1"/>
  <c r="I816" i="5"/>
  <c r="C850" i="5"/>
  <c r="C784" i="5"/>
  <c r="C780" i="5"/>
  <c r="C773" i="5"/>
  <c r="C771" i="5"/>
  <c r="C729" i="5"/>
  <c r="C734" i="5"/>
  <c r="C715" i="5"/>
  <c r="C732" i="5"/>
  <c r="C713" i="5"/>
  <c r="O639" i="5"/>
  <c r="N639" i="5"/>
  <c r="M639" i="5"/>
  <c r="L639" i="5"/>
  <c r="B639" i="5"/>
  <c r="K639" i="5"/>
  <c r="J639" i="5"/>
  <c r="H639" i="5" a="1"/>
  <c r="H639" i="5"/>
  <c r="P639" i="5"/>
  <c r="I639" i="5" a="1"/>
  <c r="I639" i="5"/>
  <c r="G639" i="5"/>
  <c r="F639" i="5"/>
  <c r="C598" i="5"/>
  <c r="C627" i="5"/>
  <c r="H620" i="5" a="1"/>
  <c r="H620" i="5"/>
  <c r="G620" i="5"/>
  <c r="P620" i="5"/>
  <c r="F620" i="5"/>
  <c r="O620" i="5"/>
  <c r="N620" i="5"/>
  <c r="M620" i="5"/>
  <c r="L620" i="5"/>
  <c r="B620" i="5"/>
  <c r="K620" i="5"/>
  <c r="J620" i="5"/>
  <c r="I620" i="5" a="1"/>
  <c r="I620" i="5"/>
  <c r="C618" i="5"/>
  <c r="C587" i="5"/>
  <c r="C567" i="5"/>
  <c r="P548" i="5"/>
  <c r="F548" i="5"/>
  <c r="O548" i="5"/>
  <c r="N548" i="5"/>
  <c r="M548" i="5"/>
  <c r="L548" i="5"/>
  <c r="B548" i="5"/>
  <c r="K548" i="5"/>
  <c r="J548" i="5"/>
  <c r="I548" i="5" a="1"/>
  <c r="I548" i="5"/>
  <c r="H548" i="5" a="1"/>
  <c r="H548" i="5"/>
  <c r="G548" i="5"/>
  <c r="C549" i="5"/>
  <c r="C542" i="5"/>
  <c r="C473" i="5"/>
  <c r="H495" i="5" a="1"/>
  <c r="H495" i="5"/>
  <c r="G495" i="5"/>
  <c r="P495" i="5"/>
  <c r="F495" i="5"/>
  <c r="O495" i="5"/>
  <c r="N495" i="5"/>
  <c r="M495" i="5"/>
  <c r="L495" i="5"/>
  <c r="B495" i="5"/>
  <c r="K495" i="5"/>
  <c r="J495" i="5"/>
  <c r="I495" i="5" a="1"/>
  <c r="I495" i="5"/>
  <c r="C469" i="5"/>
  <c r="L421" i="5"/>
  <c r="B421" i="5"/>
  <c r="C446" i="5"/>
  <c r="C374" i="5"/>
  <c r="C444" i="5"/>
  <c r="P284" i="5"/>
  <c r="F284" i="5"/>
  <c r="O284" i="5"/>
  <c r="N284" i="5"/>
  <c r="M284" i="5"/>
  <c r="L284" i="5"/>
  <c r="B284" i="5"/>
  <c r="K284" i="5"/>
  <c r="J284" i="5"/>
  <c r="I284" i="5" a="1"/>
  <c r="I284" i="5"/>
  <c r="H284" i="5" a="1"/>
  <c r="H284" i="5"/>
  <c r="G284" i="5"/>
  <c r="H335" i="5" a="1"/>
  <c r="H335" i="5"/>
  <c r="G335" i="5"/>
  <c r="P335" i="5"/>
  <c r="F335" i="5"/>
  <c r="O335" i="5"/>
  <c r="N335" i="5"/>
  <c r="M335" i="5"/>
  <c r="L335" i="5"/>
  <c r="B335" i="5"/>
  <c r="K335" i="5"/>
  <c r="J335" i="5"/>
  <c r="I335" i="5" a="1"/>
  <c r="I335" i="5"/>
  <c r="H251" i="5" a="1"/>
  <c r="H251" i="5"/>
  <c r="G251" i="5"/>
  <c r="N251" i="5"/>
  <c r="M251" i="5"/>
  <c r="L251" i="5"/>
  <c r="B251" i="5"/>
  <c r="K251" i="5"/>
  <c r="P251" i="5"/>
  <c r="O251" i="5"/>
  <c r="J251" i="5"/>
  <c r="I251" i="5" a="1"/>
  <c r="I251" i="5"/>
  <c r="F251" i="5"/>
  <c r="C280" i="5"/>
  <c r="I345" i="5" a="1"/>
  <c r="I345" i="5"/>
  <c r="H345" i="5" a="1"/>
  <c r="H345" i="5"/>
  <c r="G345" i="5"/>
  <c r="P345" i="5"/>
  <c r="F345" i="5"/>
  <c r="O345" i="5"/>
  <c r="N345" i="5"/>
  <c r="M345" i="5"/>
  <c r="L345" i="5"/>
  <c r="B345" i="5"/>
  <c r="K345" i="5"/>
  <c r="J345" i="5"/>
  <c r="I273" i="5" a="1"/>
  <c r="I273" i="5"/>
  <c r="H273" i="5" a="1"/>
  <c r="H273" i="5"/>
  <c r="G273" i="5"/>
  <c r="P273" i="5"/>
  <c r="F273" i="5"/>
  <c r="O273" i="5"/>
  <c r="N273" i="5"/>
  <c r="M273" i="5"/>
  <c r="L273" i="5"/>
  <c r="B273" i="5"/>
  <c r="K273" i="5"/>
  <c r="J273" i="5"/>
  <c r="C326" i="5"/>
  <c r="C269" i="5"/>
  <c r="C245" i="5"/>
  <c r="C173" i="5"/>
  <c r="C188" i="5"/>
  <c r="C119" i="5"/>
  <c r="H76" i="5" a="1"/>
  <c r="H76" i="5"/>
  <c r="G76" i="5"/>
  <c r="P76" i="5"/>
  <c r="F76" i="5"/>
  <c r="O76" i="5"/>
  <c r="N76" i="5"/>
  <c r="M76" i="5"/>
  <c r="L76" i="5"/>
  <c r="B76" i="5"/>
  <c r="K76" i="5"/>
  <c r="J76" i="5"/>
  <c r="I76" i="5" a="1"/>
  <c r="I76" i="5"/>
  <c r="N232" i="5"/>
  <c r="M232" i="5"/>
  <c r="L232" i="5"/>
  <c r="B232" i="5"/>
  <c r="K232" i="5"/>
  <c r="J232" i="5"/>
  <c r="I232" i="5" a="1"/>
  <c r="I232" i="5"/>
  <c r="H232" i="5" a="1"/>
  <c r="H232" i="5"/>
  <c r="G232" i="5"/>
  <c r="P232" i="5"/>
  <c r="F232" i="5"/>
  <c r="O232" i="5"/>
  <c r="C87" i="5"/>
  <c r="L14" i="5"/>
  <c r="B14" i="5"/>
  <c r="K14" i="5"/>
  <c r="G14" i="5"/>
  <c r="P14" i="5"/>
  <c r="F14" i="5"/>
  <c r="P19" i="5"/>
  <c r="F19" i="5"/>
  <c r="L19" i="5"/>
  <c r="B19" i="5"/>
  <c r="K19" i="5"/>
  <c r="G19" i="5"/>
  <c r="G586" i="5"/>
  <c r="P586" i="5"/>
  <c r="F586" i="5"/>
  <c r="O586" i="5"/>
  <c r="N586" i="5"/>
  <c r="M586" i="5"/>
  <c r="L586" i="5"/>
  <c r="B586" i="5"/>
  <c r="K586" i="5"/>
  <c r="J586" i="5"/>
  <c r="I586" i="5" a="1"/>
  <c r="I586" i="5"/>
  <c r="H586" i="5" a="1"/>
  <c r="H586" i="5"/>
  <c r="O327" i="5"/>
  <c r="N327" i="5"/>
  <c r="M327" i="5"/>
  <c r="L327" i="5"/>
  <c r="B327" i="5"/>
  <c r="K327" i="5"/>
  <c r="J327" i="5"/>
  <c r="I327" i="5" a="1"/>
  <c r="I327" i="5"/>
  <c r="H327" i="5" a="1"/>
  <c r="H327" i="5"/>
  <c r="G327" i="5"/>
  <c r="P327" i="5"/>
  <c r="F327" i="5"/>
  <c r="C859" i="5"/>
  <c r="N815" i="5"/>
  <c r="J815" i="5"/>
  <c r="I815" i="5" a="1"/>
  <c r="I815" i="5"/>
  <c r="H815" i="5" a="1"/>
  <c r="H815" i="5"/>
  <c r="G815" i="5"/>
  <c r="F815" i="5"/>
  <c r="P815" i="5"/>
  <c r="O815" i="5"/>
  <c r="B815" i="5"/>
  <c r="M815" i="5"/>
  <c r="L815" i="5"/>
  <c r="K815" i="5"/>
  <c r="C719" i="5"/>
  <c r="P813" i="5"/>
  <c r="F813" i="5"/>
  <c r="J813" i="5"/>
  <c r="G813" i="5"/>
  <c r="O813" i="5"/>
  <c r="N813" i="5"/>
  <c r="B813" i="5"/>
  <c r="M813" i="5"/>
  <c r="L813" i="5"/>
  <c r="K813" i="5"/>
  <c r="I813" i="5" a="1"/>
  <c r="I813" i="5"/>
  <c r="H813" i="5" a="1"/>
  <c r="H813" i="5"/>
  <c r="C882" i="5"/>
  <c r="C839" i="5"/>
  <c r="C810" i="5"/>
  <c r="C883" i="5"/>
  <c r="O772" i="5"/>
  <c r="N772" i="5"/>
  <c r="M772" i="5"/>
  <c r="L772" i="5"/>
  <c r="B772" i="5"/>
  <c r="K772" i="5"/>
  <c r="J772" i="5"/>
  <c r="I772" i="5" a="1"/>
  <c r="I772" i="5"/>
  <c r="H772" i="5" a="1"/>
  <c r="H772" i="5"/>
  <c r="G772" i="5"/>
  <c r="P772" i="5"/>
  <c r="F772" i="5"/>
  <c r="C794" i="5"/>
  <c r="C807" i="5"/>
  <c r="C759" i="5"/>
  <c r="P736" i="5"/>
  <c r="F736" i="5"/>
  <c r="O736" i="5"/>
  <c r="N736" i="5"/>
  <c r="M736" i="5"/>
  <c r="L736" i="5"/>
  <c r="B736" i="5"/>
  <c r="K736" i="5"/>
  <c r="J736" i="5"/>
  <c r="I736" i="5" a="1"/>
  <c r="I736" i="5"/>
  <c r="H736" i="5" a="1"/>
  <c r="H736" i="5"/>
  <c r="G736" i="5"/>
  <c r="C696" i="5"/>
  <c r="C686" i="5"/>
  <c r="C640" i="5"/>
  <c r="C629" i="5"/>
  <c r="C613" i="5"/>
  <c r="C555" i="5"/>
  <c r="C565" i="5"/>
  <c r="C518" i="5"/>
  <c r="C525" i="5"/>
  <c r="C478" i="5"/>
  <c r="C512" i="5"/>
  <c r="O409" i="5"/>
  <c r="N409" i="5"/>
  <c r="M409" i="5"/>
  <c r="L409" i="5"/>
  <c r="B409" i="5"/>
  <c r="K409" i="5"/>
  <c r="J409" i="5"/>
  <c r="I409" i="5" a="1"/>
  <c r="I409" i="5"/>
  <c r="H409" i="5" a="1"/>
  <c r="H409" i="5"/>
  <c r="G409" i="5"/>
  <c r="P409" i="5"/>
  <c r="F409" i="5"/>
  <c r="G419" i="5"/>
  <c r="P419" i="5"/>
  <c r="F419" i="5"/>
  <c r="O419" i="5"/>
  <c r="N419" i="5"/>
  <c r="M419" i="5"/>
  <c r="L419" i="5"/>
  <c r="B419" i="5"/>
  <c r="K419" i="5"/>
  <c r="J419" i="5"/>
  <c r="I419" i="5" a="1"/>
  <c r="I419" i="5"/>
  <c r="H419" i="5" a="1"/>
  <c r="H419" i="5"/>
  <c r="H405" i="5" a="1"/>
  <c r="H405" i="5"/>
  <c r="G405" i="5"/>
  <c r="P405" i="5"/>
  <c r="F405" i="5"/>
  <c r="O405" i="5"/>
  <c r="N405" i="5"/>
  <c r="M405" i="5"/>
  <c r="L405" i="5"/>
  <c r="B405" i="5"/>
  <c r="K405" i="5"/>
  <c r="J405" i="5"/>
  <c r="I405" i="5" a="1"/>
  <c r="I405" i="5"/>
  <c r="C415" i="5"/>
  <c r="C432" i="5"/>
  <c r="C339" i="5"/>
  <c r="C314" i="5"/>
  <c r="C368" i="5"/>
  <c r="C238" i="5"/>
  <c r="C166" i="5"/>
  <c r="C219" i="5"/>
  <c r="C176" i="5"/>
  <c r="H142" i="5" a="1"/>
  <c r="H142" i="5"/>
  <c r="O142" i="5"/>
  <c r="P142" i="5"/>
  <c r="B142" i="5"/>
  <c r="N142" i="5"/>
  <c r="M142" i="5"/>
  <c r="L142" i="5"/>
  <c r="K142" i="5"/>
  <c r="J142" i="5"/>
  <c r="I142" i="5" a="1"/>
  <c r="I142" i="5"/>
  <c r="G142" i="5"/>
  <c r="F142" i="5"/>
  <c r="C147" i="5"/>
  <c r="J61" i="5"/>
  <c r="I61" i="5" a="1"/>
  <c r="I61" i="5"/>
  <c r="C81" i="5"/>
  <c r="C86" i="5"/>
  <c r="C55" i="5"/>
  <c r="N220" i="5"/>
  <c r="M220" i="5"/>
  <c r="L220" i="5"/>
  <c r="B220" i="5"/>
  <c r="K220" i="5"/>
  <c r="J220" i="5"/>
  <c r="I220" i="5" a="1"/>
  <c r="I220" i="5"/>
  <c r="H220" i="5" a="1"/>
  <c r="H220" i="5"/>
  <c r="G220" i="5"/>
  <c r="P220" i="5"/>
  <c r="F220" i="5"/>
  <c r="O220" i="5"/>
  <c r="M70" i="5"/>
  <c r="L70" i="5"/>
  <c r="B70" i="5"/>
  <c r="K70" i="5"/>
  <c r="J70" i="5"/>
  <c r="I70" i="5" a="1"/>
  <c r="I70" i="5"/>
  <c r="H70" i="5" a="1"/>
  <c r="H70" i="5"/>
  <c r="G70" i="5"/>
  <c r="P70" i="5"/>
  <c r="F70" i="5"/>
  <c r="O70" i="5"/>
  <c r="N70" i="5"/>
  <c r="C75" i="5"/>
  <c r="L2" i="5"/>
  <c r="B2" i="5"/>
  <c r="K2" i="5"/>
  <c r="G2" i="5"/>
  <c r="I2" i="5" a="1"/>
  <c r="I2" i="5"/>
  <c r="P2" i="5"/>
  <c r="F2" i="5"/>
  <c r="G12" i="5"/>
  <c r="P12" i="5"/>
  <c r="F12" i="5"/>
  <c r="L12" i="5"/>
  <c r="B12" i="5"/>
  <c r="K12" i="5"/>
  <c r="D33" i="5"/>
  <c r="C33" i="5"/>
  <c r="H761" i="5" a="1"/>
  <c r="H761" i="5"/>
  <c r="G761" i="5"/>
  <c r="P761" i="5"/>
  <c r="F761" i="5"/>
  <c r="O761" i="5"/>
  <c r="N761" i="5"/>
  <c r="M761" i="5"/>
  <c r="L761" i="5"/>
  <c r="B761" i="5"/>
  <c r="K761" i="5"/>
  <c r="J761" i="5"/>
  <c r="I761" i="5" a="1"/>
  <c r="I761" i="5"/>
  <c r="I606" i="5" a="1"/>
  <c r="I606" i="5"/>
  <c r="H606" i="5" a="1"/>
  <c r="H606" i="5"/>
  <c r="G606" i="5"/>
  <c r="P606" i="5"/>
  <c r="F606" i="5"/>
  <c r="O606" i="5"/>
  <c r="N606" i="5"/>
  <c r="M606" i="5"/>
  <c r="L606" i="5"/>
  <c r="B606" i="5"/>
  <c r="K606" i="5"/>
  <c r="J606" i="5"/>
  <c r="G461" i="5"/>
  <c r="P461" i="5"/>
  <c r="F461" i="5"/>
  <c r="O461" i="5"/>
  <c r="N461" i="5"/>
  <c r="M461" i="5"/>
  <c r="L461" i="5"/>
  <c r="B461" i="5"/>
  <c r="K461" i="5"/>
  <c r="J461" i="5"/>
  <c r="I461" i="5" a="1"/>
  <c r="I461" i="5"/>
  <c r="H461" i="5" a="1"/>
  <c r="H461" i="5"/>
  <c r="M237" i="5"/>
  <c r="L237" i="5"/>
  <c r="H34" i="5" a="1"/>
  <c r="H34" i="5"/>
  <c r="G34" i="5"/>
  <c r="P34" i="5"/>
  <c r="F34" i="5"/>
  <c r="O34" i="5"/>
  <c r="N34" i="5"/>
  <c r="M34" i="5"/>
  <c r="L34" i="5"/>
  <c r="B34" i="5"/>
  <c r="K34" i="5"/>
  <c r="J34" i="5"/>
  <c r="I34" i="5" a="1"/>
  <c r="I34" i="5"/>
  <c r="C874" i="5"/>
  <c r="F848" i="5"/>
  <c r="P848" i="5"/>
  <c r="M743" i="5"/>
  <c r="L743" i="5"/>
  <c r="H691" i="5" a="1"/>
  <c r="H691" i="5"/>
  <c r="G691" i="5"/>
  <c r="P691" i="5"/>
  <c r="F691" i="5"/>
  <c r="O691" i="5"/>
  <c r="N691" i="5"/>
  <c r="M691" i="5"/>
  <c r="L691" i="5"/>
  <c r="B691" i="5"/>
  <c r="K691" i="5"/>
  <c r="J691" i="5"/>
  <c r="I691" i="5" a="1"/>
  <c r="I691" i="5"/>
  <c r="P680" i="5"/>
  <c r="F680" i="5"/>
  <c r="O680" i="5"/>
  <c r="N680" i="5"/>
  <c r="M680" i="5"/>
  <c r="L680" i="5"/>
  <c r="B680" i="5"/>
  <c r="K680" i="5"/>
  <c r="J680" i="5"/>
  <c r="I680" i="5" a="1"/>
  <c r="I680" i="5"/>
  <c r="H680" i="5" a="1"/>
  <c r="H680" i="5"/>
  <c r="G680" i="5"/>
  <c r="N690" i="5"/>
  <c r="M690" i="5"/>
  <c r="L690" i="5"/>
  <c r="B690" i="5"/>
  <c r="K690" i="5"/>
  <c r="I690" i="5" a="1"/>
  <c r="I690" i="5"/>
  <c r="H690" i="5" a="1"/>
  <c r="H690" i="5"/>
  <c r="O690" i="5"/>
  <c r="P690" i="5"/>
  <c r="J690" i="5"/>
  <c r="G690" i="5"/>
  <c r="F690" i="5"/>
  <c r="J662" i="5"/>
  <c r="I662" i="5" a="1"/>
  <c r="I662" i="5"/>
  <c r="H662" i="5" a="1"/>
  <c r="H662" i="5"/>
  <c r="G662" i="5"/>
  <c r="P662" i="5"/>
  <c r="F662" i="5"/>
  <c r="O662" i="5"/>
  <c r="N662" i="5"/>
  <c r="M662" i="5"/>
  <c r="L662" i="5"/>
  <c r="B662" i="5"/>
  <c r="K662" i="5"/>
  <c r="G603" i="5"/>
  <c r="P603" i="5"/>
  <c r="F603" i="5"/>
  <c r="O603" i="5"/>
  <c r="N603" i="5"/>
  <c r="M603" i="5"/>
  <c r="L603" i="5"/>
  <c r="B603" i="5"/>
  <c r="K603" i="5"/>
  <c r="J603" i="5"/>
  <c r="I603" i="5" a="1"/>
  <c r="I603" i="5"/>
  <c r="H603" i="5" a="1"/>
  <c r="H603" i="5"/>
  <c r="C601" i="5"/>
  <c r="O531" i="5"/>
  <c r="N531" i="5"/>
  <c r="M531" i="5"/>
  <c r="L531" i="5"/>
  <c r="B531" i="5"/>
  <c r="K531" i="5"/>
  <c r="J531" i="5"/>
  <c r="I531" i="5" a="1"/>
  <c r="I531" i="5"/>
  <c r="H531" i="5" a="1"/>
  <c r="H531" i="5"/>
  <c r="P531" i="5"/>
  <c r="F531" i="5"/>
  <c r="G531" i="5"/>
  <c r="G553" i="5"/>
  <c r="P553" i="5"/>
  <c r="F553" i="5"/>
  <c r="O553" i="5"/>
  <c r="N553" i="5"/>
  <c r="M553" i="5"/>
  <c r="L553" i="5"/>
  <c r="B553" i="5"/>
  <c r="K553" i="5"/>
  <c r="J553" i="5"/>
  <c r="I553" i="5" a="1"/>
  <c r="I553" i="5"/>
  <c r="H553" i="5" a="1"/>
  <c r="H553" i="5"/>
  <c r="G570" i="5"/>
  <c r="P570" i="5"/>
  <c r="F570" i="5"/>
  <c r="O570" i="5"/>
  <c r="N570" i="5"/>
  <c r="M570" i="5"/>
  <c r="L570" i="5"/>
  <c r="B570" i="5"/>
  <c r="K570" i="5"/>
  <c r="J570" i="5"/>
  <c r="I570" i="5" a="1"/>
  <c r="I570" i="5"/>
  <c r="H570" i="5" a="1"/>
  <c r="H570" i="5"/>
  <c r="N583" i="5"/>
  <c r="M583" i="5"/>
  <c r="L583" i="5"/>
  <c r="B583" i="5"/>
  <c r="K583" i="5"/>
  <c r="I583" i="5" a="1"/>
  <c r="I583" i="5"/>
  <c r="H583" i="5" a="1"/>
  <c r="H583" i="5"/>
  <c r="J583" i="5"/>
  <c r="G583" i="5"/>
  <c r="F583" i="5"/>
  <c r="P583" i="5"/>
  <c r="O583" i="5"/>
  <c r="H589" i="5" a="1"/>
  <c r="H589" i="5"/>
  <c r="G589" i="5"/>
  <c r="P589" i="5"/>
  <c r="F589" i="5"/>
  <c r="O589" i="5"/>
  <c r="N589" i="5"/>
  <c r="M589" i="5"/>
  <c r="L589" i="5"/>
  <c r="B589" i="5"/>
  <c r="I589" i="5" a="1"/>
  <c r="I589" i="5"/>
  <c r="K589" i="5"/>
  <c r="J589" i="5"/>
  <c r="P516" i="5"/>
  <c r="F516" i="5"/>
  <c r="O516" i="5"/>
  <c r="N516" i="5"/>
  <c r="M516" i="5"/>
  <c r="L516" i="5"/>
  <c r="B516" i="5"/>
  <c r="K516" i="5"/>
  <c r="J516" i="5"/>
  <c r="I516" i="5" a="1"/>
  <c r="I516" i="5"/>
  <c r="H516" i="5" a="1"/>
  <c r="H516" i="5"/>
  <c r="G516" i="5"/>
  <c r="C466" i="5"/>
  <c r="H500" i="5" a="1"/>
  <c r="H500" i="5"/>
  <c r="I500" i="5" a="1"/>
  <c r="I500" i="5"/>
  <c r="C519" i="5"/>
  <c r="O385" i="5"/>
  <c r="N385" i="5"/>
  <c r="M385" i="5"/>
  <c r="L385" i="5"/>
  <c r="B385" i="5"/>
  <c r="K385" i="5"/>
  <c r="J385" i="5"/>
  <c r="I385" i="5" a="1"/>
  <c r="I385" i="5"/>
  <c r="H385" i="5" a="1"/>
  <c r="H385" i="5"/>
  <c r="G385" i="5"/>
  <c r="P385" i="5"/>
  <c r="F385" i="5"/>
  <c r="P492" i="5"/>
  <c r="F492" i="5"/>
  <c r="O492" i="5"/>
  <c r="N492" i="5"/>
  <c r="M492" i="5"/>
  <c r="L492" i="5"/>
  <c r="B492" i="5"/>
  <c r="K492" i="5"/>
  <c r="J492" i="5"/>
  <c r="I492" i="5" a="1"/>
  <c r="I492" i="5"/>
  <c r="H492" i="5" a="1"/>
  <c r="H492" i="5"/>
  <c r="G492" i="5"/>
  <c r="C407" i="5"/>
  <c r="G448" i="5"/>
  <c r="P448" i="5"/>
  <c r="F448" i="5"/>
  <c r="O448" i="5"/>
  <c r="N448" i="5"/>
  <c r="M448" i="5"/>
  <c r="L448" i="5"/>
  <c r="B448" i="5"/>
  <c r="K448" i="5"/>
  <c r="J448" i="5"/>
  <c r="I448" i="5" a="1"/>
  <c r="I448" i="5"/>
  <c r="H448" i="5" a="1"/>
  <c r="H448" i="5"/>
  <c r="C393" i="5"/>
  <c r="I403" i="5" a="1"/>
  <c r="I403" i="5"/>
  <c r="H403" i="5" a="1"/>
  <c r="H403" i="5"/>
  <c r="G403" i="5"/>
  <c r="P403" i="5"/>
  <c r="F403" i="5"/>
  <c r="O403" i="5"/>
  <c r="N403" i="5"/>
  <c r="M403" i="5"/>
  <c r="L403" i="5"/>
  <c r="B403" i="5"/>
  <c r="K403" i="5"/>
  <c r="J403" i="5"/>
  <c r="J420" i="5"/>
  <c r="I420" i="5" a="1"/>
  <c r="I420" i="5"/>
  <c r="H420" i="5" a="1"/>
  <c r="H420" i="5"/>
  <c r="G420" i="5"/>
  <c r="P420" i="5"/>
  <c r="F420" i="5"/>
  <c r="O420" i="5"/>
  <c r="N420" i="5"/>
  <c r="M420" i="5"/>
  <c r="L420" i="5"/>
  <c r="B420" i="5"/>
  <c r="K420" i="5"/>
  <c r="O315" i="5"/>
  <c r="N315" i="5"/>
  <c r="M315" i="5"/>
  <c r="L315" i="5"/>
  <c r="B315" i="5"/>
  <c r="K315" i="5"/>
  <c r="J315" i="5"/>
  <c r="I315" i="5" a="1"/>
  <c r="I315" i="5"/>
  <c r="H315" i="5" a="1"/>
  <c r="H315" i="5"/>
  <c r="G315" i="5"/>
  <c r="P315" i="5"/>
  <c r="F315" i="5"/>
  <c r="J290" i="5"/>
  <c r="I290" i="5" a="1"/>
  <c r="I290" i="5"/>
  <c r="H290" i="5" a="1"/>
  <c r="H290" i="5"/>
  <c r="G290" i="5"/>
  <c r="P290" i="5"/>
  <c r="F290" i="5"/>
  <c r="O290" i="5"/>
  <c r="N290" i="5"/>
  <c r="M290" i="5"/>
  <c r="L290" i="5"/>
  <c r="B290" i="5"/>
  <c r="K290" i="5"/>
  <c r="I355" i="5" a="1"/>
  <c r="I355" i="5"/>
  <c r="H355" i="5" a="1"/>
  <c r="H355" i="5"/>
  <c r="G355" i="5"/>
  <c r="P355" i="5"/>
  <c r="F355" i="5"/>
  <c r="O355" i="5"/>
  <c r="N355" i="5"/>
  <c r="M355" i="5"/>
  <c r="L355" i="5"/>
  <c r="K355" i="5"/>
  <c r="J355" i="5"/>
  <c r="B355" i="5"/>
  <c r="H225" i="5" a="1"/>
  <c r="H225" i="5"/>
  <c r="G225" i="5"/>
  <c r="N334" i="5"/>
  <c r="M334" i="5"/>
  <c r="L334" i="5"/>
  <c r="B334" i="5"/>
  <c r="K334" i="5"/>
  <c r="J334" i="5"/>
  <c r="I334" i="5" a="1"/>
  <c r="I334" i="5"/>
  <c r="H334" i="5" a="1"/>
  <c r="H334" i="5"/>
  <c r="G334" i="5"/>
  <c r="P334" i="5"/>
  <c r="F334" i="5"/>
  <c r="O334" i="5"/>
  <c r="H149" i="5" a="1"/>
  <c r="H149" i="5"/>
  <c r="G149" i="5"/>
  <c r="N149" i="5"/>
  <c r="M149" i="5"/>
  <c r="L149" i="5"/>
  <c r="B149" i="5"/>
  <c r="K149" i="5"/>
  <c r="P149" i="5"/>
  <c r="O149" i="5"/>
  <c r="J149" i="5"/>
  <c r="I149" i="5" a="1"/>
  <c r="I149" i="5"/>
  <c r="F149" i="5"/>
  <c r="C226" i="5"/>
  <c r="P320" i="5"/>
  <c r="F320" i="5"/>
  <c r="O320" i="5"/>
  <c r="N320" i="5"/>
  <c r="M320" i="5"/>
  <c r="L320" i="5"/>
  <c r="B320" i="5"/>
  <c r="K320" i="5"/>
  <c r="J320" i="5"/>
  <c r="I320" i="5" a="1"/>
  <c r="I320" i="5"/>
  <c r="H320" i="5" a="1"/>
  <c r="H320" i="5"/>
  <c r="G320" i="5"/>
  <c r="C207" i="5"/>
  <c r="C152" i="5"/>
  <c r="O92" i="5"/>
  <c r="N92" i="5"/>
  <c r="M92" i="5"/>
  <c r="L92" i="5"/>
  <c r="B92" i="5"/>
  <c r="K92" i="5"/>
  <c r="J92" i="5"/>
  <c r="I92" i="5" a="1"/>
  <c r="I92" i="5"/>
  <c r="H92" i="5" a="1"/>
  <c r="H92" i="5"/>
  <c r="G92" i="5"/>
  <c r="P92" i="5"/>
  <c r="F92" i="5"/>
  <c r="P49" i="5"/>
  <c r="F49" i="5"/>
  <c r="O49" i="5"/>
  <c r="N49" i="5"/>
  <c r="M49" i="5"/>
  <c r="L49" i="5"/>
  <c r="B49" i="5"/>
  <c r="K49" i="5"/>
  <c r="J49" i="5"/>
  <c r="I49" i="5" a="1"/>
  <c r="I49" i="5"/>
  <c r="H49" i="5" a="1"/>
  <c r="H49" i="5"/>
  <c r="G49" i="5"/>
  <c r="O141" i="5"/>
  <c r="H141" i="5" a="1"/>
  <c r="H141" i="5"/>
  <c r="G141" i="5"/>
  <c r="F141" i="5"/>
  <c r="P141" i="5"/>
  <c r="N141" i="5"/>
  <c r="M141" i="5"/>
  <c r="L141" i="5"/>
  <c r="B141" i="5"/>
  <c r="K141" i="5"/>
  <c r="J141" i="5"/>
  <c r="I141" i="5" a="1"/>
  <c r="I141" i="5"/>
  <c r="C69" i="5"/>
  <c r="C148" i="5"/>
  <c r="J139" i="5"/>
  <c r="I139" i="5" a="1"/>
  <c r="I139" i="5"/>
  <c r="H139" i="5" a="1"/>
  <c r="H139" i="5"/>
  <c r="G139" i="5"/>
  <c r="P139" i="5"/>
  <c r="F139" i="5"/>
  <c r="O139" i="5"/>
  <c r="N139" i="5"/>
  <c r="M139" i="5"/>
  <c r="L139" i="5"/>
  <c r="B139" i="5"/>
  <c r="K139" i="5"/>
  <c r="J43" i="5"/>
  <c r="I43" i="5" a="1"/>
  <c r="I43" i="5"/>
  <c r="H43" i="5" a="1"/>
  <c r="H43" i="5"/>
  <c r="G43" i="5"/>
  <c r="P43" i="5"/>
  <c r="F43" i="5"/>
  <c r="O43" i="5"/>
  <c r="N43" i="5"/>
  <c r="M43" i="5"/>
  <c r="K43" i="5"/>
  <c r="L43" i="5"/>
  <c r="B43" i="5"/>
  <c r="C196" i="5"/>
  <c r="P109" i="5"/>
  <c r="F109" i="5"/>
  <c r="O109" i="5"/>
  <c r="N109" i="5"/>
  <c r="M109" i="5"/>
  <c r="L109" i="5"/>
  <c r="B109" i="5"/>
  <c r="K109" i="5"/>
  <c r="J109" i="5"/>
  <c r="I109" i="5" a="1"/>
  <c r="I109" i="5"/>
  <c r="H109" i="5" a="1"/>
  <c r="H109" i="5"/>
  <c r="G109" i="5"/>
  <c r="O44" i="5"/>
  <c r="N44" i="5"/>
  <c r="M44" i="5"/>
  <c r="L44" i="5"/>
  <c r="B44" i="5"/>
  <c r="K44" i="5"/>
  <c r="J44" i="5"/>
  <c r="I44" i="5" a="1"/>
  <c r="I44" i="5"/>
  <c r="H44" i="5" a="1"/>
  <c r="H44" i="5"/>
  <c r="P44" i="5"/>
  <c r="F44" i="5"/>
  <c r="G44" i="5"/>
  <c r="C39" i="5"/>
  <c r="D21" i="5"/>
  <c r="C21" i="5"/>
  <c r="J500" i="5"/>
  <c r="M421" i="5"/>
  <c r="K816" i="5"/>
  <c r="N848" i="5"/>
  <c r="B133" i="5"/>
  <c r="H279" i="5" a="1"/>
  <c r="H279" i="5"/>
  <c r="H821" i="5" a="1"/>
  <c r="H821" i="5"/>
  <c r="P225" i="5"/>
  <c r="G500" i="5"/>
  <c r="B743" i="5"/>
  <c r="O848" i="5"/>
  <c r="B237" i="5"/>
  <c r="H61" i="5" a="1"/>
  <c r="H61" i="5"/>
  <c r="K421" i="5"/>
  <c r="H816" i="5" a="1"/>
  <c r="H816" i="5"/>
  <c r="K8" i="5"/>
  <c r="O347" i="5"/>
  <c r="B806" i="5"/>
  <c r="B755" i="5"/>
  <c r="K878" i="5"/>
  <c r="I383" i="5" a="1"/>
  <c r="I383" i="5"/>
  <c r="G777" i="5"/>
  <c r="F133" i="5"/>
  <c r="M702" i="5"/>
  <c r="N248" i="5"/>
  <c r="L279" i="5"/>
  <c r="I758" i="5" a="1"/>
  <c r="I758" i="5"/>
  <c r="L821" i="5"/>
  <c r="P397" i="5"/>
  <c r="F68" i="5"/>
  <c r="M395" i="5"/>
  <c r="H541" i="5" a="1"/>
  <c r="H541" i="5"/>
  <c r="N670" i="5"/>
  <c r="M765" i="5"/>
  <c r="H346" i="5" a="1"/>
  <c r="H346" i="5"/>
  <c r="G80" i="5"/>
  <c r="M303" i="5"/>
  <c r="J524" i="5"/>
  <c r="B434" i="5"/>
  <c r="H748" i="5" a="1"/>
  <c r="H748" i="5"/>
  <c r="J383" i="5"/>
  <c r="H777" i="5" a="1"/>
  <c r="H777" i="5"/>
  <c r="P133" i="5"/>
  <c r="M279" i="5"/>
  <c r="M821" i="5"/>
  <c r="G397" i="5"/>
  <c r="O670" i="5"/>
  <c r="H80" i="5" a="1"/>
  <c r="H80" i="5"/>
  <c r="N303" i="5"/>
  <c r="K541" i="5"/>
  <c r="P670" i="5"/>
  <c r="F765" i="5"/>
  <c r="K346" i="5"/>
  <c r="J80" i="5"/>
  <c r="F303" i="5"/>
  <c r="L524" i="5"/>
  <c r="N434" i="5"/>
  <c r="K748" i="5"/>
  <c r="N806" i="5"/>
  <c r="N755" i="5"/>
  <c r="B383" i="5"/>
  <c r="O279" i="5"/>
  <c r="J225" i="5"/>
  <c r="K500" i="5"/>
  <c r="F743" i="5"/>
  <c r="H848" i="5" a="1"/>
  <c r="H848" i="5"/>
  <c r="O237" i="5"/>
  <c r="B61" i="5"/>
  <c r="N421" i="5"/>
  <c r="L816" i="5"/>
  <c r="F8" i="5"/>
  <c r="H347" i="5" a="1"/>
  <c r="H347" i="5"/>
  <c r="O806" i="5"/>
  <c r="O755" i="5"/>
  <c r="F878" i="5"/>
  <c r="L383" i="5"/>
  <c r="K777" i="5"/>
  <c r="I133" i="5" a="1"/>
  <c r="I133" i="5"/>
  <c r="O702" i="5"/>
  <c r="H248" i="5" a="1"/>
  <c r="H248" i="5"/>
  <c r="F279" i="5"/>
  <c r="L758" i="5"/>
  <c r="P821" i="5"/>
  <c r="J397" i="5"/>
  <c r="I68" i="5" a="1"/>
  <c r="I68" i="5"/>
  <c r="P395" i="5"/>
  <c r="B541" i="5"/>
  <c r="G670" i="5"/>
  <c r="P765" i="5"/>
  <c r="B346" i="5"/>
  <c r="K80" i="5"/>
  <c r="P303" i="5"/>
  <c r="M524" i="5"/>
  <c r="O434" i="5"/>
  <c r="B748" i="5"/>
  <c r="N237" i="5"/>
  <c r="G347" i="5"/>
  <c r="J777" i="5"/>
  <c r="H133" i="5" a="1"/>
  <c r="H133" i="5"/>
  <c r="O821" i="5"/>
  <c r="K225" i="5"/>
  <c r="B500" i="5"/>
  <c r="G743" i="5"/>
  <c r="J848" i="5"/>
  <c r="F237" i="5"/>
  <c r="L61" i="5"/>
  <c r="O421" i="5"/>
  <c r="N816" i="5"/>
  <c r="P8" i="5"/>
  <c r="I347" i="5" a="1"/>
  <c r="I347" i="5"/>
  <c r="F806" i="5"/>
  <c r="F755" i="5"/>
  <c r="G878" i="5"/>
  <c r="M383" i="5"/>
  <c r="B777" i="5"/>
  <c r="J133" i="5"/>
  <c r="G702" i="5"/>
  <c r="L248" i="5"/>
  <c r="P279" i="5"/>
  <c r="M758" i="5"/>
  <c r="F821" i="5"/>
  <c r="K397" i="5"/>
  <c r="J68" i="5"/>
  <c r="G395" i="5"/>
  <c r="L541" i="5"/>
  <c r="H670" i="5" a="1"/>
  <c r="H670" i="5"/>
  <c r="G765" i="5"/>
  <c r="L346" i="5"/>
  <c r="B80" i="5"/>
  <c r="G303" i="5"/>
  <c r="N524" i="5"/>
  <c r="F434" i="5"/>
  <c r="L748" i="5"/>
  <c r="O8" i="5"/>
  <c r="P878" i="5"/>
  <c r="P702" i="5"/>
  <c r="I397" i="5" a="1"/>
  <c r="I397" i="5"/>
  <c r="B225" i="5"/>
  <c r="L500" i="5"/>
  <c r="P743" i="5"/>
  <c r="K848" i="5"/>
  <c r="P237" i="5"/>
  <c r="M61" i="5"/>
  <c r="F421" i="5"/>
  <c r="B816" i="5"/>
  <c r="G8" i="5"/>
  <c r="J347" i="5"/>
  <c r="P806" i="5"/>
  <c r="P755" i="5"/>
  <c r="B878" i="5"/>
  <c r="N383" i="5"/>
  <c r="L777" i="5"/>
  <c r="K133" i="5"/>
  <c r="H702" i="5" a="1"/>
  <c r="H702" i="5"/>
  <c r="M248" i="5"/>
  <c r="G279" i="5"/>
  <c r="N758" i="5"/>
  <c r="G821" i="5"/>
  <c r="B397" i="5"/>
  <c r="K68" i="5"/>
  <c r="H395" i="5" a="1"/>
  <c r="H395" i="5"/>
  <c r="M541" i="5"/>
  <c r="I670" i="5" a="1"/>
  <c r="I670" i="5"/>
  <c r="H765" i="5" a="1"/>
  <c r="H765" i="5"/>
  <c r="M346" i="5"/>
  <c r="L80" i="5"/>
  <c r="H303" i="5" a="1"/>
  <c r="H303" i="5"/>
  <c r="O524" i="5"/>
  <c r="P434" i="5"/>
  <c r="M748" i="5"/>
  <c r="G434" i="5"/>
  <c r="N748" i="5"/>
  <c r="I848" i="5" a="1"/>
  <c r="I848" i="5"/>
  <c r="K61" i="5"/>
  <c r="L225" i="5"/>
  <c r="O383" i="5"/>
  <c r="M777" i="5"/>
  <c r="L397" i="5"/>
  <c r="J670" i="5"/>
  <c r="N500" i="5"/>
  <c r="H743" i="5" a="1"/>
  <c r="H743" i="5"/>
  <c r="B848" i="5"/>
  <c r="O61" i="5"/>
  <c r="G421" i="5"/>
  <c r="P816" i="5"/>
  <c r="B347" i="5"/>
  <c r="G806" i="5"/>
  <c r="H755" i="5" a="1"/>
  <c r="H755" i="5"/>
  <c r="L878" i="5"/>
  <c r="F383" i="5"/>
  <c r="N777" i="5"/>
  <c r="L133" i="5"/>
  <c r="J702" i="5"/>
  <c r="G248" i="5"/>
  <c r="I279" i="5" a="1"/>
  <c r="I279" i="5"/>
  <c r="F758" i="5"/>
  <c r="I821" i="5" a="1"/>
  <c r="I821" i="5"/>
  <c r="M397" i="5"/>
  <c r="L68" i="5"/>
  <c r="J395" i="5"/>
  <c r="O541" i="5"/>
  <c r="K670" i="5"/>
  <c r="J765" i="5"/>
  <c r="O346" i="5"/>
  <c r="N80" i="5"/>
  <c r="J303" i="5"/>
  <c r="P524" i="5"/>
  <c r="H434" i="5" a="1"/>
  <c r="H434" i="5"/>
  <c r="O748" i="5"/>
  <c r="O743" i="5"/>
  <c r="N61" i="5"/>
  <c r="I702" i="5" a="1"/>
  <c r="I702" i="5"/>
  <c r="M80" i="5"/>
  <c r="I303" i="5" a="1"/>
  <c r="I303" i="5"/>
  <c r="M225" i="5"/>
  <c r="N225" i="5"/>
  <c r="O500" i="5"/>
  <c r="I743" i="5" a="1"/>
  <c r="I743" i="5"/>
  <c r="G848" i="5"/>
  <c r="I237" i="5" a="1"/>
  <c r="I237" i="5"/>
  <c r="F61" i="5"/>
  <c r="H421" i="5" a="1"/>
  <c r="H421" i="5"/>
  <c r="F816" i="5"/>
  <c r="L347" i="5"/>
  <c r="I806" i="5" a="1"/>
  <c r="I806" i="5"/>
  <c r="I755" i="5" a="1"/>
  <c r="I755" i="5"/>
  <c r="M878" i="5"/>
  <c r="P383" i="5"/>
  <c r="O777" i="5"/>
  <c r="M133" i="5"/>
  <c r="K702" i="5"/>
  <c r="I248" i="5" a="1"/>
  <c r="I248" i="5"/>
  <c r="J279" i="5"/>
  <c r="P758" i="5"/>
  <c r="J821" i="5"/>
  <c r="N397" i="5"/>
  <c r="M68" i="5"/>
  <c r="K395" i="5"/>
  <c r="F541" i="5"/>
  <c r="B670" i="5"/>
  <c r="K765" i="5"/>
  <c r="F346" i="5"/>
  <c r="O80" i="5"/>
  <c r="K303" i="5"/>
  <c r="H524" i="5" a="1"/>
  <c r="H524" i="5"/>
  <c r="I434" i="5" a="1"/>
  <c r="I434" i="5"/>
  <c r="G748" i="5"/>
  <c r="I225" i="5" a="1"/>
  <c r="I225" i="5"/>
  <c r="G755" i="5"/>
  <c r="H237" i="5" a="1"/>
  <c r="H237" i="5"/>
  <c r="O225" i="5"/>
  <c r="F500" i="5"/>
  <c r="J743" i="5"/>
  <c r="L848" i="5"/>
  <c r="J237" i="5"/>
  <c r="P61" i="5"/>
  <c r="I421" i="5" a="1"/>
  <c r="I421" i="5"/>
  <c r="G816" i="5"/>
  <c r="M347" i="5"/>
  <c r="J806" i="5"/>
  <c r="J755" i="5"/>
  <c r="O878" i="5"/>
  <c r="G383" i="5"/>
  <c r="F777" i="5"/>
  <c r="N133" i="5"/>
  <c r="B702" i="5"/>
  <c r="J248" i="5"/>
  <c r="K279" i="5"/>
  <c r="G758" i="5"/>
  <c r="N821" i="5"/>
  <c r="O397" i="5"/>
  <c r="N68" i="5"/>
  <c r="B395" i="5"/>
  <c r="P541" i="5"/>
  <c r="L670" i="5"/>
  <c r="B765" i="5"/>
  <c r="P346" i="5"/>
  <c r="F80" i="5"/>
  <c r="B303" i="5"/>
  <c r="G524" i="5"/>
  <c r="J434" i="5"/>
  <c r="F748" i="5"/>
  <c r="N743" i="5"/>
  <c r="M500" i="5"/>
  <c r="G237" i="5"/>
  <c r="P421" i="5"/>
  <c r="O816" i="5"/>
  <c r="K347" i="5"/>
  <c r="H806" i="5" a="1"/>
  <c r="H806" i="5"/>
  <c r="J878" i="5"/>
  <c r="P158" i="5"/>
  <c r="F158" i="5"/>
  <c r="O158" i="5"/>
  <c r="N158" i="5"/>
  <c r="M158" i="5"/>
  <c r="L158" i="5"/>
  <c r="B158" i="5"/>
  <c r="K158" i="5"/>
  <c r="J158" i="5"/>
  <c r="I158" i="5" a="1"/>
  <c r="I158" i="5"/>
  <c r="H158" i="5" a="1"/>
  <c r="H158" i="5"/>
  <c r="G158" i="5"/>
  <c r="L460" i="5"/>
  <c r="B460" i="5"/>
  <c r="K460" i="5"/>
  <c r="J460" i="5"/>
  <c r="I460" i="5" a="1"/>
  <c r="I460" i="5"/>
  <c r="H460" i="5" a="1"/>
  <c r="H460" i="5"/>
  <c r="G460" i="5"/>
  <c r="P460" i="5"/>
  <c r="F460" i="5"/>
  <c r="M460" i="5"/>
  <c r="O460" i="5"/>
  <c r="N460" i="5"/>
  <c r="O892" i="5"/>
  <c r="L892" i="5"/>
  <c r="K892" i="5"/>
  <c r="N892" i="5"/>
  <c r="M892" i="5"/>
  <c r="B892" i="5"/>
  <c r="I892" i="5" a="1"/>
  <c r="I892" i="5"/>
  <c r="H892" i="5" a="1"/>
  <c r="H892" i="5"/>
  <c r="G892" i="5"/>
  <c r="F892" i="5"/>
  <c r="P892" i="5"/>
  <c r="J892" i="5"/>
  <c r="H393" i="5" a="1"/>
  <c r="H393" i="5"/>
  <c r="G393" i="5"/>
  <c r="P393" i="5"/>
  <c r="F393" i="5"/>
  <c r="O393" i="5"/>
  <c r="N393" i="5"/>
  <c r="M393" i="5"/>
  <c r="L393" i="5"/>
  <c r="B393" i="5"/>
  <c r="K393" i="5"/>
  <c r="J393" i="5"/>
  <c r="I393" i="5" a="1"/>
  <c r="I393" i="5"/>
  <c r="J176" i="5"/>
  <c r="I176" i="5" a="1"/>
  <c r="I176" i="5"/>
  <c r="H176" i="5" a="1"/>
  <c r="H176" i="5"/>
  <c r="G176" i="5"/>
  <c r="P176" i="5"/>
  <c r="F176" i="5"/>
  <c r="O176" i="5"/>
  <c r="N176" i="5"/>
  <c r="M176" i="5"/>
  <c r="L176" i="5"/>
  <c r="B176" i="5"/>
  <c r="K176" i="5"/>
  <c r="I525" i="5" a="1"/>
  <c r="I525" i="5"/>
  <c r="H525" i="5" a="1"/>
  <c r="H525" i="5"/>
  <c r="G525" i="5"/>
  <c r="P525" i="5"/>
  <c r="F525" i="5"/>
  <c r="O525" i="5"/>
  <c r="N525" i="5"/>
  <c r="M525" i="5"/>
  <c r="J525" i="5"/>
  <c r="L525" i="5"/>
  <c r="K525" i="5"/>
  <c r="B525" i="5"/>
  <c r="N883" i="5"/>
  <c r="M883" i="5"/>
  <c r="B883" i="5"/>
  <c r="P883" i="5"/>
  <c r="O883" i="5"/>
  <c r="J883" i="5"/>
  <c r="H883" i="5" a="1"/>
  <c r="H883" i="5"/>
  <c r="G883" i="5"/>
  <c r="L883" i="5"/>
  <c r="K883" i="5"/>
  <c r="I883" i="5" a="1"/>
  <c r="I883" i="5"/>
  <c r="F883" i="5"/>
  <c r="M269" i="5"/>
  <c r="L269" i="5"/>
  <c r="B269" i="5"/>
  <c r="K269" i="5"/>
  <c r="J269" i="5"/>
  <c r="I269" i="5" a="1"/>
  <c r="I269" i="5"/>
  <c r="H269" i="5" a="1"/>
  <c r="H269" i="5"/>
  <c r="G269" i="5"/>
  <c r="P269" i="5"/>
  <c r="F269" i="5"/>
  <c r="O269" i="5"/>
  <c r="N269" i="5"/>
  <c r="I618" i="5" a="1"/>
  <c r="I618" i="5"/>
  <c r="H618" i="5" a="1"/>
  <c r="H618" i="5"/>
  <c r="G618" i="5"/>
  <c r="P618" i="5"/>
  <c r="F618" i="5"/>
  <c r="O618" i="5"/>
  <c r="N618" i="5"/>
  <c r="M618" i="5"/>
  <c r="L618" i="5"/>
  <c r="B618" i="5"/>
  <c r="K618" i="5"/>
  <c r="J618" i="5"/>
  <c r="P850" i="5"/>
  <c r="F850" i="5"/>
  <c r="L850" i="5"/>
  <c r="I850" i="5" a="1"/>
  <c r="I850" i="5"/>
  <c r="H850" i="5" a="1"/>
  <c r="H850" i="5"/>
  <c r="G850" i="5"/>
  <c r="O850" i="5"/>
  <c r="N850" i="5"/>
  <c r="M850" i="5"/>
  <c r="K850" i="5"/>
  <c r="J850" i="5"/>
  <c r="B850" i="5"/>
  <c r="G364" i="5"/>
  <c r="P364" i="5"/>
  <c r="F364" i="5"/>
  <c r="O364" i="5"/>
  <c r="N364" i="5"/>
  <c r="M364" i="5"/>
  <c r="L364" i="5"/>
  <c r="B364" i="5"/>
  <c r="K364" i="5"/>
  <c r="J364" i="5"/>
  <c r="I364" i="5" a="1"/>
  <c r="I364" i="5"/>
  <c r="H364" i="5" a="1"/>
  <c r="H364" i="5"/>
  <c r="O801" i="5"/>
  <c r="N801" i="5"/>
  <c r="M801" i="5"/>
  <c r="L801" i="5"/>
  <c r="B801" i="5"/>
  <c r="I801" i="5" a="1"/>
  <c r="I801" i="5"/>
  <c r="H801" i="5" a="1"/>
  <c r="H801" i="5"/>
  <c r="J801" i="5"/>
  <c r="G801" i="5"/>
  <c r="F801" i="5"/>
  <c r="P801" i="5"/>
  <c r="K801" i="5"/>
  <c r="O255" i="5"/>
  <c r="N255" i="5"/>
  <c r="M255" i="5"/>
  <c r="L255" i="5"/>
  <c r="B255" i="5"/>
  <c r="J255" i="5"/>
  <c r="I255" i="5" a="1"/>
  <c r="I255" i="5"/>
  <c r="H255" i="5" a="1"/>
  <c r="H255" i="5"/>
  <c r="P255" i="5"/>
  <c r="F255" i="5"/>
  <c r="K255" i="5"/>
  <c r="G255" i="5"/>
  <c r="J566" i="5"/>
  <c r="I566" i="5" a="1"/>
  <c r="I566" i="5"/>
  <c r="H566" i="5" a="1"/>
  <c r="H566" i="5"/>
  <c r="G566" i="5"/>
  <c r="P566" i="5"/>
  <c r="F566" i="5"/>
  <c r="O566" i="5"/>
  <c r="N566" i="5"/>
  <c r="M566" i="5"/>
  <c r="L566" i="5"/>
  <c r="B566" i="5"/>
  <c r="K566" i="5"/>
  <c r="L830" i="5"/>
  <c r="B830" i="5"/>
  <c r="I830" i="5" a="1"/>
  <c r="I830" i="5"/>
  <c r="J830" i="5"/>
  <c r="G830" i="5"/>
  <c r="F830" i="5"/>
  <c r="P830" i="5"/>
  <c r="O830" i="5"/>
  <c r="N830" i="5"/>
  <c r="M830" i="5"/>
  <c r="K830" i="5"/>
  <c r="H830" i="5" a="1"/>
  <c r="H830" i="5"/>
  <c r="G388" i="5"/>
  <c r="P388" i="5"/>
  <c r="F388" i="5"/>
  <c r="O388" i="5"/>
  <c r="N388" i="5"/>
  <c r="M388" i="5"/>
  <c r="L388" i="5"/>
  <c r="B388" i="5"/>
  <c r="K388" i="5"/>
  <c r="J388" i="5"/>
  <c r="I388" i="5" a="1"/>
  <c r="I388" i="5"/>
  <c r="H388" i="5" a="1"/>
  <c r="H388" i="5"/>
  <c r="H398" i="5" a="1"/>
  <c r="H398" i="5"/>
  <c r="G398" i="5"/>
  <c r="P398" i="5"/>
  <c r="F398" i="5"/>
  <c r="O398" i="5"/>
  <c r="N398" i="5"/>
  <c r="M398" i="5"/>
  <c r="L398" i="5"/>
  <c r="B398" i="5"/>
  <c r="K398" i="5"/>
  <c r="J398" i="5"/>
  <c r="I398" i="5" a="1"/>
  <c r="I398" i="5"/>
  <c r="H202" i="5" a="1"/>
  <c r="H202" i="5"/>
  <c r="G202" i="5"/>
  <c r="P202" i="5"/>
  <c r="F202" i="5"/>
  <c r="O202" i="5"/>
  <c r="N202" i="5"/>
  <c r="M202" i="5"/>
  <c r="L202" i="5"/>
  <c r="B202" i="5"/>
  <c r="K202" i="5"/>
  <c r="J202" i="5"/>
  <c r="I202" i="5" a="1"/>
  <c r="I202" i="5"/>
  <c r="H563" i="5" a="1"/>
  <c r="H563" i="5"/>
  <c r="G563" i="5"/>
  <c r="P563" i="5"/>
  <c r="F563" i="5"/>
  <c r="O563" i="5"/>
  <c r="N563" i="5"/>
  <c r="M563" i="5"/>
  <c r="L563" i="5"/>
  <c r="B563" i="5"/>
  <c r="K563" i="5"/>
  <c r="J563" i="5"/>
  <c r="I563" i="5" a="1"/>
  <c r="I563" i="5"/>
  <c r="N160" i="5"/>
  <c r="M160" i="5"/>
  <c r="L160" i="5"/>
  <c r="B160" i="5"/>
  <c r="K160" i="5"/>
  <c r="J160" i="5"/>
  <c r="I160" i="5" a="1"/>
  <c r="I160" i="5"/>
  <c r="H160" i="5" a="1"/>
  <c r="H160" i="5"/>
  <c r="G160" i="5"/>
  <c r="P160" i="5"/>
  <c r="F160" i="5"/>
  <c r="O160" i="5"/>
  <c r="G693" i="5"/>
  <c r="P693" i="5"/>
  <c r="F693" i="5"/>
  <c r="O693" i="5"/>
  <c r="N693" i="5"/>
  <c r="M693" i="5"/>
  <c r="L693" i="5"/>
  <c r="B693" i="5"/>
  <c r="K693" i="5"/>
  <c r="J693" i="5"/>
  <c r="I693" i="5" a="1"/>
  <c r="I693" i="5"/>
  <c r="H693" i="5" a="1"/>
  <c r="H693" i="5"/>
  <c r="G15" i="5"/>
  <c r="P15" i="5"/>
  <c r="F15" i="5"/>
  <c r="L15" i="5"/>
  <c r="B15" i="5"/>
  <c r="K15" i="5"/>
  <c r="L89" i="5"/>
  <c r="B89" i="5"/>
  <c r="K89" i="5"/>
  <c r="J89" i="5"/>
  <c r="I89" i="5" a="1"/>
  <c r="I89" i="5"/>
  <c r="H89" i="5" a="1"/>
  <c r="H89" i="5"/>
  <c r="G89" i="5"/>
  <c r="P89" i="5"/>
  <c r="F89" i="5"/>
  <c r="O89" i="5"/>
  <c r="N89" i="5"/>
  <c r="M89" i="5"/>
  <c r="K132" i="5"/>
  <c r="J132" i="5"/>
  <c r="I132" i="5" a="1"/>
  <c r="I132" i="5"/>
  <c r="H132" i="5" a="1"/>
  <c r="H132" i="5"/>
  <c r="G132" i="5"/>
  <c r="P132" i="5"/>
  <c r="F132" i="5"/>
  <c r="O132" i="5"/>
  <c r="N132" i="5"/>
  <c r="M132" i="5"/>
  <c r="L132" i="5"/>
  <c r="B132" i="5"/>
  <c r="P121" i="5"/>
  <c r="F121" i="5"/>
  <c r="O121" i="5"/>
  <c r="N121" i="5"/>
  <c r="M121" i="5"/>
  <c r="L121" i="5"/>
  <c r="B121" i="5"/>
  <c r="K121" i="5"/>
  <c r="J121" i="5"/>
  <c r="I121" i="5" a="1"/>
  <c r="I121" i="5"/>
  <c r="H121" i="5" a="1"/>
  <c r="H121" i="5"/>
  <c r="G121" i="5"/>
  <c r="M215" i="5"/>
  <c r="L215" i="5"/>
  <c r="B215" i="5"/>
  <c r="K215" i="5"/>
  <c r="J215" i="5"/>
  <c r="I215" i="5" a="1"/>
  <c r="I215" i="5"/>
  <c r="H215" i="5" a="1"/>
  <c r="H215" i="5"/>
  <c r="G215" i="5"/>
  <c r="P215" i="5"/>
  <c r="F215" i="5"/>
  <c r="O215" i="5"/>
  <c r="N215" i="5"/>
  <c r="K169" i="5"/>
  <c r="J169" i="5"/>
  <c r="I169" i="5" a="1"/>
  <c r="I169" i="5"/>
  <c r="H169" i="5" a="1"/>
  <c r="H169" i="5"/>
  <c r="G169" i="5"/>
  <c r="P169" i="5"/>
  <c r="F169" i="5"/>
  <c r="O169" i="5"/>
  <c r="N169" i="5"/>
  <c r="M169" i="5"/>
  <c r="L169" i="5"/>
  <c r="B169" i="5"/>
  <c r="G204" i="5"/>
  <c r="P204" i="5"/>
  <c r="F204" i="5"/>
  <c r="O204" i="5"/>
  <c r="N204" i="5"/>
  <c r="M204" i="5"/>
  <c r="L204" i="5"/>
  <c r="B204" i="5"/>
  <c r="K204" i="5"/>
  <c r="J204" i="5"/>
  <c r="I204" i="5" a="1"/>
  <c r="I204" i="5"/>
  <c r="H204" i="5" a="1"/>
  <c r="H204" i="5"/>
  <c r="P170" i="5"/>
  <c r="F170" i="5"/>
  <c r="O170" i="5"/>
  <c r="N170" i="5"/>
  <c r="M170" i="5"/>
  <c r="L170" i="5"/>
  <c r="B170" i="5"/>
  <c r="K170" i="5"/>
  <c r="J170" i="5"/>
  <c r="I170" i="5" a="1"/>
  <c r="I170" i="5"/>
  <c r="H170" i="5" a="1"/>
  <c r="H170" i="5"/>
  <c r="G170" i="5"/>
  <c r="M317" i="5"/>
  <c r="L317" i="5"/>
  <c r="B317" i="5"/>
  <c r="K317" i="5"/>
  <c r="J317" i="5"/>
  <c r="I317" i="5" a="1"/>
  <c r="I317" i="5"/>
  <c r="H317" i="5" a="1"/>
  <c r="H317" i="5"/>
  <c r="G317" i="5"/>
  <c r="P317" i="5"/>
  <c r="F317" i="5"/>
  <c r="O317" i="5"/>
  <c r="N317" i="5"/>
  <c r="K283" i="5"/>
  <c r="J283" i="5"/>
  <c r="I283" i="5" a="1"/>
  <c r="I283" i="5"/>
  <c r="H283" i="5" a="1"/>
  <c r="H283" i="5"/>
  <c r="G283" i="5"/>
  <c r="P283" i="5"/>
  <c r="F283" i="5"/>
  <c r="O283" i="5"/>
  <c r="N283" i="5"/>
  <c r="M283" i="5"/>
  <c r="L283" i="5"/>
  <c r="B283" i="5"/>
  <c r="G294" i="5"/>
  <c r="P294" i="5"/>
  <c r="F294" i="5"/>
  <c r="O294" i="5"/>
  <c r="N294" i="5"/>
  <c r="M294" i="5"/>
  <c r="L294" i="5"/>
  <c r="B294" i="5"/>
  <c r="K294" i="5"/>
  <c r="J294" i="5"/>
  <c r="I294" i="5" a="1"/>
  <c r="I294" i="5"/>
  <c r="H294" i="5" a="1"/>
  <c r="H294" i="5"/>
  <c r="M375" i="5"/>
  <c r="L375" i="5"/>
  <c r="B375" i="5"/>
  <c r="K375" i="5"/>
  <c r="J375" i="5"/>
  <c r="I375" i="5" a="1"/>
  <c r="I375" i="5"/>
  <c r="H375" i="5" a="1"/>
  <c r="H375" i="5"/>
  <c r="G375" i="5"/>
  <c r="P375" i="5"/>
  <c r="F375" i="5"/>
  <c r="O375" i="5"/>
  <c r="N375" i="5"/>
  <c r="L442" i="5"/>
  <c r="B442" i="5"/>
  <c r="K442" i="5"/>
  <c r="J442" i="5"/>
  <c r="I442" i="5" a="1"/>
  <c r="I442" i="5"/>
  <c r="H442" i="5" a="1"/>
  <c r="H442" i="5"/>
  <c r="G442" i="5"/>
  <c r="P442" i="5"/>
  <c r="F442" i="5"/>
  <c r="O442" i="5"/>
  <c r="N442" i="5"/>
  <c r="M442" i="5"/>
  <c r="H417" i="5" a="1"/>
  <c r="H417" i="5"/>
  <c r="G417" i="5"/>
  <c r="P417" i="5"/>
  <c r="F417" i="5"/>
  <c r="O417" i="5"/>
  <c r="N417" i="5"/>
  <c r="M417" i="5"/>
  <c r="L417" i="5"/>
  <c r="B417" i="5"/>
  <c r="K417" i="5"/>
  <c r="J417" i="5"/>
  <c r="I417" i="5" a="1"/>
  <c r="I417" i="5"/>
  <c r="N392" i="5"/>
  <c r="M392" i="5"/>
  <c r="L392" i="5"/>
  <c r="B392" i="5"/>
  <c r="K392" i="5"/>
  <c r="J392" i="5"/>
  <c r="I392" i="5" a="1"/>
  <c r="I392" i="5"/>
  <c r="H392" i="5" a="1"/>
  <c r="H392" i="5"/>
  <c r="G392" i="5"/>
  <c r="P392" i="5"/>
  <c r="F392" i="5"/>
  <c r="O392" i="5"/>
  <c r="K491" i="5"/>
  <c r="J491" i="5"/>
  <c r="I491" i="5" a="1"/>
  <c r="I491" i="5"/>
  <c r="H491" i="5" a="1"/>
  <c r="H491" i="5"/>
  <c r="G491" i="5"/>
  <c r="P491" i="5"/>
  <c r="F491" i="5"/>
  <c r="O491" i="5"/>
  <c r="N491" i="5"/>
  <c r="M491" i="5"/>
  <c r="L491" i="5"/>
  <c r="B491" i="5"/>
  <c r="L540" i="5"/>
  <c r="B540" i="5"/>
  <c r="K540" i="5"/>
  <c r="J540" i="5"/>
  <c r="I540" i="5" a="1"/>
  <c r="I540" i="5"/>
  <c r="H540" i="5" a="1"/>
  <c r="H540" i="5"/>
  <c r="G540" i="5"/>
  <c r="P540" i="5"/>
  <c r="F540" i="5"/>
  <c r="O540" i="5"/>
  <c r="N540" i="5"/>
  <c r="M540" i="5"/>
  <c r="M602" i="5"/>
  <c r="L602" i="5"/>
  <c r="B602" i="5"/>
  <c r="K602" i="5"/>
  <c r="J602" i="5"/>
  <c r="I602" i="5" a="1"/>
  <c r="I602" i="5"/>
  <c r="H602" i="5" a="1"/>
  <c r="H602" i="5"/>
  <c r="G602" i="5"/>
  <c r="P602" i="5"/>
  <c r="F602" i="5"/>
  <c r="O602" i="5"/>
  <c r="N602" i="5"/>
  <c r="G591" i="5"/>
  <c r="P591" i="5"/>
  <c r="F591" i="5"/>
  <c r="O591" i="5"/>
  <c r="N591" i="5"/>
  <c r="M591" i="5"/>
  <c r="L591" i="5"/>
  <c r="B591" i="5"/>
  <c r="K591" i="5"/>
  <c r="J591" i="5"/>
  <c r="H591" i="5" a="1"/>
  <c r="H591" i="5"/>
  <c r="I591" i="5" a="1"/>
  <c r="I591" i="5"/>
  <c r="L692" i="5"/>
  <c r="B692" i="5"/>
  <c r="K692" i="5"/>
  <c r="J692" i="5"/>
  <c r="I692" i="5" a="1"/>
  <c r="I692" i="5"/>
  <c r="H692" i="5" a="1"/>
  <c r="H692" i="5"/>
  <c r="G692" i="5"/>
  <c r="P692" i="5"/>
  <c r="F692" i="5"/>
  <c r="M692" i="5"/>
  <c r="O692" i="5"/>
  <c r="N692" i="5"/>
  <c r="K735" i="5"/>
  <c r="J735" i="5"/>
  <c r="I735" i="5" a="1"/>
  <c r="I735" i="5"/>
  <c r="H735" i="5" a="1"/>
  <c r="H735" i="5"/>
  <c r="G735" i="5"/>
  <c r="P735" i="5"/>
  <c r="F735" i="5"/>
  <c r="O735" i="5"/>
  <c r="N735" i="5"/>
  <c r="M735" i="5"/>
  <c r="L735" i="5"/>
  <c r="B735" i="5"/>
  <c r="K793" i="5"/>
  <c r="J793" i="5"/>
  <c r="I793" i="5" a="1"/>
  <c r="I793" i="5"/>
  <c r="G793" i="5"/>
  <c r="P793" i="5"/>
  <c r="F793" i="5"/>
  <c r="O793" i="5"/>
  <c r="B793" i="5"/>
  <c r="N793" i="5"/>
  <c r="M793" i="5"/>
  <c r="L793" i="5"/>
  <c r="H793" i="5" a="1"/>
  <c r="H793" i="5"/>
  <c r="H797" i="5" a="1"/>
  <c r="H797" i="5"/>
  <c r="G797" i="5"/>
  <c r="P797" i="5"/>
  <c r="F797" i="5"/>
  <c r="M797" i="5"/>
  <c r="L797" i="5"/>
  <c r="B797" i="5"/>
  <c r="K797" i="5"/>
  <c r="O797" i="5"/>
  <c r="N797" i="5"/>
  <c r="J797" i="5"/>
  <c r="I797" i="5" a="1"/>
  <c r="I797" i="5"/>
  <c r="K812" i="5"/>
  <c r="G812" i="5"/>
  <c r="I812" i="5" a="1"/>
  <c r="I812" i="5"/>
  <c r="H812" i="5" a="1"/>
  <c r="H812" i="5"/>
  <c r="F812" i="5"/>
  <c r="P812" i="5"/>
  <c r="O812" i="5"/>
  <c r="N812" i="5"/>
  <c r="B812" i="5"/>
  <c r="M812" i="5"/>
  <c r="L812" i="5"/>
  <c r="J812" i="5"/>
  <c r="N851" i="5"/>
  <c r="I851" i="5" a="1"/>
  <c r="I851" i="5"/>
  <c r="K851" i="5"/>
  <c r="P851" i="5"/>
  <c r="O851" i="5"/>
  <c r="B851" i="5"/>
  <c r="M851" i="5"/>
  <c r="H851" i="5" a="1"/>
  <c r="H851" i="5"/>
  <c r="G851" i="5"/>
  <c r="F851" i="5"/>
  <c r="J851" i="5"/>
  <c r="L851" i="5"/>
  <c r="L877" i="5"/>
  <c r="B877" i="5"/>
  <c r="J877" i="5"/>
  <c r="I877" i="5" a="1"/>
  <c r="I877" i="5"/>
  <c r="M877" i="5"/>
  <c r="K877" i="5"/>
  <c r="P877" i="5"/>
  <c r="G877" i="5"/>
  <c r="F877" i="5"/>
  <c r="O877" i="5"/>
  <c r="N877" i="5"/>
  <c r="H877" i="5" a="1"/>
  <c r="H877" i="5"/>
  <c r="H57" i="5" a="1"/>
  <c r="H57" i="5"/>
  <c r="G57" i="5"/>
  <c r="P57" i="5"/>
  <c r="F57" i="5"/>
  <c r="O57" i="5"/>
  <c r="N57" i="5"/>
  <c r="M57" i="5"/>
  <c r="L57" i="5"/>
  <c r="B57" i="5"/>
  <c r="K57" i="5"/>
  <c r="J57" i="5"/>
  <c r="I57" i="5" a="1"/>
  <c r="I57" i="5"/>
  <c r="H575" i="5" a="1"/>
  <c r="H575" i="5"/>
  <c r="G575" i="5"/>
  <c r="P575" i="5"/>
  <c r="F575" i="5"/>
  <c r="O575" i="5"/>
  <c r="N575" i="5"/>
  <c r="M575" i="5"/>
  <c r="L575" i="5"/>
  <c r="B575" i="5"/>
  <c r="K575" i="5"/>
  <c r="J575" i="5"/>
  <c r="I575" i="5" a="1"/>
  <c r="I575" i="5"/>
  <c r="H221" i="5" a="1"/>
  <c r="H221" i="5"/>
  <c r="G221" i="5"/>
  <c r="P221" i="5"/>
  <c r="F221" i="5"/>
  <c r="O221" i="5"/>
  <c r="N221" i="5"/>
  <c r="M221" i="5"/>
  <c r="L221" i="5"/>
  <c r="B221" i="5"/>
  <c r="K221" i="5"/>
  <c r="J221" i="5"/>
  <c r="I221" i="5" a="1"/>
  <c r="I221" i="5"/>
  <c r="H596" i="5" a="1"/>
  <c r="H596" i="5"/>
  <c r="G596" i="5"/>
  <c r="P596" i="5"/>
  <c r="F596" i="5"/>
  <c r="O596" i="5"/>
  <c r="N596" i="5"/>
  <c r="M596" i="5"/>
  <c r="L596" i="5"/>
  <c r="B596" i="5"/>
  <c r="K596" i="5"/>
  <c r="J596" i="5"/>
  <c r="I596" i="5" a="1"/>
  <c r="I596" i="5"/>
  <c r="G90" i="5"/>
  <c r="P90" i="5"/>
  <c r="F90" i="5"/>
  <c r="O90" i="5"/>
  <c r="N90" i="5"/>
  <c r="M90" i="5"/>
  <c r="L90" i="5"/>
  <c r="B90" i="5"/>
  <c r="K90" i="5"/>
  <c r="J90" i="5"/>
  <c r="I90" i="5" a="1"/>
  <c r="I90" i="5"/>
  <c r="H90" i="5" a="1"/>
  <c r="H90" i="5"/>
  <c r="H357" i="5" a="1"/>
  <c r="H357" i="5"/>
  <c r="G357" i="5"/>
  <c r="P357" i="5"/>
  <c r="F357" i="5"/>
  <c r="O357" i="5"/>
  <c r="N357" i="5"/>
  <c r="M357" i="5"/>
  <c r="L357" i="5"/>
  <c r="B357" i="5"/>
  <c r="K357" i="5"/>
  <c r="J357" i="5"/>
  <c r="I357" i="5" a="1"/>
  <c r="I357" i="5"/>
  <c r="J867" i="5"/>
  <c r="G867" i="5"/>
  <c r="F867" i="5"/>
  <c r="H867" i="5" a="1"/>
  <c r="H867" i="5"/>
  <c r="O867" i="5"/>
  <c r="L867" i="5"/>
  <c r="I867" i="5" a="1"/>
  <c r="I867" i="5"/>
  <c r="K867" i="5"/>
  <c r="P867" i="5"/>
  <c r="N867" i="5"/>
  <c r="M867" i="5"/>
  <c r="B867" i="5"/>
  <c r="G407" i="5"/>
  <c r="P407" i="5"/>
  <c r="F407" i="5"/>
  <c r="O407" i="5"/>
  <c r="N407" i="5"/>
  <c r="M407" i="5"/>
  <c r="L407" i="5"/>
  <c r="B407" i="5"/>
  <c r="K407" i="5"/>
  <c r="J407" i="5"/>
  <c r="I407" i="5" a="1"/>
  <c r="I407" i="5"/>
  <c r="H407" i="5" a="1"/>
  <c r="H407" i="5"/>
  <c r="I219" i="5" a="1"/>
  <c r="I219" i="5"/>
  <c r="H219" i="5" a="1"/>
  <c r="H219" i="5"/>
  <c r="G219" i="5"/>
  <c r="P219" i="5"/>
  <c r="F219" i="5"/>
  <c r="O219" i="5"/>
  <c r="N219" i="5"/>
  <c r="M219" i="5"/>
  <c r="L219" i="5"/>
  <c r="B219" i="5"/>
  <c r="K219" i="5"/>
  <c r="J219" i="5"/>
  <c r="N518" i="5"/>
  <c r="M518" i="5"/>
  <c r="L518" i="5"/>
  <c r="B518" i="5"/>
  <c r="K518" i="5"/>
  <c r="J518" i="5"/>
  <c r="I518" i="5" a="1"/>
  <c r="I518" i="5"/>
  <c r="H518" i="5" a="1"/>
  <c r="H518" i="5"/>
  <c r="G518" i="5"/>
  <c r="P518" i="5"/>
  <c r="F518" i="5"/>
  <c r="O518" i="5"/>
  <c r="M810" i="5"/>
  <c r="H810" i="5" a="1"/>
  <c r="H810" i="5"/>
  <c r="G810" i="5"/>
  <c r="F810" i="5"/>
  <c r="P810" i="5"/>
  <c r="O810" i="5"/>
  <c r="B810" i="5"/>
  <c r="N810" i="5"/>
  <c r="L810" i="5"/>
  <c r="K810" i="5"/>
  <c r="J810" i="5"/>
  <c r="I810" i="5" a="1"/>
  <c r="I810" i="5"/>
  <c r="J326" i="5"/>
  <c r="I326" i="5" a="1"/>
  <c r="I326" i="5"/>
  <c r="H326" i="5" a="1"/>
  <c r="H326" i="5"/>
  <c r="G326" i="5"/>
  <c r="P326" i="5"/>
  <c r="F326" i="5"/>
  <c r="O326" i="5"/>
  <c r="N326" i="5"/>
  <c r="M326" i="5"/>
  <c r="L326" i="5"/>
  <c r="B326" i="5"/>
  <c r="K326" i="5"/>
  <c r="G627" i="5"/>
  <c r="P627" i="5"/>
  <c r="F627" i="5"/>
  <c r="O627" i="5"/>
  <c r="N627" i="5"/>
  <c r="M627" i="5"/>
  <c r="L627" i="5"/>
  <c r="B627" i="5"/>
  <c r="K627" i="5"/>
  <c r="J627" i="5"/>
  <c r="I627" i="5" a="1"/>
  <c r="I627" i="5"/>
  <c r="H627" i="5" a="1"/>
  <c r="H627" i="5"/>
  <c r="N899" i="5"/>
  <c r="I899" i="5" a="1"/>
  <c r="I899" i="5"/>
  <c r="K899" i="5"/>
  <c r="J899" i="5"/>
  <c r="M899" i="5"/>
  <c r="H899" i="5" a="1"/>
  <c r="H899" i="5"/>
  <c r="G899" i="5"/>
  <c r="P899" i="5"/>
  <c r="O899" i="5"/>
  <c r="B899" i="5"/>
  <c r="L899" i="5"/>
  <c r="F899" i="5"/>
  <c r="G490" i="5"/>
  <c r="P490" i="5"/>
  <c r="F490" i="5"/>
  <c r="O490" i="5"/>
  <c r="N490" i="5"/>
  <c r="M490" i="5"/>
  <c r="L490" i="5"/>
  <c r="B490" i="5"/>
  <c r="K490" i="5"/>
  <c r="J490" i="5"/>
  <c r="I490" i="5" a="1"/>
  <c r="I490" i="5"/>
  <c r="H490" i="5" a="1"/>
  <c r="H490" i="5"/>
  <c r="L786" i="5"/>
  <c r="B786" i="5"/>
  <c r="P786" i="5"/>
  <c r="O786" i="5"/>
  <c r="N786" i="5"/>
  <c r="M786" i="5"/>
  <c r="K786" i="5"/>
  <c r="J786" i="5"/>
  <c r="I786" i="5" a="1"/>
  <c r="I786" i="5"/>
  <c r="H786" i="5" a="1"/>
  <c r="H786" i="5"/>
  <c r="G786" i="5"/>
  <c r="F786" i="5"/>
  <c r="I285" i="5" a="1"/>
  <c r="I285" i="5"/>
  <c r="H285" i="5" a="1"/>
  <c r="H285" i="5"/>
  <c r="G285" i="5"/>
  <c r="P285" i="5"/>
  <c r="F285" i="5"/>
  <c r="O285" i="5"/>
  <c r="N285" i="5"/>
  <c r="M285" i="5"/>
  <c r="L285" i="5"/>
  <c r="B285" i="5"/>
  <c r="K285" i="5"/>
  <c r="J285" i="5"/>
  <c r="I561" i="5" a="1"/>
  <c r="I561" i="5"/>
  <c r="H561" i="5" a="1"/>
  <c r="H561" i="5"/>
  <c r="G561" i="5"/>
  <c r="P561" i="5"/>
  <c r="F561" i="5"/>
  <c r="O561" i="5"/>
  <c r="N561" i="5"/>
  <c r="M561" i="5"/>
  <c r="L561" i="5"/>
  <c r="B561" i="5"/>
  <c r="K561" i="5"/>
  <c r="J561" i="5"/>
  <c r="N828" i="5"/>
  <c r="K828" i="5"/>
  <c r="H828" i="5" a="1"/>
  <c r="H828" i="5"/>
  <c r="P828" i="5"/>
  <c r="G828" i="5"/>
  <c r="F828" i="5"/>
  <c r="B828" i="5"/>
  <c r="O828" i="5"/>
  <c r="M828" i="5"/>
  <c r="L828" i="5"/>
  <c r="J828" i="5"/>
  <c r="I828" i="5" a="1"/>
  <c r="I828" i="5"/>
  <c r="G502" i="5"/>
  <c r="P502" i="5"/>
  <c r="F502" i="5"/>
  <c r="O502" i="5"/>
  <c r="N502" i="5"/>
  <c r="M502" i="5"/>
  <c r="L502" i="5"/>
  <c r="B502" i="5"/>
  <c r="K502" i="5"/>
  <c r="J502" i="5"/>
  <c r="I502" i="5" a="1"/>
  <c r="I502" i="5"/>
  <c r="H502" i="5" a="1"/>
  <c r="H502" i="5"/>
  <c r="H441" i="5" a="1"/>
  <c r="H441" i="5"/>
  <c r="G441" i="5"/>
  <c r="P441" i="5"/>
  <c r="F441" i="5"/>
  <c r="O441" i="5"/>
  <c r="N441" i="5"/>
  <c r="M441" i="5"/>
  <c r="L441" i="5"/>
  <c r="B441" i="5"/>
  <c r="K441" i="5"/>
  <c r="J441" i="5"/>
  <c r="I441" i="5" a="1"/>
  <c r="I441" i="5"/>
  <c r="N286" i="5"/>
  <c r="M286" i="5"/>
  <c r="L286" i="5"/>
  <c r="B286" i="5"/>
  <c r="K286" i="5"/>
  <c r="J286" i="5"/>
  <c r="I286" i="5" a="1"/>
  <c r="I286" i="5"/>
  <c r="H286" i="5" a="1"/>
  <c r="H286" i="5"/>
  <c r="G286" i="5"/>
  <c r="P286" i="5"/>
  <c r="F286" i="5"/>
  <c r="O286" i="5"/>
  <c r="G546" i="5"/>
  <c r="P546" i="5"/>
  <c r="F546" i="5"/>
  <c r="O546" i="5"/>
  <c r="N546" i="5"/>
  <c r="M546" i="5"/>
  <c r="L546" i="5"/>
  <c r="B546" i="5"/>
  <c r="K546" i="5"/>
  <c r="J546" i="5"/>
  <c r="I546" i="5" a="1"/>
  <c r="I546" i="5"/>
  <c r="H546" i="5" a="1"/>
  <c r="H546" i="5"/>
  <c r="J103" i="5"/>
  <c r="I103" i="5" a="1"/>
  <c r="I103" i="5"/>
  <c r="H103" i="5" a="1"/>
  <c r="H103" i="5"/>
  <c r="G103" i="5"/>
  <c r="P103" i="5"/>
  <c r="F103" i="5"/>
  <c r="O103" i="5"/>
  <c r="N103" i="5"/>
  <c r="M103" i="5"/>
  <c r="L103" i="5"/>
  <c r="B103" i="5"/>
  <c r="K103" i="5"/>
  <c r="L4" i="5"/>
  <c r="B4" i="5"/>
  <c r="K4" i="5"/>
  <c r="G4" i="5"/>
  <c r="P4" i="5"/>
  <c r="F4" i="5"/>
  <c r="G5" i="5"/>
  <c r="P5" i="5"/>
  <c r="F5" i="5"/>
  <c r="L5" i="5"/>
  <c r="B5" i="5"/>
  <c r="K5" i="5"/>
  <c r="L101" i="5"/>
  <c r="B101" i="5"/>
  <c r="K101" i="5"/>
  <c r="J101" i="5"/>
  <c r="I101" i="5" a="1"/>
  <c r="I101" i="5"/>
  <c r="H101" i="5" a="1"/>
  <c r="H101" i="5"/>
  <c r="G101" i="5"/>
  <c r="P101" i="5"/>
  <c r="F101" i="5"/>
  <c r="O101" i="5"/>
  <c r="N101" i="5"/>
  <c r="M101" i="5"/>
  <c r="G47" i="5"/>
  <c r="P47" i="5"/>
  <c r="F47" i="5"/>
  <c r="O47" i="5"/>
  <c r="N47" i="5"/>
  <c r="M47" i="5"/>
  <c r="L47" i="5"/>
  <c r="B47" i="5"/>
  <c r="K47" i="5"/>
  <c r="J47" i="5"/>
  <c r="I47" i="5" a="1"/>
  <c r="I47" i="5"/>
  <c r="H47" i="5" a="1"/>
  <c r="H47" i="5"/>
  <c r="K145" i="5"/>
  <c r="J145" i="5"/>
  <c r="I145" i="5" a="1"/>
  <c r="I145" i="5"/>
  <c r="G145" i="5"/>
  <c r="P145" i="5"/>
  <c r="F145" i="5"/>
  <c r="O145" i="5"/>
  <c r="L145" i="5"/>
  <c r="B145" i="5"/>
  <c r="H145" i="5" a="1"/>
  <c r="H145" i="5"/>
  <c r="N145" i="5"/>
  <c r="M145" i="5"/>
  <c r="M227" i="5"/>
  <c r="L227" i="5"/>
  <c r="B227" i="5"/>
  <c r="K227" i="5"/>
  <c r="J227" i="5"/>
  <c r="I227" i="5" a="1"/>
  <c r="I227" i="5"/>
  <c r="H227" i="5" a="1"/>
  <c r="H227" i="5"/>
  <c r="G227" i="5"/>
  <c r="P227" i="5"/>
  <c r="F227" i="5"/>
  <c r="O227" i="5"/>
  <c r="N227" i="5"/>
  <c r="K181" i="5"/>
  <c r="J181" i="5"/>
  <c r="I181" i="5" a="1"/>
  <c r="I181" i="5"/>
  <c r="H181" i="5" a="1"/>
  <c r="H181" i="5"/>
  <c r="G181" i="5"/>
  <c r="P181" i="5"/>
  <c r="F181" i="5"/>
  <c r="O181" i="5"/>
  <c r="N181" i="5"/>
  <c r="M181" i="5"/>
  <c r="L181" i="5"/>
  <c r="B181" i="5"/>
  <c r="G216" i="5"/>
  <c r="P216" i="5"/>
  <c r="F216" i="5"/>
  <c r="O216" i="5"/>
  <c r="N216" i="5"/>
  <c r="M216" i="5"/>
  <c r="L216" i="5"/>
  <c r="B216" i="5"/>
  <c r="K216" i="5"/>
  <c r="J216" i="5"/>
  <c r="I216" i="5" a="1"/>
  <c r="I216" i="5"/>
  <c r="H216" i="5" a="1"/>
  <c r="H216" i="5"/>
  <c r="P182" i="5"/>
  <c r="F182" i="5"/>
  <c r="O182" i="5"/>
  <c r="N182" i="5"/>
  <c r="M182" i="5"/>
  <c r="L182" i="5"/>
  <c r="B182" i="5"/>
  <c r="K182" i="5"/>
  <c r="J182" i="5"/>
  <c r="I182" i="5" a="1"/>
  <c r="I182" i="5"/>
  <c r="H182" i="5" a="1"/>
  <c r="H182" i="5"/>
  <c r="G182" i="5"/>
  <c r="M329" i="5"/>
  <c r="L329" i="5"/>
  <c r="B329" i="5"/>
  <c r="K329" i="5"/>
  <c r="J329" i="5"/>
  <c r="I329" i="5" a="1"/>
  <c r="I329" i="5"/>
  <c r="H329" i="5" a="1"/>
  <c r="H329" i="5"/>
  <c r="G329" i="5"/>
  <c r="P329" i="5"/>
  <c r="F329" i="5"/>
  <c r="O329" i="5"/>
  <c r="N329" i="5"/>
  <c r="K295" i="5"/>
  <c r="J295" i="5"/>
  <c r="I295" i="5" a="1"/>
  <c r="I295" i="5"/>
  <c r="H295" i="5" a="1"/>
  <c r="H295" i="5"/>
  <c r="G295" i="5"/>
  <c r="P295" i="5"/>
  <c r="F295" i="5"/>
  <c r="O295" i="5"/>
  <c r="N295" i="5"/>
  <c r="M295" i="5"/>
  <c r="L295" i="5"/>
  <c r="B295" i="5"/>
  <c r="G306" i="5"/>
  <c r="P306" i="5"/>
  <c r="F306" i="5"/>
  <c r="O306" i="5"/>
  <c r="N306" i="5"/>
  <c r="M306" i="5"/>
  <c r="L306" i="5"/>
  <c r="B306" i="5"/>
  <c r="K306" i="5"/>
  <c r="J306" i="5"/>
  <c r="I306" i="5" a="1"/>
  <c r="I306" i="5"/>
  <c r="H306" i="5" a="1"/>
  <c r="H306" i="5"/>
  <c r="M387" i="5"/>
  <c r="L387" i="5"/>
  <c r="B387" i="5"/>
  <c r="K387" i="5"/>
  <c r="J387" i="5"/>
  <c r="I387" i="5" a="1"/>
  <c r="I387" i="5"/>
  <c r="H387" i="5" a="1"/>
  <c r="H387" i="5"/>
  <c r="G387" i="5"/>
  <c r="P387" i="5"/>
  <c r="F387" i="5"/>
  <c r="O387" i="5"/>
  <c r="N387" i="5"/>
  <c r="L454" i="5"/>
  <c r="B454" i="5"/>
  <c r="K454" i="5"/>
  <c r="J454" i="5"/>
  <c r="I454" i="5" a="1"/>
  <c r="I454" i="5"/>
  <c r="H454" i="5" a="1"/>
  <c r="H454" i="5"/>
  <c r="G454" i="5"/>
  <c r="P454" i="5"/>
  <c r="F454" i="5"/>
  <c r="O454" i="5"/>
  <c r="N454" i="5"/>
  <c r="M454" i="5"/>
  <c r="G431" i="5"/>
  <c r="P431" i="5"/>
  <c r="F431" i="5"/>
  <c r="O431" i="5"/>
  <c r="N431" i="5"/>
  <c r="M431" i="5"/>
  <c r="L431" i="5"/>
  <c r="B431" i="5"/>
  <c r="K431" i="5"/>
  <c r="J431" i="5"/>
  <c r="I431" i="5" a="1"/>
  <c r="I431" i="5"/>
  <c r="H431" i="5" a="1"/>
  <c r="H431" i="5"/>
  <c r="N416" i="5"/>
  <c r="M416" i="5"/>
  <c r="L416" i="5"/>
  <c r="B416" i="5"/>
  <c r="K416" i="5"/>
  <c r="J416" i="5"/>
  <c r="I416" i="5" a="1"/>
  <c r="I416" i="5"/>
  <c r="H416" i="5" a="1"/>
  <c r="H416" i="5"/>
  <c r="G416" i="5"/>
  <c r="P416" i="5"/>
  <c r="F416" i="5"/>
  <c r="O416" i="5"/>
  <c r="K503" i="5"/>
  <c r="J503" i="5"/>
  <c r="I503" i="5" a="1"/>
  <c r="I503" i="5"/>
  <c r="H503" i="5" a="1"/>
  <c r="H503" i="5"/>
  <c r="G503" i="5"/>
  <c r="P503" i="5"/>
  <c r="F503" i="5"/>
  <c r="O503" i="5"/>
  <c r="N503" i="5"/>
  <c r="M503" i="5"/>
  <c r="L503" i="5"/>
  <c r="B503" i="5"/>
  <c r="L552" i="5"/>
  <c r="B552" i="5"/>
  <c r="K552" i="5"/>
  <c r="J552" i="5"/>
  <c r="I552" i="5" a="1"/>
  <c r="I552" i="5"/>
  <c r="H552" i="5" a="1"/>
  <c r="H552" i="5"/>
  <c r="G552" i="5"/>
  <c r="P552" i="5"/>
  <c r="F552" i="5"/>
  <c r="O552" i="5"/>
  <c r="N552" i="5"/>
  <c r="M552" i="5"/>
  <c r="M614" i="5"/>
  <c r="L614" i="5"/>
  <c r="B614" i="5"/>
  <c r="K614" i="5"/>
  <c r="J614" i="5"/>
  <c r="I614" i="5" a="1"/>
  <c r="I614" i="5"/>
  <c r="H614" i="5" a="1"/>
  <c r="H614" i="5"/>
  <c r="G614" i="5"/>
  <c r="P614" i="5"/>
  <c r="F614" i="5"/>
  <c r="O614" i="5"/>
  <c r="N614" i="5"/>
  <c r="L636" i="5"/>
  <c r="B636" i="5"/>
  <c r="K636" i="5"/>
  <c r="J636" i="5"/>
  <c r="I636" i="5" a="1"/>
  <c r="I636" i="5"/>
  <c r="H636" i="5" a="1"/>
  <c r="H636" i="5"/>
  <c r="G636" i="5"/>
  <c r="P636" i="5"/>
  <c r="F636" i="5"/>
  <c r="M636" i="5"/>
  <c r="O636" i="5"/>
  <c r="N636" i="5"/>
  <c r="P656" i="5"/>
  <c r="F656" i="5"/>
  <c r="O656" i="5"/>
  <c r="N656" i="5"/>
  <c r="M656" i="5"/>
  <c r="L656" i="5"/>
  <c r="B656" i="5"/>
  <c r="K656" i="5"/>
  <c r="J656" i="5"/>
  <c r="I656" i="5" a="1"/>
  <c r="I656" i="5"/>
  <c r="H656" i="5" a="1"/>
  <c r="H656" i="5"/>
  <c r="G656" i="5"/>
  <c r="G698" i="5"/>
  <c r="P698" i="5"/>
  <c r="F698" i="5"/>
  <c r="O698" i="5"/>
  <c r="N698" i="5"/>
  <c r="M698" i="5"/>
  <c r="L698" i="5"/>
  <c r="B698" i="5"/>
  <c r="K698" i="5"/>
  <c r="J698" i="5"/>
  <c r="I698" i="5" a="1"/>
  <c r="I698" i="5"/>
  <c r="H698" i="5" a="1"/>
  <c r="H698" i="5"/>
  <c r="K752" i="5"/>
  <c r="J752" i="5"/>
  <c r="I752" i="5" a="1"/>
  <c r="I752" i="5"/>
  <c r="H752" i="5" a="1"/>
  <c r="H752" i="5"/>
  <c r="G752" i="5"/>
  <c r="P752" i="5"/>
  <c r="F752" i="5"/>
  <c r="O752" i="5"/>
  <c r="N752" i="5"/>
  <c r="L752" i="5"/>
  <c r="B752" i="5"/>
  <c r="M752" i="5"/>
  <c r="M803" i="5"/>
  <c r="L803" i="5"/>
  <c r="B803" i="5"/>
  <c r="K803" i="5"/>
  <c r="J803" i="5"/>
  <c r="H803" i="5" a="1"/>
  <c r="H803" i="5"/>
  <c r="G803" i="5"/>
  <c r="N803" i="5"/>
  <c r="P803" i="5"/>
  <c r="O803" i="5"/>
  <c r="I803" i="5" a="1"/>
  <c r="I803" i="5"/>
  <c r="F803" i="5"/>
  <c r="G818" i="5"/>
  <c r="K818" i="5"/>
  <c r="I818" i="5" a="1"/>
  <c r="I818" i="5"/>
  <c r="H818" i="5" a="1"/>
  <c r="H818" i="5"/>
  <c r="F818" i="5"/>
  <c r="P818" i="5"/>
  <c r="O818" i="5"/>
  <c r="N818" i="5"/>
  <c r="B818" i="5"/>
  <c r="M818" i="5"/>
  <c r="L818" i="5"/>
  <c r="J818" i="5"/>
  <c r="L842" i="5"/>
  <c r="B842" i="5"/>
  <c r="I842" i="5" a="1"/>
  <c r="I842" i="5"/>
  <c r="H842" i="5" a="1"/>
  <c r="H842" i="5"/>
  <c r="G842" i="5"/>
  <c r="F842" i="5"/>
  <c r="P842" i="5"/>
  <c r="O842" i="5"/>
  <c r="N842" i="5"/>
  <c r="M842" i="5"/>
  <c r="K842" i="5"/>
  <c r="J842" i="5"/>
  <c r="L853" i="5"/>
  <c r="B853" i="5"/>
  <c r="J853" i="5"/>
  <c r="M853" i="5"/>
  <c r="O853" i="5"/>
  <c r="I853" i="5" a="1"/>
  <c r="I853" i="5"/>
  <c r="H853" i="5" a="1"/>
  <c r="H853" i="5"/>
  <c r="G853" i="5"/>
  <c r="P853" i="5"/>
  <c r="N853" i="5"/>
  <c r="K853" i="5"/>
  <c r="F853" i="5"/>
  <c r="H129" i="5" a="1"/>
  <c r="H129" i="5"/>
  <c r="G129" i="5"/>
  <c r="P129" i="5"/>
  <c r="F129" i="5"/>
  <c r="O129" i="5"/>
  <c r="N129" i="5"/>
  <c r="M129" i="5"/>
  <c r="L129" i="5"/>
  <c r="B129" i="5"/>
  <c r="K129" i="5"/>
  <c r="J129" i="5"/>
  <c r="I129" i="5" a="1"/>
  <c r="I129" i="5"/>
  <c r="G558" i="5"/>
  <c r="P558" i="5"/>
  <c r="F558" i="5"/>
  <c r="O558" i="5"/>
  <c r="N558" i="5"/>
  <c r="M558" i="5"/>
  <c r="L558" i="5"/>
  <c r="B558" i="5"/>
  <c r="K558" i="5"/>
  <c r="J558" i="5"/>
  <c r="I558" i="5" a="1"/>
  <c r="I558" i="5"/>
  <c r="H558" i="5" a="1"/>
  <c r="H558" i="5"/>
  <c r="O213" i="5"/>
  <c r="N213" i="5"/>
  <c r="M213" i="5"/>
  <c r="L213" i="5"/>
  <c r="B213" i="5"/>
  <c r="K213" i="5"/>
  <c r="J213" i="5"/>
  <c r="I213" i="5" a="1"/>
  <c r="I213" i="5"/>
  <c r="H213" i="5" a="1"/>
  <c r="H213" i="5"/>
  <c r="G213" i="5"/>
  <c r="P213" i="5"/>
  <c r="F213" i="5"/>
  <c r="H688" i="5" a="1"/>
  <c r="H688" i="5"/>
  <c r="G688" i="5"/>
  <c r="P688" i="5"/>
  <c r="F688" i="5"/>
  <c r="O688" i="5"/>
  <c r="N688" i="5"/>
  <c r="M688" i="5"/>
  <c r="L688" i="5"/>
  <c r="B688" i="5"/>
  <c r="K688" i="5"/>
  <c r="J688" i="5"/>
  <c r="I688" i="5" a="1"/>
  <c r="I688" i="5"/>
  <c r="G192" i="5"/>
  <c r="P192" i="5"/>
  <c r="F192" i="5"/>
  <c r="O192" i="5"/>
  <c r="N192" i="5"/>
  <c r="M192" i="5"/>
  <c r="L192" i="5"/>
  <c r="B192" i="5"/>
  <c r="K192" i="5"/>
  <c r="J192" i="5"/>
  <c r="I192" i="5" a="1"/>
  <c r="I192" i="5"/>
  <c r="H192" i="5" a="1"/>
  <c r="H192" i="5"/>
  <c r="K679" i="5"/>
  <c r="J679" i="5"/>
  <c r="I679" i="5" a="1"/>
  <c r="I679" i="5"/>
  <c r="H679" i="5" a="1"/>
  <c r="H679" i="5"/>
  <c r="G679" i="5"/>
  <c r="P679" i="5"/>
  <c r="F679" i="5"/>
  <c r="O679" i="5"/>
  <c r="N679" i="5"/>
  <c r="M679" i="5"/>
  <c r="L679" i="5"/>
  <c r="B679" i="5"/>
  <c r="H166" i="5" a="1"/>
  <c r="H166" i="5"/>
  <c r="G166" i="5"/>
  <c r="P166" i="5"/>
  <c r="F166" i="5"/>
  <c r="O166" i="5"/>
  <c r="N166" i="5"/>
  <c r="M166" i="5"/>
  <c r="L166" i="5"/>
  <c r="B166" i="5"/>
  <c r="K166" i="5"/>
  <c r="J166" i="5"/>
  <c r="I166" i="5" a="1"/>
  <c r="I166" i="5"/>
  <c r="G565" i="5"/>
  <c r="P565" i="5"/>
  <c r="F565" i="5"/>
  <c r="O565" i="5"/>
  <c r="N565" i="5"/>
  <c r="M565" i="5"/>
  <c r="L565" i="5"/>
  <c r="B565" i="5"/>
  <c r="K565" i="5"/>
  <c r="J565" i="5"/>
  <c r="I565" i="5" a="1"/>
  <c r="I565" i="5"/>
  <c r="H565" i="5" a="1"/>
  <c r="H565" i="5"/>
  <c r="I839" i="5" a="1"/>
  <c r="I839" i="5"/>
  <c r="P839" i="5"/>
  <c r="F839" i="5"/>
  <c r="O839" i="5"/>
  <c r="K839" i="5"/>
  <c r="J839" i="5"/>
  <c r="B839" i="5"/>
  <c r="H839" i="5" a="1"/>
  <c r="H839" i="5"/>
  <c r="G839" i="5"/>
  <c r="N839" i="5"/>
  <c r="M839" i="5"/>
  <c r="L839" i="5"/>
  <c r="H280" i="5" a="1"/>
  <c r="H280" i="5"/>
  <c r="G280" i="5"/>
  <c r="P280" i="5"/>
  <c r="F280" i="5"/>
  <c r="O280" i="5"/>
  <c r="N280" i="5"/>
  <c r="M280" i="5"/>
  <c r="L280" i="5"/>
  <c r="B280" i="5"/>
  <c r="K280" i="5"/>
  <c r="J280" i="5"/>
  <c r="I280" i="5" a="1"/>
  <c r="I280" i="5"/>
  <c r="G598" i="5"/>
  <c r="P598" i="5"/>
  <c r="F598" i="5"/>
  <c r="O598" i="5"/>
  <c r="N598" i="5"/>
  <c r="M598" i="5"/>
  <c r="L598" i="5"/>
  <c r="B598" i="5"/>
  <c r="K598" i="5"/>
  <c r="J598" i="5"/>
  <c r="I598" i="5" a="1"/>
  <c r="I598" i="5"/>
  <c r="H598" i="5" a="1"/>
  <c r="H598" i="5"/>
  <c r="N99" i="5"/>
  <c r="M99" i="5"/>
  <c r="L99" i="5"/>
  <c r="B99" i="5"/>
  <c r="K99" i="5"/>
  <c r="J99" i="5"/>
  <c r="I99" i="5" a="1"/>
  <c r="I99" i="5"/>
  <c r="H99" i="5" a="1"/>
  <c r="H99" i="5"/>
  <c r="G99" i="5"/>
  <c r="P99" i="5"/>
  <c r="F99" i="5"/>
  <c r="O99" i="5"/>
  <c r="J554" i="5"/>
  <c r="I554" i="5" a="1"/>
  <c r="I554" i="5"/>
  <c r="H554" i="5" a="1"/>
  <c r="H554" i="5"/>
  <c r="G554" i="5"/>
  <c r="P554" i="5"/>
  <c r="F554" i="5"/>
  <c r="O554" i="5"/>
  <c r="N554" i="5"/>
  <c r="M554" i="5"/>
  <c r="L554" i="5"/>
  <c r="B554" i="5"/>
  <c r="K554" i="5"/>
  <c r="M822" i="5"/>
  <c r="H822" i="5" a="1"/>
  <c r="H822" i="5"/>
  <c r="G822" i="5"/>
  <c r="F822" i="5"/>
  <c r="P822" i="5"/>
  <c r="O822" i="5"/>
  <c r="B822" i="5"/>
  <c r="N822" i="5"/>
  <c r="L822" i="5"/>
  <c r="K822" i="5"/>
  <c r="J822" i="5"/>
  <c r="I822" i="5" a="1"/>
  <c r="I822" i="5"/>
  <c r="H292" i="5" a="1"/>
  <c r="H292" i="5"/>
  <c r="G292" i="5"/>
  <c r="P292" i="5"/>
  <c r="F292" i="5"/>
  <c r="O292" i="5"/>
  <c r="N292" i="5"/>
  <c r="M292" i="5"/>
  <c r="L292" i="5"/>
  <c r="B292" i="5"/>
  <c r="K292" i="5"/>
  <c r="J292" i="5"/>
  <c r="I292" i="5" a="1"/>
  <c r="I292" i="5"/>
  <c r="H532" i="5" a="1"/>
  <c r="H532" i="5"/>
  <c r="G532" i="5"/>
  <c r="P532" i="5"/>
  <c r="F532" i="5"/>
  <c r="O532" i="5"/>
  <c r="N532" i="5"/>
  <c r="M532" i="5"/>
  <c r="L532" i="5"/>
  <c r="B532" i="5"/>
  <c r="K532" i="5"/>
  <c r="I532" i="5" a="1"/>
  <c r="I532" i="5"/>
  <c r="J532" i="5"/>
  <c r="G869" i="5"/>
  <c r="I869" i="5" a="1"/>
  <c r="I869" i="5"/>
  <c r="L869" i="5"/>
  <c r="H869" i="5" a="1"/>
  <c r="H869" i="5"/>
  <c r="O869" i="5"/>
  <c r="N869" i="5"/>
  <c r="M869" i="5"/>
  <c r="K869" i="5"/>
  <c r="J869" i="5"/>
  <c r="F869" i="5"/>
  <c r="P869" i="5"/>
  <c r="B869" i="5"/>
  <c r="J578" i="5"/>
  <c r="I578" i="5" a="1"/>
  <c r="I578" i="5"/>
  <c r="H578" i="5" a="1"/>
  <c r="H578" i="5"/>
  <c r="G578" i="5"/>
  <c r="P578" i="5"/>
  <c r="F578" i="5"/>
  <c r="O578" i="5"/>
  <c r="N578" i="5"/>
  <c r="M578" i="5"/>
  <c r="L578" i="5"/>
  <c r="B578" i="5"/>
  <c r="K578" i="5"/>
  <c r="G400" i="5"/>
  <c r="P400" i="5"/>
  <c r="F400" i="5"/>
  <c r="O400" i="5"/>
  <c r="N400" i="5"/>
  <c r="M400" i="5"/>
  <c r="L400" i="5"/>
  <c r="B400" i="5"/>
  <c r="K400" i="5"/>
  <c r="J400" i="5"/>
  <c r="I400" i="5" a="1"/>
  <c r="I400" i="5"/>
  <c r="H400" i="5" a="1"/>
  <c r="H400" i="5"/>
  <c r="G240" i="5"/>
  <c r="P240" i="5"/>
  <c r="F240" i="5"/>
  <c r="O240" i="5"/>
  <c r="N240" i="5"/>
  <c r="M240" i="5"/>
  <c r="L240" i="5"/>
  <c r="B240" i="5"/>
  <c r="K240" i="5"/>
  <c r="J240" i="5"/>
  <c r="I240" i="5" a="1"/>
  <c r="I240" i="5"/>
  <c r="H240" i="5" a="1"/>
  <c r="H240" i="5"/>
  <c r="G529" i="5"/>
  <c r="P529" i="5"/>
  <c r="F529" i="5"/>
  <c r="O529" i="5"/>
  <c r="N529" i="5"/>
  <c r="M529" i="5"/>
  <c r="L529" i="5"/>
  <c r="B529" i="5"/>
  <c r="K529" i="5"/>
  <c r="J529" i="5"/>
  <c r="I529" i="5" a="1"/>
  <c r="I529" i="5"/>
  <c r="H529" i="5" a="1"/>
  <c r="H529" i="5"/>
  <c r="O56" i="5"/>
  <c r="N56" i="5"/>
  <c r="M56" i="5"/>
  <c r="L56" i="5"/>
  <c r="B56" i="5"/>
  <c r="K56" i="5"/>
  <c r="J56" i="5"/>
  <c r="I56" i="5" a="1"/>
  <c r="I56" i="5"/>
  <c r="H56" i="5" a="1"/>
  <c r="H56" i="5"/>
  <c r="G56" i="5"/>
  <c r="P56" i="5"/>
  <c r="F56" i="5"/>
  <c r="L16" i="5"/>
  <c r="B16" i="5"/>
  <c r="K16" i="5"/>
  <c r="G16" i="5"/>
  <c r="P16" i="5"/>
  <c r="F16" i="5"/>
  <c r="P7" i="5"/>
  <c r="F7" i="5"/>
  <c r="L7" i="5"/>
  <c r="B7" i="5"/>
  <c r="K7" i="5"/>
  <c r="G7" i="5"/>
  <c r="L113" i="5"/>
  <c r="B113" i="5"/>
  <c r="K113" i="5"/>
  <c r="J113" i="5"/>
  <c r="I113" i="5" a="1"/>
  <c r="I113" i="5"/>
  <c r="H113" i="5" a="1"/>
  <c r="H113" i="5"/>
  <c r="G113" i="5"/>
  <c r="P113" i="5"/>
  <c r="F113" i="5"/>
  <c r="O113" i="5"/>
  <c r="N113" i="5"/>
  <c r="M113" i="5"/>
  <c r="G59" i="5"/>
  <c r="P59" i="5"/>
  <c r="F59" i="5"/>
  <c r="O59" i="5"/>
  <c r="N59" i="5"/>
  <c r="M59" i="5"/>
  <c r="L59" i="5"/>
  <c r="B59" i="5"/>
  <c r="K59" i="5"/>
  <c r="J59" i="5"/>
  <c r="I59" i="5" a="1"/>
  <c r="I59" i="5"/>
  <c r="H59" i="5" a="1"/>
  <c r="H59" i="5"/>
  <c r="K157" i="5"/>
  <c r="J157" i="5"/>
  <c r="I157" i="5" a="1"/>
  <c r="I157" i="5"/>
  <c r="H157" i="5" a="1"/>
  <c r="H157" i="5"/>
  <c r="G157" i="5"/>
  <c r="P157" i="5"/>
  <c r="F157" i="5"/>
  <c r="O157" i="5"/>
  <c r="N157" i="5"/>
  <c r="M157" i="5"/>
  <c r="L157" i="5"/>
  <c r="B157" i="5"/>
  <c r="M239" i="5"/>
  <c r="L239" i="5"/>
  <c r="B239" i="5"/>
  <c r="K239" i="5"/>
  <c r="J239" i="5"/>
  <c r="I239" i="5" a="1"/>
  <c r="I239" i="5"/>
  <c r="H239" i="5" a="1"/>
  <c r="H239" i="5"/>
  <c r="G239" i="5"/>
  <c r="P239" i="5"/>
  <c r="F239" i="5"/>
  <c r="O239" i="5"/>
  <c r="N239" i="5"/>
  <c r="K193" i="5"/>
  <c r="J193" i="5"/>
  <c r="I193" i="5" a="1"/>
  <c r="I193" i="5"/>
  <c r="H193" i="5" a="1"/>
  <c r="H193" i="5"/>
  <c r="G193" i="5"/>
  <c r="P193" i="5"/>
  <c r="F193" i="5"/>
  <c r="O193" i="5"/>
  <c r="N193" i="5"/>
  <c r="M193" i="5"/>
  <c r="L193" i="5"/>
  <c r="B193" i="5"/>
  <c r="G228" i="5"/>
  <c r="P228" i="5"/>
  <c r="F228" i="5"/>
  <c r="O228" i="5"/>
  <c r="N228" i="5"/>
  <c r="M228" i="5"/>
  <c r="L228" i="5"/>
  <c r="B228" i="5"/>
  <c r="K228" i="5"/>
  <c r="J228" i="5"/>
  <c r="I228" i="5" a="1"/>
  <c r="I228" i="5"/>
  <c r="H228" i="5" a="1"/>
  <c r="H228" i="5"/>
  <c r="P194" i="5"/>
  <c r="F194" i="5"/>
  <c r="O194" i="5"/>
  <c r="N194" i="5"/>
  <c r="M194" i="5"/>
  <c r="L194" i="5"/>
  <c r="B194" i="5"/>
  <c r="K194" i="5"/>
  <c r="J194" i="5"/>
  <c r="I194" i="5" a="1"/>
  <c r="I194" i="5"/>
  <c r="H194" i="5" a="1"/>
  <c r="H194" i="5"/>
  <c r="G194" i="5"/>
  <c r="M341" i="5"/>
  <c r="L341" i="5"/>
  <c r="B341" i="5"/>
  <c r="K341" i="5"/>
  <c r="J341" i="5"/>
  <c r="I341" i="5" a="1"/>
  <c r="I341" i="5"/>
  <c r="H341" i="5" a="1"/>
  <c r="H341" i="5"/>
  <c r="G341" i="5"/>
  <c r="P341" i="5"/>
  <c r="F341" i="5"/>
  <c r="O341" i="5"/>
  <c r="N341" i="5"/>
  <c r="K307" i="5"/>
  <c r="J307" i="5"/>
  <c r="I307" i="5" a="1"/>
  <c r="I307" i="5"/>
  <c r="H307" i="5" a="1"/>
  <c r="H307" i="5"/>
  <c r="G307" i="5"/>
  <c r="P307" i="5"/>
  <c r="F307" i="5"/>
  <c r="O307" i="5"/>
  <c r="N307" i="5"/>
  <c r="M307" i="5"/>
  <c r="L307" i="5"/>
  <c r="B307" i="5"/>
  <c r="G318" i="5"/>
  <c r="P318" i="5"/>
  <c r="F318" i="5"/>
  <c r="O318" i="5"/>
  <c r="N318" i="5"/>
  <c r="M318" i="5"/>
  <c r="L318" i="5"/>
  <c r="B318" i="5"/>
  <c r="K318" i="5"/>
  <c r="J318" i="5"/>
  <c r="I318" i="5" a="1"/>
  <c r="I318" i="5"/>
  <c r="H318" i="5" a="1"/>
  <c r="H318" i="5"/>
  <c r="M399" i="5"/>
  <c r="L399" i="5"/>
  <c r="B399" i="5"/>
  <c r="K399" i="5"/>
  <c r="J399" i="5"/>
  <c r="I399" i="5" a="1"/>
  <c r="I399" i="5"/>
  <c r="H399" i="5" a="1"/>
  <c r="H399" i="5"/>
  <c r="G399" i="5"/>
  <c r="P399" i="5"/>
  <c r="F399" i="5"/>
  <c r="O399" i="5"/>
  <c r="N399" i="5"/>
  <c r="K365" i="5"/>
  <c r="J365" i="5"/>
  <c r="I365" i="5" a="1"/>
  <c r="I365" i="5"/>
  <c r="H365" i="5" a="1"/>
  <c r="H365" i="5"/>
  <c r="G365" i="5"/>
  <c r="P365" i="5"/>
  <c r="F365" i="5"/>
  <c r="O365" i="5"/>
  <c r="N365" i="5"/>
  <c r="M365" i="5"/>
  <c r="L365" i="5"/>
  <c r="B365" i="5"/>
  <c r="P354" i="5"/>
  <c r="F354" i="5"/>
  <c r="O354" i="5"/>
  <c r="N354" i="5"/>
  <c r="M354" i="5"/>
  <c r="L354" i="5"/>
  <c r="B354" i="5"/>
  <c r="K354" i="5"/>
  <c r="J354" i="5"/>
  <c r="I354" i="5" a="1"/>
  <c r="I354" i="5"/>
  <c r="H354" i="5" a="1"/>
  <c r="H354" i="5"/>
  <c r="G354" i="5"/>
  <c r="M465" i="5"/>
  <c r="L465" i="5"/>
  <c r="B465" i="5"/>
  <c r="K465" i="5"/>
  <c r="J465" i="5"/>
  <c r="I465" i="5" a="1"/>
  <c r="I465" i="5"/>
  <c r="H465" i="5" a="1"/>
  <c r="H465" i="5"/>
  <c r="G465" i="5"/>
  <c r="N465" i="5"/>
  <c r="P465" i="5"/>
  <c r="O465" i="5"/>
  <c r="F465" i="5"/>
  <c r="K515" i="5"/>
  <c r="J515" i="5"/>
  <c r="I515" i="5" a="1"/>
  <c r="I515" i="5"/>
  <c r="H515" i="5" a="1"/>
  <c r="H515" i="5"/>
  <c r="G515" i="5"/>
  <c r="P515" i="5"/>
  <c r="F515" i="5"/>
  <c r="O515" i="5"/>
  <c r="N515" i="5"/>
  <c r="M515" i="5"/>
  <c r="L515" i="5"/>
  <c r="B515" i="5"/>
  <c r="L564" i="5"/>
  <c r="B564" i="5"/>
  <c r="K564" i="5"/>
  <c r="J564" i="5"/>
  <c r="I564" i="5" a="1"/>
  <c r="I564" i="5"/>
  <c r="H564" i="5" a="1"/>
  <c r="H564" i="5"/>
  <c r="G564" i="5"/>
  <c r="P564" i="5"/>
  <c r="F564" i="5"/>
  <c r="O564" i="5"/>
  <c r="N564" i="5"/>
  <c r="M564" i="5"/>
  <c r="M626" i="5"/>
  <c r="L626" i="5"/>
  <c r="B626" i="5"/>
  <c r="K626" i="5"/>
  <c r="J626" i="5"/>
  <c r="I626" i="5" a="1"/>
  <c r="I626" i="5"/>
  <c r="H626" i="5" a="1"/>
  <c r="H626" i="5"/>
  <c r="G626" i="5"/>
  <c r="P626" i="5"/>
  <c r="F626" i="5"/>
  <c r="O626" i="5"/>
  <c r="N626" i="5"/>
  <c r="M641" i="5"/>
  <c r="L641" i="5"/>
  <c r="B641" i="5"/>
  <c r="K641" i="5"/>
  <c r="J641" i="5"/>
  <c r="I641" i="5" a="1"/>
  <c r="I641" i="5"/>
  <c r="H641" i="5" a="1"/>
  <c r="H641" i="5"/>
  <c r="G641" i="5"/>
  <c r="N641" i="5"/>
  <c r="P641" i="5"/>
  <c r="O641" i="5"/>
  <c r="F641" i="5"/>
  <c r="M697" i="5"/>
  <c r="L697" i="5"/>
  <c r="B697" i="5"/>
  <c r="K697" i="5"/>
  <c r="J697" i="5"/>
  <c r="I697" i="5" a="1"/>
  <c r="I697" i="5"/>
  <c r="H697" i="5" a="1"/>
  <c r="H697" i="5"/>
  <c r="G697" i="5"/>
  <c r="P697" i="5"/>
  <c r="N697" i="5"/>
  <c r="O697" i="5"/>
  <c r="F697" i="5"/>
  <c r="P712" i="5"/>
  <c r="F712" i="5"/>
  <c r="O712" i="5"/>
  <c r="N712" i="5"/>
  <c r="M712" i="5"/>
  <c r="L712" i="5"/>
  <c r="B712" i="5"/>
  <c r="K712" i="5"/>
  <c r="J712" i="5"/>
  <c r="I712" i="5" a="1"/>
  <c r="I712" i="5"/>
  <c r="H712" i="5" a="1"/>
  <c r="H712" i="5"/>
  <c r="G712" i="5"/>
  <c r="K764" i="5"/>
  <c r="J764" i="5"/>
  <c r="I764" i="5" a="1"/>
  <c r="I764" i="5"/>
  <c r="H764" i="5" a="1"/>
  <c r="H764" i="5"/>
  <c r="G764" i="5"/>
  <c r="P764" i="5"/>
  <c r="F764" i="5"/>
  <c r="O764" i="5"/>
  <c r="N764" i="5"/>
  <c r="M764" i="5"/>
  <c r="L764" i="5"/>
  <c r="B764" i="5"/>
  <c r="L811" i="5"/>
  <c r="B811" i="5"/>
  <c r="O811" i="5"/>
  <c r="N811" i="5"/>
  <c r="M811" i="5"/>
  <c r="K811" i="5"/>
  <c r="J811" i="5"/>
  <c r="I811" i="5" a="1"/>
  <c r="I811" i="5"/>
  <c r="H811" i="5" a="1"/>
  <c r="H811" i="5"/>
  <c r="G811" i="5"/>
  <c r="P811" i="5"/>
  <c r="F811" i="5"/>
  <c r="K824" i="5"/>
  <c r="G824" i="5"/>
  <c r="I824" i="5" a="1"/>
  <c r="I824" i="5"/>
  <c r="H824" i="5" a="1"/>
  <c r="H824" i="5"/>
  <c r="F824" i="5"/>
  <c r="P824" i="5"/>
  <c r="O824" i="5"/>
  <c r="N824" i="5"/>
  <c r="B824" i="5"/>
  <c r="M824" i="5"/>
  <c r="L824" i="5"/>
  <c r="J824" i="5"/>
  <c r="H888" i="5" a="1"/>
  <c r="H888" i="5"/>
  <c r="J888" i="5"/>
  <c r="I888" i="5" a="1"/>
  <c r="I888" i="5"/>
  <c r="L888" i="5"/>
  <c r="K888" i="5"/>
  <c r="P888" i="5"/>
  <c r="M888" i="5"/>
  <c r="G888" i="5"/>
  <c r="F888" i="5"/>
  <c r="B888" i="5"/>
  <c r="O888" i="5"/>
  <c r="N888" i="5"/>
  <c r="I886" i="5" a="1"/>
  <c r="I886" i="5"/>
  <c r="H886" i="5" a="1"/>
  <c r="H886" i="5"/>
  <c r="K886" i="5"/>
  <c r="J886" i="5"/>
  <c r="P886" i="5"/>
  <c r="M886" i="5"/>
  <c r="G886" i="5"/>
  <c r="F886" i="5"/>
  <c r="O886" i="5"/>
  <c r="N886" i="5"/>
  <c r="L886" i="5"/>
  <c r="B886" i="5"/>
  <c r="I195" i="5" a="1"/>
  <c r="I195" i="5"/>
  <c r="H195" i="5" a="1"/>
  <c r="H195" i="5"/>
  <c r="G195" i="5"/>
  <c r="P195" i="5"/>
  <c r="F195" i="5"/>
  <c r="O195" i="5"/>
  <c r="N195" i="5"/>
  <c r="M195" i="5"/>
  <c r="L195" i="5"/>
  <c r="B195" i="5"/>
  <c r="K195" i="5"/>
  <c r="J195" i="5"/>
  <c r="H584" i="5" a="1"/>
  <c r="H584" i="5"/>
  <c r="G584" i="5"/>
  <c r="P584" i="5"/>
  <c r="F584" i="5"/>
  <c r="N584" i="5"/>
  <c r="M584" i="5"/>
  <c r="L584" i="5"/>
  <c r="B584" i="5"/>
  <c r="K584" i="5"/>
  <c r="O584" i="5"/>
  <c r="J584" i="5"/>
  <c r="I584" i="5" a="1"/>
  <c r="I584" i="5"/>
  <c r="I321" i="5" a="1"/>
  <c r="I321" i="5"/>
  <c r="H321" i="5" a="1"/>
  <c r="H321" i="5"/>
  <c r="G321" i="5"/>
  <c r="P321" i="5"/>
  <c r="F321" i="5"/>
  <c r="O321" i="5"/>
  <c r="N321" i="5"/>
  <c r="M321" i="5"/>
  <c r="L321" i="5"/>
  <c r="B321" i="5"/>
  <c r="K321" i="5"/>
  <c r="J321" i="5"/>
  <c r="H749" i="5" a="1"/>
  <c r="H749" i="5"/>
  <c r="G749" i="5"/>
  <c r="P749" i="5"/>
  <c r="F749" i="5"/>
  <c r="O749" i="5"/>
  <c r="N749" i="5"/>
  <c r="M749" i="5"/>
  <c r="L749" i="5"/>
  <c r="B749" i="5"/>
  <c r="I749" i="5" a="1"/>
  <c r="I749" i="5"/>
  <c r="K749" i="5"/>
  <c r="J749" i="5"/>
  <c r="H520" i="5" a="1"/>
  <c r="H520" i="5"/>
  <c r="G520" i="5"/>
  <c r="O520" i="5"/>
  <c r="N520" i="5"/>
  <c r="M520" i="5"/>
  <c r="L520" i="5"/>
  <c r="B520" i="5"/>
  <c r="I520" i="5" a="1"/>
  <c r="I520" i="5"/>
  <c r="P520" i="5"/>
  <c r="K520" i="5"/>
  <c r="J520" i="5"/>
  <c r="F520" i="5"/>
  <c r="L430" i="5"/>
  <c r="B430" i="5"/>
  <c r="K430" i="5"/>
  <c r="J430" i="5"/>
  <c r="I430" i="5" a="1"/>
  <c r="I430" i="5"/>
  <c r="H430" i="5" a="1"/>
  <c r="H430" i="5"/>
  <c r="G430" i="5"/>
  <c r="P430" i="5"/>
  <c r="F430" i="5"/>
  <c r="O430" i="5"/>
  <c r="N430" i="5"/>
  <c r="M430" i="5"/>
  <c r="H238" i="5" a="1"/>
  <c r="H238" i="5"/>
  <c r="G238" i="5"/>
  <c r="P238" i="5"/>
  <c r="F238" i="5"/>
  <c r="O238" i="5"/>
  <c r="N238" i="5"/>
  <c r="M238" i="5"/>
  <c r="L238" i="5"/>
  <c r="B238" i="5"/>
  <c r="K238" i="5"/>
  <c r="J238" i="5"/>
  <c r="I238" i="5" a="1"/>
  <c r="I238" i="5"/>
  <c r="J67" i="5"/>
  <c r="I67" i="5" a="1"/>
  <c r="I67" i="5"/>
  <c r="H67" i="5" a="1"/>
  <c r="H67" i="5"/>
  <c r="G67" i="5"/>
  <c r="P67" i="5"/>
  <c r="F67" i="5"/>
  <c r="O67" i="5"/>
  <c r="N67" i="5"/>
  <c r="M67" i="5"/>
  <c r="L67" i="5"/>
  <c r="B67" i="5"/>
  <c r="K67" i="5"/>
  <c r="M857" i="5"/>
  <c r="B857" i="5"/>
  <c r="L857" i="5"/>
  <c r="O857" i="5"/>
  <c r="K857" i="5"/>
  <c r="I857" i="5" a="1"/>
  <c r="I857" i="5"/>
  <c r="H857" i="5" a="1"/>
  <c r="H857" i="5"/>
  <c r="P857" i="5"/>
  <c r="N857" i="5"/>
  <c r="J857" i="5"/>
  <c r="F857" i="5"/>
  <c r="G857" i="5"/>
  <c r="H551" i="5" a="1"/>
  <c r="H551" i="5"/>
  <c r="G551" i="5"/>
  <c r="P551" i="5"/>
  <c r="F551" i="5"/>
  <c r="O551" i="5"/>
  <c r="N551" i="5"/>
  <c r="M551" i="5"/>
  <c r="L551" i="5"/>
  <c r="B551" i="5"/>
  <c r="K551" i="5"/>
  <c r="J551" i="5"/>
  <c r="I551" i="5" a="1"/>
  <c r="I551" i="5"/>
  <c r="N635" i="5"/>
  <c r="J635" i="5"/>
  <c r="I635" i="5" a="1"/>
  <c r="I635" i="5"/>
  <c r="H635" i="5" a="1"/>
  <c r="H635" i="5"/>
  <c r="G635" i="5"/>
  <c r="F635" i="5"/>
  <c r="P635" i="5"/>
  <c r="O635" i="5"/>
  <c r="M635" i="5"/>
  <c r="L635" i="5"/>
  <c r="B635" i="5"/>
  <c r="K635" i="5"/>
  <c r="O349" i="5"/>
  <c r="N349" i="5"/>
  <c r="L349" i="5"/>
  <c r="B349" i="5"/>
  <c r="J349" i="5"/>
  <c r="I349" i="5" a="1"/>
  <c r="I349" i="5"/>
  <c r="H349" i="5" a="1"/>
  <c r="H349" i="5"/>
  <c r="P349" i="5"/>
  <c r="M349" i="5"/>
  <c r="K349" i="5"/>
  <c r="G349" i="5"/>
  <c r="F349" i="5"/>
  <c r="P581" i="5"/>
  <c r="O581" i="5"/>
  <c r="N581" i="5"/>
  <c r="K581" i="5"/>
  <c r="I581" i="5" a="1"/>
  <c r="I581" i="5"/>
  <c r="B581" i="5"/>
  <c r="M581" i="5"/>
  <c r="L581" i="5"/>
  <c r="J581" i="5"/>
  <c r="H581" i="5" a="1"/>
  <c r="H581" i="5"/>
  <c r="G581" i="5"/>
  <c r="F581" i="5"/>
  <c r="I249" i="5" a="1"/>
  <c r="I249" i="5"/>
  <c r="H249" i="5" a="1"/>
  <c r="H249" i="5"/>
  <c r="P249" i="5"/>
  <c r="F249" i="5"/>
  <c r="O249" i="5"/>
  <c r="N249" i="5"/>
  <c r="M249" i="5"/>
  <c r="J249" i="5"/>
  <c r="L249" i="5"/>
  <c r="K249" i="5"/>
  <c r="G249" i="5"/>
  <c r="B249" i="5"/>
  <c r="L28" i="5"/>
  <c r="B28" i="5"/>
  <c r="K28" i="5"/>
  <c r="G28" i="5"/>
  <c r="P28" i="5"/>
  <c r="F28" i="5"/>
  <c r="P31" i="5"/>
  <c r="F31" i="5"/>
  <c r="O31" i="5"/>
  <c r="N31" i="5"/>
  <c r="M31" i="5"/>
  <c r="L31" i="5"/>
  <c r="B31" i="5"/>
  <c r="K31" i="5"/>
  <c r="J31" i="5"/>
  <c r="I31" i="5" a="1"/>
  <c r="I31" i="5"/>
  <c r="H31" i="5" a="1"/>
  <c r="H31" i="5"/>
  <c r="G31" i="5"/>
  <c r="L125" i="5"/>
  <c r="B125" i="5"/>
  <c r="K125" i="5"/>
  <c r="J125" i="5"/>
  <c r="I125" i="5" a="1"/>
  <c r="I125" i="5"/>
  <c r="H125" i="5" a="1"/>
  <c r="H125" i="5"/>
  <c r="G125" i="5"/>
  <c r="P125" i="5"/>
  <c r="F125" i="5"/>
  <c r="O125" i="5"/>
  <c r="N125" i="5"/>
  <c r="M125" i="5"/>
  <c r="G71" i="5"/>
  <c r="P71" i="5"/>
  <c r="F71" i="5"/>
  <c r="O71" i="5"/>
  <c r="N71" i="5"/>
  <c r="M71" i="5"/>
  <c r="L71" i="5"/>
  <c r="B71" i="5"/>
  <c r="K71" i="5"/>
  <c r="J71" i="5"/>
  <c r="I71" i="5" a="1"/>
  <c r="I71" i="5"/>
  <c r="H71" i="5" a="1"/>
  <c r="H71" i="5"/>
  <c r="O116" i="5"/>
  <c r="N116" i="5"/>
  <c r="M116" i="5"/>
  <c r="L116" i="5"/>
  <c r="B116" i="5"/>
  <c r="K116" i="5"/>
  <c r="J116" i="5"/>
  <c r="I116" i="5" a="1"/>
  <c r="I116" i="5"/>
  <c r="H116" i="5" a="1"/>
  <c r="H116" i="5"/>
  <c r="G116" i="5"/>
  <c r="P116" i="5"/>
  <c r="F116" i="5"/>
  <c r="L162" i="5"/>
  <c r="B162" i="5"/>
  <c r="K162" i="5"/>
  <c r="J162" i="5"/>
  <c r="I162" i="5" a="1"/>
  <c r="I162" i="5"/>
  <c r="H162" i="5" a="1"/>
  <c r="H162" i="5"/>
  <c r="G162" i="5"/>
  <c r="P162" i="5"/>
  <c r="F162" i="5"/>
  <c r="O162" i="5"/>
  <c r="N162" i="5"/>
  <c r="M162" i="5"/>
  <c r="K205" i="5"/>
  <c r="J205" i="5"/>
  <c r="I205" i="5" a="1"/>
  <c r="I205" i="5"/>
  <c r="H205" i="5" a="1"/>
  <c r="H205" i="5"/>
  <c r="G205" i="5"/>
  <c r="P205" i="5"/>
  <c r="F205" i="5"/>
  <c r="O205" i="5"/>
  <c r="N205" i="5"/>
  <c r="M205" i="5"/>
  <c r="L205" i="5"/>
  <c r="B205" i="5"/>
  <c r="G151" i="5"/>
  <c r="P151" i="5"/>
  <c r="F151" i="5"/>
  <c r="O151" i="5"/>
  <c r="N151" i="5"/>
  <c r="M151" i="5"/>
  <c r="L151" i="5"/>
  <c r="B151" i="5"/>
  <c r="K151" i="5"/>
  <c r="J151" i="5"/>
  <c r="I151" i="5" a="1"/>
  <c r="I151" i="5"/>
  <c r="H151" i="5" a="1"/>
  <c r="H151" i="5"/>
  <c r="P206" i="5"/>
  <c r="F206" i="5"/>
  <c r="O206" i="5"/>
  <c r="N206" i="5"/>
  <c r="M206" i="5"/>
  <c r="L206" i="5"/>
  <c r="B206" i="5"/>
  <c r="K206" i="5"/>
  <c r="J206" i="5"/>
  <c r="I206" i="5" a="1"/>
  <c r="I206" i="5"/>
  <c r="H206" i="5" a="1"/>
  <c r="H206" i="5"/>
  <c r="G206" i="5"/>
  <c r="L264" i="5"/>
  <c r="B264" i="5"/>
  <c r="K264" i="5"/>
  <c r="J264" i="5"/>
  <c r="I264" i="5" a="1"/>
  <c r="I264" i="5"/>
  <c r="H264" i="5" a="1"/>
  <c r="H264" i="5"/>
  <c r="G264" i="5"/>
  <c r="P264" i="5"/>
  <c r="F264" i="5"/>
  <c r="O264" i="5"/>
  <c r="N264" i="5"/>
  <c r="M264" i="5"/>
  <c r="K319" i="5"/>
  <c r="J319" i="5"/>
  <c r="I319" i="5" a="1"/>
  <c r="I319" i="5"/>
  <c r="H319" i="5" a="1"/>
  <c r="H319" i="5"/>
  <c r="G319" i="5"/>
  <c r="P319" i="5"/>
  <c r="F319" i="5"/>
  <c r="O319" i="5"/>
  <c r="N319" i="5"/>
  <c r="M319" i="5"/>
  <c r="L319" i="5"/>
  <c r="B319" i="5"/>
  <c r="G330" i="5"/>
  <c r="P330" i="5"/>
  <c r="F330" i="5"/>
  <c r="O330" i="5"/>
  <c r="N330" i="5"/>
  <c r="M330" i="5"/>
  <c r="L330" i="5"/>
  <c r="B330" i="5"/>
  <c r="K330" i="5"/>
  <c r="J330" i="5"/>
  <c r="I330" i="5" a="1"/>
  <c r="I330" i="5"/>
  <c r="H330" i="5" a="1"/>
  <c r="H330" i="5"/>
  <c r="M411" i="5"/>
  <c r="L411" i="5"/>
  <c r="B411" i="5"/>
  <c r="K411" i="5"/>
  <c r="J411" i="5"/>
  <c r="I411" i="5" a="1"/>
  <c r="I411" i="5"/>
  <c r="H411" i="5" a="1"/>
  <c r="H411" i="5"/>
  <c r="G411" i="5"/>
  <c r="P411" i="5"/>
  <c r="F411" i="5"/>
  <c r="O411" i="5"/>
  <c r="N411" i="5"/>
  <c r="K377" i="5"/>
  <c r="J377" i="5"/>
  <c r="I377" i="5" a="1"/>
  <c r="I377" i="5"/>
  <c r="H377" i="5" a="1"/>
  <c r="H377" i="5"/>
  <c r="G377" i="5"/>
  <c r="P377" i="5"/>
  <c r="F377" i="5"/>
  <c r="O377" i="5"/>
  <c r="N377" i="5"/>
  <c r="M377" i="5"/>
  <c r="L377" i="5"/>
  <c r="B377" i="5"/>
  <c r="P366" i="5"/>
  <c r="F366" i="5"/>
  <c r="O366" i="5"/>
  <c r="N366" i="5"/>
  <c r="M366" i="5"/>
  <c r="L366" i="5"/>
  <c r="B366" i="5"/>
  <c r="K366" i="5"/>
  <c r="J366" i="5"/>
  <c r="I366" i="5" a="1"/>
  <c r="I366" i="5"/>
  <c r="H366" i="5" a="1"/>
  <c r="H366" i="5"/>
  <c r="G366" i="5"/>
  <c r="M477" i="5"/>
  <c r="L477" i="5"/>
  <c r="B477" i="5"/>
  <c r="K477" i="5"/>
  <c r="J477" i="5"/>
  <c r="I477" i="5" a="1"/>
  <c r="I477" i="5"/>
  <c r="H477" i="5" a="1"/>
  <c r="H477" i="5"/>
  <c r="G477" i="5"/>
  <c r="P477" i="5"/>
  <c r="F477" i="5"/>
  <c r="O477" i="5"/>
  <c r="N477" i="5"/>
  <c r="K523" i="5"/>
  <c r="J523" i="5"/>
  <c r="I523" i="5" a="1"/>
  <c r="I523" i="5"/>
  <c r="H523" i="5" a="1"/>
  <c r="H523" i="5"/>
  <c r="G523" i="5"/>
  <c r="P523" i="5"/>
  <c r="F523" i="5"/>
  <c r="O523" i="5"/>
  <c r="L523" i="5"/>
  <c r="B523" i="5"/>
  <c r="N523" i="5"/>
  <c r="M523" i="5"/>
  <c r="L576" i="5"/>
  <c r="B576" i="5"/>
  <c r="K576" i="5"/>
  <c r="J576" i="5"/>
  <c r="I576" i="5" a="1"/>
  <c r="I576" i="5"/>
  <c r="H576" i="5" a="1"/>
  <c r="H576" i="5"/>
  <c r="G576" i="5"/>
  <c r="P576" i="5"/>
  <c r="F576" i="5"/>
  <c r="O576" i="5"/>
  <c r="N576" i="5"/>
  <c r="M576" i="5"/>
  <c r="K643" i="5"/>
  <c r="J643" i="5"/>
  <c r="I643" i="5" a="1"/>
  <c r="I643" i="5"/>
  <c r="H643" i="5" a="1"/>
  <c r="H643" i="5"/>
  <c r="G643" i="5"/>
  <c r="P643" i="5"/>
  <c r="F643" i="5"/>
  <c r="O643" i="5"/>
  <c r="L643" i="5"/>
  <c r="B643" i="5"/>
  <c r="N643" i="5"/>
  <c r="M643" i="5"/>
  <c r="M653" i="5"/>
  <c r="L653" i="5"/>
  <c r="B653" i="5"/>
  <c r="K653" i="5"/>
  <c r="J653" i="5"/>
  <c r="I653" i="5" a="1"/>
  <c r="I653" i="5"/>
  <c r="H653" i="5" a="1"/>
  <c r="H653" i="5"/>
  <c r="G653" i="5"/>
  <c r="P653" i="5"/>
  <c r="F653" i="5"/>
  <c r="O653" i="5"/>
  <c r="N653" i="5"/>
  <c r="M709" i="5"/>
  <c r="L709" i="5"/>
  <c r="B709" i="5"/>
  <c r="K709" i="5"/>
  <c r="J709" i="5"/>
  <c r="I709" i="5" a="1"/>
  <c r="I709" i="5"/>
  <c r="H709" i="5" a="1"/>
  <c r="H709" i="5"/>
  <c r="G709" i="5"/>
  <c r="P709" i="5"/>
  <c r="F709" i="5"/>
  <c r="O709" i="5"/>
  <c r="N709" i="5"/>
  <c r="P724" i="5"/>
  <c r="F724" i="5"/>
  <c r="O724" i="5"/>
  <c r="N724" i="5"/>
  <c r="M724" i="5"/>
  <c r="L724" i="5"/>
  <c r="B724" i="5"/>
  <c r="K724" i="5"/>
  <c r="J724" i="5"/>
  <c r="I724" i="5" a="1"/>
  <c r="I724" i="5"/>
  <c r="H724" i="5" a="1"/>
  <c r="H724" i="5"/>
  <c r="G724" i="5"/>
  <c r="K776" i="5"/>
  <c r="J776" i="5"/>
  <c r="I776" i="5" a="1"/>
  <c r="I776" i="5"/>
  <c r="H776" i="5" a="1"/>
  <c r="H776" i="5"/>
  <c r="G776" i="5"/>
  <c r="P776" i="5"/>
  <c r="F776" i="5"/>
  <c r="O776" i="5"/>
  <c r="N776" i="5"/>
  <c r="M776" i="5"/>
  <c r="L776" i="5"/>
  <c r="B776" i="5"/>
  <c r="L817" i="5"/>
  <c r="B817" i="5"/>
  <c r="O817" i="5"/>
  <c r="N817" i="5"/>
  <c r="M817" i="5"/>
  <c r="K817" i="5"/>
  <c r="J817" i="5"/>
  <c r="I817" i="5" a="1"/>
  <c r="I817" i="5"/>
  <c r="H817" i="5" a="1"/>
  <c r="H817" i="5"/>
  <c r="G817" i="5"/>
  <c r="F817" i="5"/>
  <c r="P817" i="5"/>
  <c r="K837" i="5"/>
  <c r="G837" i="5"/>
  <c r="N837" i="5"/>
  <c r="H837" i="5" a="1"/>
  <c r="H837" i="5"/>
  <c r="F837" i="5"/>
  <c r="O837" i="5"/>
  <c r="M837" i="5"/>
  <c r="L837" i="5"/>
  <c r="J837" i="5"/>
  <c r="I837" i="5" a="1"/>
  <c r="I837" i="5"/>
  <c r="B837" i="5"/>
  <c r="P837" i="5"/>
  <c r="G893" i="5"/>
  <c r="I893" i="5" a="1"/>
  <c r="I893" i="5"/>
  <c r="H893" i="5" a="1"/>
  <c r="H893" i="5"/>
  <c r="O893" i="5"/>
  <c r="L893" i="5"/>
  <c r="J893" i="5"/>
  <c r="F893" i="5"/>
  <c r="B893" i="5"/>
  <c r="P893" i="5"/>
  <c r="N893" i="5"/>
  <c r="M893" i="5"/>
  <c r="K893" i="5"/>
  <c r="K860" i="5"/>
  <c r="H860" i="5" a="1"/>
  <c r="H860" i="5"/>
  <c r="I860" i="5" a="1"/>
  <c r="I860" i="5"/>
  <c r="L860" i="5"/>
  <c r="G860" i="5"/>
  <c r="B860" i="5"/>
  <c r="P860" i="5"/>
  <c r="O860" i="5"/>
  <c r="N860" i="5"/>
  <c r="M860" i="5"/>
  <c r="J860" i="5"/>
  <c r="F860" i="5"/>
  <c r="H214" i="5" a="1"/>
  <c r="H214" i="5"/>
  <c r="G214" i="5"/>
  <c r="P214" i="5"/>
  <c r="F214" i="5"/>
  <c r="O214" i="5"/>
  <c r="N214" i="5"/>
  <c r="M214" i="5"/>
  <c r="L214" i="5"/>
  <c r="B214" i="5"/>
  <c r="K214" i="5"/>
  <c r="J214" i="5"/>
  <c r="I214" i="5" a="1"/>
  <c r="I214" i="5"/>
  <c r="H683" i="5" a="1"/>
  <c r="H683" i="5"/>
  <c r="G683" i="5"/>
  <c r="P683" i="5"/>
  <c r="F683" i="5"/>
  <c r="O683" i="5"/>
  <c r="N683" i="5"/>
  <c r="M683" i="5"/>
  <c r="L683" i="5"/>
  <c r="B683" i="5"/>
  <c r="K683" i="5"/>
  <c r="J683" i="5"/>
  <c r="I683" i="5" a="1"/>
  <c r="I683" i="5"/>
  <c r="G337" i="5"/>
  <c r="P337" i="5"/>
  <c r="F337" i="5"/>
  <c r="O337" i="5"/>
  <c r="N337" i="5"/>
  <c r="M337" i="5"/>
  <c r="L337" i="5"/>
  <c r="B337" i="5"/>
  <c r="K337" i="5"/>
  <c r="J337" i="5"/>
  <c r="I337" i="5" a="1"/>
  <c r="I337" i="5"/>
  <c r="H337" i="5" a="1"/>
  <c r="H337" i="5"/>
  <c r="G710" i="5"/>
  <c r="P710" i="5"/>
  <c r="F710" i="5"/>
  <c r="O710" i="5"/>
  <c r="N710" i="5"/>
  <c r="M710" i="5"/>
  <c r="L710" i="5"/>
  <c r="B710" i="5"/>
  <c r="K710" i="5"/>
  <c r="J710" i="5"/>
  <c r="I710" i="5" a="1"/>
  <c r="I710" i="5"/>
  <c r="H710" i="5" a="1"/>
  <c r="H710" i="5"/>
  <c r="G478" i="5"/>
  <c r="P478" i="5"/>
  <c r="F478" i="5"/>
  <c r="O478" i="5"/>
  <c r="N478" i="5"/>
  <c r="M478" i="5"/>
  <c r="L478" i="5"/>
  <c r="B478" i="5"/>
  <c r="K478" i="5"/>
  <c r="J478" i="5"/>
  <c r="I478" i="5" a="1"/>
  <c r="I478" i="5"/>
  <c r="H478" i="5" a="1"/>
  <c r="H478" i="5"/>
  <c r="J587" i="5"/>
  <c r="I587" i="5" a="1"/>
  <c r="I587" i="5"/>
  <c r="H587" i="5" a="1"/>
  <c r="H587" i="5"/>
  <c r="G587" i="5"/>
  <c r="P587" i="5"/>
  <c r="F587" i="5"/>
  <c r="O587" i="5"/>
  <c r="N587" i="5"/>
  <c r="K587" i="5"/>
  <c r="M587" i="5"/>
  <c r="L587" i="5"/>
  <c r="B587" i="5"/>
  <c r="P897" i="5"/>
  <c r="F897" i="5"/>
  <c r="H897" i="5" a="1"/>
  <c r="H897" i="5"/>
  <c r="J897" i="5"/>
  <c r="I897" i="5" a="1"/>
  <c r="I897" i="5"/>
  <c r="O897" i="5"/>
  <c r="L897" i="5"/>
  <c r="G897" i="5"/>
  <c r="K897" i="5"/>
  <c r="B897" i="5"/>
  <c r="M897" i="5"/>
  <c r="N897" i="5"/>
  <c r="L77" i="5"/>
  <c r="B77" i="5"/>
  <c r="K77" i="5"/>
  <c r="J77" i="5"/>
  <c r="I77" i="5" a="1"/>
  <c r="I77" i="5"/>
  <c r="H77" i="5" a="1"/>
  <c r="H77" i="5"/>
  <c r="G77" i="5"/>
  <c r="P77" i="5"/>
  <c r="F77" i="5"/>
  <c r="O77" i="5"/>
  <c r="N77" i="5"/>
  <c r="M77" i="5"/>
  <c r="G282" i="5"/>
  <c r="P282" i="5"/>
  <c r="F282" i="5"/>
  <c r="O282" i="5"/>
  <c r="N282" i="5"/>
  <c r="M282" i="5"/>
  <c r="L282" i="5"/>
  <c r="B282" i="5"/>
  <c r="K282" i="5"/>
  <c r="J282" i="5"/>
  <c r="I282" i="5" a="1"/>
  <c r="I282" i="5"/>
  <c r="H282" i="5" a="1"/>
  <c r="H282" i="5"/>
  <c r="O760" i="5"/>
  <c r="N760" i="5"/>
  <c r="M760" i="5"/>
  <c r="L760" i="5"/>
  <c r="B760" i="5"/>
  <c r="K760" i="5"/>
  <c r="J760" i="5"/>
  <c r="I760" i="5" a="1"/>
  <c r="I760" i="5"/>
  <c r="H760" i="5" a="1"/>
  <c r="H760" i="5"/>
  <c r="G760" i="5"/>
  <c r="P760" i="5"/>
  <c r="F760" i="5"/>
  <c r="J444" i="5"/>
  <c r="I444" i="5" a="1"/>
  <c r="I444" i="5"/>
  <c r="H444" i="5" a="1"/>
  <c r="H444" i="5"/>
  <c r="G444" i="5"/>
  <c r="P444" i="5"/>
  <c r="F444" i="5"/>
  <c r="O444" i="5"/>
  <c r="N444" i="5"/>
  <c r="M444" i="5"/>
  <c r="L444" i="5"/>
  <c r="B444" i="5"/>
  <c r="K444" i="5"/>
  <c r="I713" i="5" a="1"/>
  <c r="I713" i="5"/>
  <c r="H713" i="5" a="1"/>
  <c r="H713" i="5"/>
  <c r="G713" i="5"/>
  <c r="P713" i="5"/>
  <c r="F713" i="5"/>
  <c r="O713" i="5"/>
  <c r="N713" i="5"/>
  <c r="M713" i="5"/>
  <c r="L713" i="5"/>
  <c r="B713" i="5"/>
  <c r="K713" i="5"/>
  <c r="J713" i="5"/>
  <c r="H386" i="5" a="1"/>
  <c r="H386" i="5"/>
  <c r="G386" i="5"/>
  <c r="P386" i="5"/>
  <c r="F386" i="5"/>
  <c r="O386" i="5"/>
  <c r="N386" i="5"/>
  <c r="M386" i="5"/>
  <c r="L386" i="5"/>
  <c r="B386" i="5"/>
  <c r="K386" i="5"/>
  <c r="J386" i="5"/>
  <c r="I386" i="5" a="1"/>
  <c r="I386" i="5"/>
  <c r="I630" i="5" a="1"/>
  <c r="I630" i="5"/>
  <c r="H630" i="5" a="1"/>
  <c r="H630" i="5"/>
  <c r="G630" i="5"/>
  <c r="P630" i="5"/>
  <c r="F630" i="5"/>
  <c r="O630" i="5"/>
  <c r="N630" i="5"/>
  <c r="M630" i="5"/>
  <c r="L630" i="5"/>
  <c r="B630" i="5"/>
  <c r="K630" i="5"/>
  <c r="J630" i="5"/>
  <c r="H601" i="5" a="1"/>
  <c r="H601" i="5"/>
  <c r="G601" i="5"/>
  <c r="P601" i="5"/>
  <c r="F601" i="5"/>
  <c r="O601" i="5"/>
  <c r="N601" i="5"/>
  <c r="M601" i="5"/>
  <c r="L601" i="5"/>
  <c r="B601" i="5"/>
  <c r="K601" i="5"/>
  <c r="J601" i="5"/>
  <c r="I601" i="5" a="1"/>
  <c r="I601" i="5"/>
  <c r="N368" i="5"/>
  <c r="M368" i="5"/>
  <c r="L368" i="5"/>
  <c r="B368" i="5"/>
  <c r="K368" i="5"/>
  <c r="J368" i="5"/>
  <c r="I368" i="5" a="1"/>
  <c r="I368" i="5"/>
  <c r="H368" i="5" a="1"/>
  <c r="H368" i="5"/>
  <c r="G368" i="5"/>
  <c r="P368" i="5"/>
  <c r="O368" i="5"/>
  <c r="F368" i="5"/>
  <c r="O719" i="5"/>
  <c r="N719" i="5"/>
  <c r="M719" i="5"/>
  <c r="L719" i="5"/>
  <c r="B719" i="5"/>
  <c r="K719" i="5"/>
  <c r="J719" i="5"/>
  <c r="I719" i="5" a="1"/>
  <c r="I719" i="5"/>
  <c r="H719" i="5" a="1"/>
  <c r="H719" i="5"/>
  <c r="G719" i="5"/>
  <c r="P719" i="5"/>
  <c r="F719" i="5"/>
  <c r="H374" i="5" a="1"/>
  <c r="H374" i="5"/>
  <c r="G374" i="5"/>
  <c r="P374" i="5"/>
  <c r="F374" i="5"/>
  <c r="O374" i="5"/>
  <c r="N374" i="5"/>
  <c r="M374" i="5"/>
  <c r="L374" i="5"/>
  <c r="B374" i="5"/>
  <c r="K374" i="5"/>
  <c r="J374" i="5"/>
  <c r="I374" i="5" a="1"/>
  <c r="I374" i="5"/>
  <c r="H732" i="5" a="1"/>
  <c r="H732" i="5"/>
  <c r="G732" i="5"/>
  <c r="P732" i="5"/>
  <c r="F732" i="5"/>
  <c r="O732" i="5"/>
  <c r="N732" i="5"/>
  <c r="M732" i="5"/>
  <c r="L732" i="5"/>
  <c r="B732" i="5"/>
  <c r="K732" i="5"/>
  <c r="J732" i="5"/>
  <c r="I732" i="5" a="1"/>
  <c r="I732" i="5"/>
  <c r="I98" i="5" a="1"/>
  <c r="I98" i="5"/>
  <c r="H98" i="5" a="1"/>
  <c r="H98" i="5"/>
  <c r="G98" i="5"/>
  <c r="P98" i="5"/>
  <c r="F98" i="5"/>
  <c r="O98" i="5"/>
  <c r="N98" i="5"/>
  <c r="M98" i="5"/>
  <c r="L98" i="5"/>
  <c r="B98" i="5"/>
  <c r="K98" i="5"/>
  <c r="J98" i="5"/>
  <c r="G577" i="5"/>
  <c r="P577" i="5"/>
  <c r="F577" i="5"/>
  <c r="O577" i="5"/>
  <c r="N577" i="5"/>
  <c r="M577" i="5"/>
  <c r="L577" i="5"/>
  <c r="B577" i="5"/>
  <c r="K577" i="5"/>
  <c r="J577" i="5"/>
  <c r="I577" i="5" a="1"/>
  <c r="I577" i="5"/>
  <c r="H577" i="5" a="1"/>
  <c r="H577" i="5"/>
  <c r="N875" i="5"/>
  <c r="I875" i="5" a="1"/>
  <c r="I875" i="5"/>
  <c r="K875" i="5"/>
  <c r="B875" i="5"/>
  <c r="M875" i="5"/>
  <c r="J875" i="5"/>
  <c r="H875" i="5" a="1"/>
  <c r="H875" i="5"/>
  <c r="L875" i="5"/>
  <c r="G875" i="5"/>
  <c r="F875" i="5"/>
  <c r="P875" i="5"/>
  <c r="O875" i="5"/>
  <c r="H429" i="5" a="1"/>
  <c r="H429" i="5"/>
  <c r="G429" i="5"/>
  <c r="P429" i="5"/>
  <c r="F429" i="5"/>
  <c r="O429" i="5"/>
  <c r="N429" i="5"/>
  <c r="M429" i="5"/>
  <c r="L429" i="5"/>
  <c r="B429" i="5"/>
  <c r="K429" i="5"/>
  <c r="J429" i="5"/>
  <c r="I429" i="5" a="1"/>
  <c r="I429" i="5"/>
  <c r="H632" i="5" a="1"/>
  <c r="H632" i="5"/>
  <c r="G632" i="5"/>
  <c r="P632" i="5"/>
  <c r="F632" i="5"/>
  <c r="O632" i="5"/>
  <c r="N632" i="5"/>
  <c r="M632" i="5"/>
  <c r="L632" i="5"/>
  <c r="B632" i="5"/>
  <c r="K632" i="5"/>
  <c r="J632" i="5"/>
  <c r="I632" i="5" a="1"/>
  <c r="I632" i="5"/>
  <c r="J832" i="5"/>
  <c r="H832" i="5" a="1"/>
  <c r="H832" i="5"/>
  <c r="P832" i="5"/>
  <c r="F832" i="5"/>
  <c r="K832" i="5"/>
  <c r="G832" i="5"/>
  <c r="B832" i="5"/>
  <c r="O832" i="5"/>
  <c r="N832" i="5"/>
  <c r="M832" i="5"/>
  <c r="L832" i="5"/>
  <c r="I832" i="5" a="1"/>
  <c r="I832" i="5"/>
  <c r="G534" i="5"/>
  <c r="P534" i="5"/>
  <c r="F534" i="5"/>
  <c r="O534" i="5"/>
  <c r="N534" i="5"/>
  <c r="M534" i="5"/>
  <c r="L534" i="5"/>
  <c r="B534" i="5"/>
  <c r="K534" i="5"/>
  <c r="J534" i="5"/>
  <c r="I534" i="5" a="1"/>
  <c r="I534" i="5"/>
  <c r="H534" i="5" a="1"/>
  <c r="H534" i="5"/>
  <c r="G622" i="5"/>
  <c r="P622" i="5"/>
  <c r="F622" i="5"/>
  <c r="O622" i="5"/>
  <c r="N622" i="5"/>
  <c r="M622" i="5"/>
  <c r="L622" i="5"/>
  <c r="B622" i="5"/>
  <c r="K622" i="5"/>
  <c r="J622" i="5"/>
  <c r="I622" i="5" a="1"/>
  <c r="I622" i="5"/>
  <c r="H622" i="5" a="1"/>
  <c r="H622" i="5"/>
  <c r="J372" i="5"/>
  <c r="I372" i="5" a="1"/>
  <c r="I372" i="5"/>
  <c r="H372" i="5" a="1"/>
  <c r="H372" i="5"/>
  <c r="G372" i="5"/>
  <c r="P372" i="5"/>
  <c r="F372" i="5"/>
  <c r="O372" i="5"/>
  <c r="N372" i="5"/>
  <c r="M372" i="5"/>
  <c r="L372" i="5"/>
  <c r="K372" i="5"/>
  <c r="B372" i="5"/>
  <c r="I645" i="5" a="1"/>
  <c r="I645" i="5"/>
  <c r="H645" i="5" a="1"/>
  <c r="H645" i="5"/>
  <c r="G645" i="5"/>
  <c r="P645" i="5"/>
  <c r="F645" i="5"/>
  <c r="O645" i="5"/>
  <c r="N645" i="5"/>
  <c r="M645" i="5"/>
  <c r="J645" i="5"/>
  <c r="L645" i="5"/>
  <c r="K645" i="5"/>
  <c r="B645" i="5"/>
  <c r="H209" i="5" a="1"/>
  <c r="H209" i="5"/>
  <c r="G209" i="5"/>
  <c r="P209" i="5"/>
  <c r="F209" i="5"/>
  <c r="O209" i="5"/>
  <c r="N209" i="5"/>
  <c r="M209" i="5"/>
  <c r="L209" i="5"/>
  <c r="B209" i="5"/>
  <c r="K209" i="5"/>
  <c r="J209" i="5"/>
  <c r="I209" i="5" a="1"/>
  <c r="I209" i="5"/>
  <c r="L11" i="5"/>
  <c r="B11" i="5"/>
  <c r="K11" i="5"/>
  <c r="G11" i="5"/>
  <c r="P11" i="5"/>
  <c r="F11" i="5"/>
  <c r="M94" i="5"/>
  <c r="L94" i="5"/>
  <c r="B94" i="5"/>
  <c r="K94" i="5"/>
  <c r="J94" i="5"/>
  <c r="I94" i="5" a="1"/>
  <c r="I94" i="5"/>
  <c r="H94" i="5" a="1"/>
  <c r="H94" i="5"/>
  <c r="G94" i="5"/>
  <c r="P94" i="5"/>
  <c r="F94" i="5"/>
  <c r="O94" i="5"/>
  <c r="N94" i="5"/>
  <c r="L137" i="5"/>
  <c r="B137" i="5"/>
  <c r="K137" i="5"/>
  <c r="J137" i="5"/>
  <c r="I137" i="5" a="1"/>
  <c r="I137" i="5"/>
  <c r="H137" i="5" a="1"/>
  <c r="H137" i="5"/>
  <c r="G137" i="5"/>
  <c r="P137" i="5"/>
  <c r="F137" i="5"/>
  <c r="O137" i="5"/>
  <c r="N137" i="5"/>
  <c r="M137" i="5"/>
  <c r="G83" i="5"/>
  <c r="P83" i="5"/>
  <c r="F83" i="5"/>
  <c r="O83" i="5"/>
  <c r="N83" i="5"/>
  <c r="M83" i="5"/>
  <c r="L83" i="5"/>
  <c r="B83" i="5"/>
  <c r="K83" i="5"/>
  <c r="J83" i="5"/>
  <c r="I83" i="5" a="1"/>
  <c r="I83" i="5"/>
  <c r="H83" i="5" a="1"/>
  <c r="H83" i="5"/>
  <c r="O128" i="5"/>
  <c r="N128" i="5"/>
  <c r="M128" i="5"/>
  <c r="L128" i="5"/>
  <c r="B128" i="5"/>
  <c r="K128" i="5"/>
  <c r="J128" i="5"/>
  <c r="I128" i="5" a="1"/>
  <c r="I128" i="5"/>
  <c r="H128" i="5" a="1"/>
  <c r="H128" i="5"/>
  <c r="G128" i="5"/>
  <c r="P128" i="5"/>
  <c r="F128" i="5"/>
  <c r="L174" i="5"/>
  <c r="B174" i="5"/>
  <c r="K174" i="5"/>
  <c r="J174" i="5"/>
  <c r="I174" i="5" a="1"/>
  <c r="I174" i="5"/>
  <c r="H174" i="5" a="1"/>
  <c r="H174" i="5"/>
  <c r="G174" i="5"/>
  <c r="P174" i="5"/>
  <c r="F174" i="5"/>
  <c r="O174" i="5"/>
  <c r="N174" i="5"/>
  <c r="M174" i="5"/>
  <c r="K217" i="5"/>
  <c r="J217" i="5"/>
  <c r="I217" i="5" a="1"/>
  <c r="I217" i="5"/>
  <c r="H217" i="5" a="1"/>
  <c r="H217" i="5"/>
  <c r="G217" i="5"/>
  <c r="P217" i="5"/>
  <c r="F217" i="5"/>
  <c r="O217" i="5"/>
  <c r="N217" i="5"/>
  <c r="M217" i="5"/>
  <c r="L217" i="5"/>
  <c r="B217" i="5"/>
  <c r="G163" i="5"/>
  <c r="P163" i="5"/>
  <c r="F163" i="5"/>
  <c r="O163" i="5"/>
  <c r="N163" i="5"/>
  <c r="M163" i="5"/>
  <c r="L163" i="5"/>
  <c r="B163" i="5"/>
  <c r="K163" i="5"/>
  <c r="J163" i="5"/>
  <c r="I163" i="5" a="1"/>
  <c r="I163" i="5"/>
  <c r="H163" i="5" a="1"/>
  <c r="H163" i="5"/>
  <c r="P218" i="5"/>
  <c r="F218" i="5"/>
  <c r="O218" i="5"/>
  <c r="N218" i="5"/>
  <c r="M218" i="5"/>
  <c r="L218" i="5"/>
  <c r="B218" i="5"/>
  <c r="K218" i="5"/>
  <c r="J218" i="5"/>
  <c r="I218" i="5" a="1"/>
  <c r="I218" i="5"/>
  <c r="H218" i="5" a="1"/>
  <c r="H218" i="5"/>
  <c r="G218" i="5"/>
  <c r="L276" i="5"/>
  <c r="B276" i="5"/>
  <c r="K276" i="5"/>
  <c r="J276" i="5"/>
  <c r="I276" i="5" a="1"/>
  <c r="I276" i="5"/>
  <c r="H276" i="5" a="1"/>
  <c r="H276" i="5"/>
  <c r="G276" i="5"/>
  <c r="P276" i="5"/>
  <c r="F276" i="5"/>
  <c r="O276" i="5"/>
  <c r="N276" i="5"/>
  <c r="M276" i="5"/>
  <c r="K331" i="5"/>
  <c r="J331" i="5"/>
  <c r="I331" i="5" a="1"/>
  <c r="I331" i="5"/>
  <c r="H331" i="5" a="1"/>
  <c r="H331" i="5"/>
  <c r="G331" i="5"/>
  <c r="P331" i="5"/>
  <c r="F331" i="5"/>
  <c r="O331" i="5"/>
  <c r="N331" i="5"/>
  <c r="M331" i="5"/>
  <c r="L331" i="5"/>
  <c r="B331" i="5"/>
  <c r="G342" i="5"/>
  <c r="P342" i="5"/>
  <c r="F342" i="5"/>
  <c r="O342" i="5"/>
  <c r="N342" i="5"/>
  <c r="M342" i="5"/>
  <c r="L342" i="5"/>
  <c r="B342" i="5"/>
  <c r="K342" i="5"/>
  <c r="J342" i="5"/>
  <c r="I342" i="5" a="1"/>
  <c r="I342" i="5"/>
  <c r="H342" i="5" a="1"/>
  <c r="H342" i="5"/>
  <c r="M423" i="5"/>
  <c r="L423" i="5"/>
  <c r="B423" i="5"/>
  <c r="K423" i="5"/>
  <c r="J423" i="5"/>
  <c r="I423" i="5" a="1"/>
  <c r="I423" i="5"/>
  <c r="H423" i="5" a="1"/>
  <c r="H423" i="5"/>
  <c r="G423" i="5"/>
  <c r="P423" i="5"/>
  <c r="F423" i="5"/>
  <c r="O423" i="5"/>
  <c r="N423" i="5"/>
  <c r="K389" i="5"/>
  <c r="J389" i="5"/>
  <c r="I389" i="5" a="1"/>
  <c r="I389" i="5"/>
  <c r="H389" i="5" a="1"/>
  <c r="H389" i="5"/>
  <c r="G389" i="5"/>
  <c r="P389" i="5"/>
  <c r="F389" i="5"/>
  <c r="O389" i="5"/>
  <c r="N389" i="5"/>
  <c r="M389" i="5"/>
  <c r="L389" i="5"/>
  <c r="B389" i="5"/>
  <c r="P378" i="5"/>
  <c r="F378" i="5"/>
  <c r="O378" i="5"/>
  <c r="N378" i="5"/>
  <c r="M378" i="5"/>
  <c r="L378" i="5"/>
  <c r="B378" i="5"/>
  <c r="K378" i="5"/>
  <c r="J378" i="5"/>
  <c r="I378" i="5" a="1"/>
  <c r="I378" i="5"/>
  <c r="H378" i="5" a="1"/>
  <c r="H378" i="5"/>
  <c r="G378" i="5"/>
  <c r="M489" i="5"/>
  <c r="L489" i="5"/>
  <c r="B489" i="5"/>
  <c r="K489" i="5"/>
  <c r="J489" i="5"/>
  <c r="I489" i="5" a="1"/>
  <c r="I489" i="5"/>
  <c r="H489" i="5" a="1"/>
  <c r="H489" i="5"/>
  <c r="G489" i="5"/>
  <c r="P489" i="5"/>
  <c r="F489" i="5"/>
  <c r="O489" i="5"/>
  <c r="N489" i="5"/>
  <c r="L528" i="5"/>
  <c r="B528" i="5"/>
  <c r="K528" i="5"/>
  <c r="J528" i="5"/>
  <c r="I528" i="5" a="1"/>
  <c r="I528" i="5"/>
  <c r="H528" i="5" a="1"/>
  <c r="H528" i="5"/>
  <c r="G528" i="5"/>
  <c r="P528" i="5"/>
  <c r="F528" i="5"/>
  <c r="M528" i="5"/>
  <c r="N528" i="5"/>
  <c r="O528" i="5"/>
  <c r="K535" i="5"/>
  <c r="J535" i="5"/>
  <c r="I535" i="5" a="1"/>
  <c r="I535" i="5"/>
  <c r="H535" i="5" a="1"/>
  <c r="H535" i="5"/>
  <c r="G535" i="5"/>
  <c r="P535" i="5"/>
  <c r="F535" i="5"/>
  <c r="O535" i="5"/>
  <c r="N535" i="5"/>
  <c r="M535" i="5"/>
  <c r="L535" i="5"/>
  <c r="B535" i="5"/>
  <c r="L597" i="5"/>
  <c r="B597" i="5"/>
  <c r="K597" i="5"/>
  <c r="J597" i="5"/>
  <c r="I597" i="5" a="1"/>
  <c r="I597" i="5"/>
  <c r="H597" i="5" a="1"/>
  <c r="H597" i="5"/>
  <c r="G597" i="5"/>
  <c r="P597" i="5"/>
  <c r="F597" i="5"/>
  <c r="O597" i="5"/>
  <c r="N597" i="5"/>
  <c r="M597" i="5"/>
  <c r="M665" i="5"/>
  <c r="L665" i="5"/>
  <c r="B665" i="5"/>
  <c r="K665" i="5"/>
  <c r="J665" i="5"/>
  <c r="I665" i="5" a="1"/>
  <c r="I665" i="5"/>
  <c r="H665" i="5" a="1"/>
  <c r="H665" i="5"/>
  <c r="G665" i="5"/>
  <c r="P665" i="5"/>
  <c r="F665" i="5"/>
  <c r="O665" i="5"/>
  <c r="N665" i="5"/>
  <c r="M721" i="5"/>
  <c r="L721" i="5"/>
  <c r="B721" i="5"/>
  <c r="K721" i="5"/>
  <c r="J721" i="5"/>
  <c r="I721" i="5" a="1"/>
  <c r="I721" i="5"/>
  <c r="H721" i="5" a="1"/>
  <c r="H721" i="5"/>
  <c r="G721" i="5"/>
  <c r="P721" i="5"/>
  <c r="F721" i="5"/>
  <c r="O721" i="5"/>
  <c r="N721" i="5"/>
  <c r="L745" i="5"/>
  <c r="B745" i="5"/>
  <c r="K745" i="5"/>
  <c r="J745" i="5"/>
  <c r="I745" i="5" a="1"/>
  <c r="I745" i="5"/>
  <c r="H745" i="5" a="1"/>
  <c r="H745" i="5"/>
  <c r="G745" i="5"/>
  <c r="P745" i="5"/>
  <c r="F745" i="5"/>
  <c r="M745" i="5"/>
  <c r="N745" i="5"/>
  <c r="O745" i="5"/>
  <c r="G787" i="5"/>
  <c r="O787" i="5"/>
  <c r="K787" i="5"/>
  <c r="M787" i="5"/>
  <c r="L787" i="5"/>
  <c r="J787" i="5"/>
  <c r="I787" i="5" a="1"/>
  <c r="I787" i="5"/>
  <c r="H787" i="5" a="1"/>
  <c r="H787" i="5"/>
  <c r="F787" i="5"/>
  <c r="P787" i="5"/>
  <c r="B787" i="5"/>
  <c r="N787" i="5"/>
  <c r="L823" i="5"/>
  <c r="B823" i="5"/>
  <c r="O823" i="5"/>
  <c r="N823" i="5"/>
  <c r="M823" i="5"/>
  <c r="K823" i="5"/>
  <c r="J823" i="5"/>
  <c r="I823" i="5" a="1"/>
  <c r="I823" i="5"/>
  <c r="H823" i="5" a="1"/>
  <c r="H823" i="5"/>
  <c r="G823" i="5"/>
  <c r="F823" i="5"/>
  <c r="P823" i="5"/>
  <c r="J879" i="5"/>
  <c r="L879" i="5"/>
  <c r="K879" i="5"/>
  <c r="N879" i="5"/>
  <c r="M879" i="5"/>
  <c r="B879" i="5"/>
  <c r="P879" i="5"/>
  <c r="G879" i="5"/>
  <c r="F879" i="5"/>
  <c r="I879" i="5" a="1"/>
  <c r="I879" i="5"/>
  <c r="H879" i="5" a="1"/>
  <c r="H879" i="5"/>
  <c r="O879" i="5"/>
  <c r="K872" i="5"/>
  <c r="N872" i="5"/>
  <c r="M872" i="5"/>
  <c r="B872" i="5"/>
  <c r="P872" i="5"/>
  <c r="G872" i="5"/>
  <c r="O872" i="5"/>
  <c r="L872" i="5"/>
  <c r="J872" i="5"/>
  <c r="H872" i="5" a="1"/>
  <c r="H872" i="5"/>
  <c r="F872" i="5"/>
  <c r="I872" i="5" a="1"/>
  <c r="I872" i="5"/>
  <c r="P861" i="5"/>
  <c r="F861" i="5"/>
  <c r="N861" i="5"/>
  <c r="M861" i="5"/>
  <c r="B861" i="5"/>
  <c r="I861" i="5" a="1"/>
  <c r="I861" i="5"/>
  <c r="J861" i="5"/>
  <c r="O861" i="5"/>
  <c r="L861" i="5"/>
  <c r="K861" i="5"/>
  <c r="H861" i="5" a="1"/>
  <c r="H861" i="5"/>
  <c r="G861" i="5"/>
  <c r="O291" i="5"/>
  <c r="N291" i="5"/>
  <c r="M291" i="5"/>
  <c r="L291" i="5"/>
  <c r="B291" i="5"/>
  <c r="K291" i="5"/>
  <c r="J291" i="5"/>
  <c r="I291" i="5" a="1"/>
  <c r="I291" i="5"/>
  <c r="H291" i="5" a="1"/>
  <c r="H291" i="5"/>
  <c r="G291" i="5"/>
  <c r="P291" i="5"/>
  <c r="F291" i="5"/>
  <c r="G678" i="5"/>
  <c r="P678" i="5"/>
  <c r="F678" i="5"/>
  <c r="O678" i="5"/>
  <c r="N678" i="5"/>
  <c r="M678" i="5"/>
  <c r="L678" i="5"/>
  <c r="B678" i="5"/>
  <c r="K678" i="5"/>
  <c r="J678" i="5"/>
  <c r="I678" i="5" a="1"/>
  <c r="I678" i="5"/>
  <c r="H678" i="5" a="1"/>
  <c r="H678" i="5"/>
  <c r="P260" i="5"/>
  <c r="F260" i="5"/>
  <c r="O260" i="5"/>
  <c r="N260" i="5"/>
  <c r="M260" i="5"/>
  <c r="L260" i="5"/>
  <c r="B260" i="5"/>
  <c r="K260" i="5"/>
  <c r="J260" i="5"/>
  <c r="I260" i="5" a="1"/>
  <c r="I260" i="5"/>
  <c r="G260" i="5"/>
  <c r="H260" i="5" a="1"/>
  <c r="H260" i="5"/>
  <c r="G705" i="5"/>
  <c r="P705" i="5"/>
  <c r="F705" i="5"/>
  <c r="O705" i="5"/>
  <c r="N705" i="5"/>
  <c r="M705" i="5"/>
  <c r="L705" i="5"/>
  <c r="B705" i="5"/>
  <c r="K705" i="5"/>
  <c r="J705" i="5"/>
  <c r="I705" i="5" a="1"/>
  <c r="I705" i="5"/>
  <c r="H705" i="5" a="1"/>
  <c r="H705" i="5"/>
  <c r="H185" i="5" a="1"/>
  <c r="H185" i="5"/>
  <c r="G185" i="5"/>
  <c r="P185" i="5"/>
  <c r="F185" i="5"/>
  <c r="O185" i="5"/>
  <c r="N185" i="5"/>
  <c r="M185" i="5"/>
  <c r="L185" i="5"/>
  <c r="B185" i="5"/>
  <c r="K185" i="5"/>
  <c r="J185" i="5"/>
  <c r="I185" i="5" a="1"/>
  <c r="I185" i="5"/>
  <c r="J891" i="5"/>
  <c r="G891" i="5"/>
  <c r="F891" i="5"/>
  <c r="H891" i="5" a="1"/>
  <c r="H891" i="5"/>
  <c r="O891" i="5"/>
  <c r="L891" i="5"/>
  <c r="I891" i="5" a="1"/>
  <c r="I891" i="5"/>
  <c r="P891" i="5"/>
  <c r="N891" i="5"/>
  <c r="M891" i="5"/>
  <c r="K891" i="5"/>
  <c r="B891" i="5"/>
  <c r="M203" i="5"/>
  <c r="L203" i="5"/>
  <c r="B203" i="5"/>
  <c r="K203" i="5"/>
  <c r="J203" i="5"/>
  <c r="I203" i="5" a="1"/>
  <c r="I203" i="5"/>
  <c r="H203" i="5" a="1"/>
  <c r="H203" i="5"/>
  <c r="G203" i="5"/>
  <c r="P203" i="5"/>
  <c r="F203" i="5"/>
  <c r="O203" i="5"/>
  <c r="N203" i="5"/>
  <c r="L585" i="5"/>
  <c r="B585" i="5"/>
  <c r="K585" i="5"/>
  <c r="J585" i="5"/>
  <c r="I585" i="5" a="1"/>
  <c r="I585" i="5"/>
  <c r="H585" i="5" a="1"/>
  <c r="H585" i="5"/>
  <c r="G585" i="5"/>
  <c r="P585" i="5"/>
  <c r="F585" i="5"/>
  <c r="M585" i="5"/>
  <c r="O585" i="5"/>
  <c r="N585" i="5"/>
  <c r="H539" i="5" a="1"/>
  <c r="H539" i="5"/>
  <c r="G539" i="5"/>
  <c r="P539" i="5"/>
  <c r="F539" i="5"/>
  <c r="O539" i="5"/>
  <c r="N539" i="5"/>
  <c r="M539" i="5"/>
  <c r="L539" i="5"/>
  <c r="B539" i="5"/>
  <c r="K539" i="5"/>
  <c r="J539" i="5"/>
  <c r="I539" i="5" a="1"/>
  <c r="I539" i="5"/>
  <c r="H876" i="5" a="1"/>
  <c r="H876" i="5"/>
  <c r="P876" i="5"/>
  <c r="O876" i="5"/>
  <c r="G876" i="5"/>
  <c r="N876" i="5"/>
  <c r="K876" i="5"/>
  <c r="I876" i="5" a="1"/>
  <c r="I876" i="5"/>
  <c r="B876" i="5"/>
  <c r="M876" i="5"/>
  <c r="L876" i="5"/>
  <c r="J876" i="5"/>
  <c r="F876" i="5"/>
  <c r="N39" i="5"/>
  <c r="M39" i="5"/>
  <c r="L39" i="5"/>
  <c r="B39" i="5"/>
  <c r="I39" i="5" a="1"/>
  <c r="I39" i="5"/>
  <c r="H39" i="5" a="1"/>
  <c r="H39" i="5"/>
  <c r="O39" i="5"/>
  <c r="P39" i="5"/>
  <c r="K39" i="5"/>
  <c r="J39" i="5"/>
  <c r="G39" i="5"/>
  <c r="F39" i="5"/>
  <c r="H613" i="5" a="1"/>
  <c r="H613" i="5"/>
  <c r="G613" i="5"/>
  <c r="P613" i="5"/>
  <c r="F613" i="5"/>
  <c r="O613" i="5"/>
  <c r="N613" i="5"/>
  <c r="M613" i="5"/>
  <c r="L613" i="5"/>
  <c r="B613" i="5"/>
  <c r="K613" i="5"/>
  <c r="J613" i="5"/>
  <c r="I613" i="5" a="1"/>
  <c r="I613" i="5"/>
  <c r="N196" i="5"/>
  <c r="M196" i="5"/>
  <c r="L196" i="5"/>
  <c r="B196" i="5"/>
  <c r="K196" i="5"/>
  <c r="J196" i="5"/>
  <c r="I196" i="5" a="1"/>
  <c r="I196" i="5"/>
  <c r="H196" i="5" a="1"/>
  <c r="H196" i="5"/>
  <c r="G196" i="5"/>
  <c r="P196" i="5"/>
  <c r="F196" i="5"/>
  <c r="O196" i="5"/>
  <c r="I874" i="5" a="1"/>
  <c r="I874" i="5"/>
  <c r="O874" i="5"/>
  <c r="N874" i="5"/>
  <c r="F874" i="5"/>
  <c r="B874" i="5"/>
  <c r="M874" i="5"/>
  <c r="K874" i="5"/>
  <c r="J874" i="5"/>
  <c r="L874" i="5"/>
  <c r="H874" i="5" a="1"/>
  <c r="H874" i="5"/>
  <c r="P874" i="5"/>
  <c r="G874" i="5"/>
  <c r="J314" i="5"/>
  <c r="I314" i="5" a="1"/>
  <c r="I314" i="5"/>
  <c r="H314" i="5" a="1"/>
  <c r="H314" i="5"/>
  <c r="G314" i="5"/>
  <c r="P314" i="5"/>
  <c r="F314" i="5"/>
  <c r="O314" i="5"/>
  <c r="N314" i="5"/>
  <c r="M314" i="5"/>
  <c r="L314" i="5"/>
  <c r="B314" i="5"/>
  <c r="K314" i="5"/>
  <c r="P629" i="5"/>
  <c r="F629" i="5"/>
  <c r="O629" i="5"/>
  <c r="N629" i="5"/>
  <c r="M629" i="5"/>
  <c r="L629" i="5"/>
  <c r="B629" i="5"/>
  <c r="K629" i="5"/>
  <c r="J629" i="5"/>
  <c r="I629" i="5" a="1"/>
  <c r="I629" i="5"/>
  <c r="H629" i="5" a="1"/>
  <c r="H629" i="5"/>
  <c r="G629" i="5"/>
  <c r="N859" i="5"/>
  <c r="M859" i="5"/>
  <c r="B859" i="5"/>
  <c r="P859" i="5"/>
  <c r="L859" i="5"/>
  <c r="I859" i="5" a="1"/>
  <c r="I859" i="5"/>
  <c r="H859" i="5" a="1"/>
  <c r="H859" i="5"/>
  <c r="G859" i="5"/>
  <c r="F859" i="5"/>
  <c r="J859" i="5"/>
  <c r="O859" i="5"/>
  <c r="K859" i="5"/>
  <c r="H446" i="5" a="1"/>
  <c r="H446" i="5"/>
  <c r="G446" i="5"/>
  <c r="P446" i="5"/>
  <c r="F446" i="5"/>
  <c r="O446" i="5"/>
  <c r="N446" i="5"/>
  <c r="M446" i="5"/>
  <c r="L446" i="5"/>
  <c r="B446" i="5"/>
  <c r="K446" i="5"/>
  <c r="J446" i="5"/>
  <c r="I446" i="5" a="1"/>
  <c r="I446" i="5"/>
  <c r="H715" i="5" a="1"/>
  <c r="H715" i="5"/>
  <c r="G715" i="5"/>
  <c r="P715" i="5"/>
  <c r="F715" i="5"/>
  <c r="O715" i="5"/>
  <c r="N715" i="5"/>
  <c r="M715" i="5"/>
  <c r="L715" i="5"/>
  <c r="B715" i="5"/>
  <c r="K715" i="5"/>
  <c r="J715" i="5"/>
  <c r="I715" i="5" a="1"/>
  <c r="I715" i="5"/>
  <c r="H93" i="5" a="1"/>
  <c r="H93" i="5"/>
  <c r="G93" i="5"/>
  <c r="P93" i="5"/>
  <c r="F93" i="5"/>
  <c r="O93" i="5"/>
  <c r="N93" i="5"/>
  <c r="M93" i="5"/>
  <c r="L93" i="5"/>
  <c r="B93" i="5"/>
  <c r="K93" i="5"/>
  <c r="J93" i="5"/>
  <c r="I93" i="5" a="1"/>
  <c r="I93" i="5"/>
  <c r="O579" i="5"/>
  <c r="N579" i="5"/>
  <c r="M579" i="5"/>
  <c r="L579" i="5"/>
  <c r="B579" i="5"/>
  <c r="K579" i="5"/>
  <c r="J579" i="5"/>
  <c r="I579" i="5" a="1"/>
  <c r="I579" i="5"/>
  <c r="H579" i="5" a="1"/>
  <c r="H579" i="5"/>
  <c r="G579" i="5"/>
  <c r="P579" i="5"/>
  <c r="F579" i="5"/>
  <c r="N887" i="5"/>
  <c r="P887" i="5"/>
  <c r="O887" i="5"/>
  <c r="G887" i="5"/>
  <c r="F887" i="5"/>
  <c r="K887" i="5"/>
  <c r="I887" i="5" a="1"/>
  <c r="I887" i="5"/>
  <c r="H887" i="5" a="1"/>
  <c r="H887" i="5"/>
  <c r="B887" i="5"/>
  <c r="M887" i="5"/>
  <c r="L887" i="5"/>
  <c r="J887" i="5"/>
  <c r="G376" i="5"/>
  <c r="P376" i="5"/>
  <c r="F376" i="5"/>
  <c r="O376" i="5"/>
  <c r="N376" i="5"/>
  <c r="M376" i="5"/>
  <c r="L376" i="5"/>
  <c r="B376" i="5"/>
  <c r="K376" i="5"/>
  <c r="J376" i="5"/>
  <c r="I376" i="5" a="1"/>
  <c r="I376" i="5"/>
  <c r="H376" i="5" a="1"/>
  <c r="H376" i="5"/>
  <c r="G610" i="5"/>
  <c r="P610" i="5"/>
  <c r="F610" i="5"/>
  <c r="O610" i="5"/>
  <c r="N610" i="5"/>
  <c r="M610" i="5"/>
  <c r="L610" i="5"/>
  <c r="B610" i="5"/>
  <c r="K610" i="5"/>
  <c r="J610" i="5"/>
  <c r="I610" i="5" a="1"/>
  <c r="I610" i="5"/>
  <c r="H610" i="5" a="1"/>
  <c r="H610" i="5"/>
  <c r="J79" i="5"/>
  <c r="I79" i="5" a="1"/>
  <c r="I79" i="5"/>
  <c r="H79" i="5" a="1"/>
  <c r="H79" i="5"/>
  <c r="G79" i="5"/>
  <c r="P79" i="5"/>
  <c r="F79" i="5"/>
  <c r="O79" i="5"/>
  <c r="N79" i="5"/>
  <c r="M79" i="5"/>
  <c r="L79" i="5"/>
  <c r="B79" i="5"/>
  <c r="K79" i="5"/>
  <c r="H659" i="5" a="1"/>
  <c r="H659" i="5"/>
  <c r="G659" i="5"/>
  <c r="P659" i="5"/>
  <c r="F659" i="5"/>
  <c r="O659" i="5"/>
  <c r="N659" i="5"/>
  <c r="M659" i="5"/>
  <c r="L659" i="5"/>
  <c r="B659" i="5"/>
  <c r="K659" i="5"/>
  <c r="J659" i="5"/>
  <c r="I659" i="5" a="1"/>
  <c r="I659" i="5"/>
  <c r="H664" i="5" a="1"/>
  <c r="H664" i="5"/>
  <c r="G664" i="5"/>
  <c r="P664" i="5"/>
  <c r="F664" i="5"/>
  <c r="O664" i="5"/>
  <c r="N664" i="5"/>
  <c r="M664" i="5"/>
  <c r="L664" i="5"/>
  <c r="B664" i="5"/>
  <c r="K664" i="5"/>
  <c r="J664" i="5"/>
  <c r="I664" i="5" a="1"/>
  <c r="I664" i="5"/>
  <c r="H287" i="5" a="1"/>
  <c r="H287" i="5"/>
  <c r="G287" i="5"/>
  <c r="P287" i="5"/>
  <c r="F287" i="5"/>
  <c r="O287" i="5"/>
  <c r="N287" i="5"/>
  <c r="M287" i="5"/>
  <c r="L287" i="5"/>
  <c r="B287" i="5"/>
  <c r="K287" i="5"/>
  <c r="J287" i="5"/>
  <c r="I287" i="5" a="1"/>
  <c r="I287" i="5"/>
  <c r="H671" i="5" a="1"/>
  <c r="H671" i="5"/>
  <c r="G671" i="5"/>
  <c r="P671" i="5"/>
  <c r="F671" i="5"/>
  <c r="O671" i="5"/>
  <c r="N671" i="5"/>
  <c r="M671" i="5"/>
  <c r="L671" i="5"/>
  <c r="B671" i="5"/>
  <c r="K671" i="5"/>
  <c r="J671" i="5"/>
  <c r="I671" i="5" a="1"/>
  <c r="I671" i="5"/>
  <c r="J266" i="5"/>
  <c r="I266" i="5" a="1"/>
  <c r="I266" i="5"/>
  <c r="H266" i="5" a="1"/>
  <c r="H266" i="5"/>
  <c r="G266" i="5"/>
  <c r="P266" i="5"/>
  <c r="F266" i="5"/>
  <c r="O266" i="5"/>
  <c r="N266" i="5"/>
  <c r="M266" i="5"/>
  <c r="L266" i="5"/>
  <c r="B266" i="5"/>
  <c r="K266" i="5"/>
  <c r="L23" i="5"/>
  <c r="B23" i="5"/>
  <c r="K23" i="5"/>
  <c r="G23" i="5"/>
  <c r="P23" i="5"/>
  <c r="F23" i="5"/>
  <c r="M106" i="5"/>
  <c r="L106" i="5"/>
  <c r="B106" i="5"/>
  <c r="K106" i="5"/>
  <c r="J106" i="5"/>
  <c r="I106" i="5" a="1"/>
  <c r="I106" i="5"/>
  <c r="H106" i="5" a="1"/>
  <c r="H106" i="5"/>
  <c r="G106" i="5"/>
  <c r="P106" i="5"/>
  <c r="F106" i="5"/>
  <c r="O106" i="5"/>
  <c r="N106" i="5"/>
  <c r="K48" i="5"/>
  <c r="J48" i="5"/>
  <c r="I48" i="5" a="1"/>
  <c r="I48" i="5"/>
  <c r="H48" i="5" a="1"/>
  <c r="H48" i="5"/>
  <c r="G48" i="5"/>
  <c r="P48" i="5"/>
  <c r="F48" i="5"/>
  <c r="O48" i="5"/>
  <c r="N48" i="5"/>
  <c r="L48" i="5"/>
  <c r="B48" i="5"/>
  <c r="M48" i="5"/>
  <c r="G95" i="5"/>
  <c r="P95" i="5"/>
  <c r="F95" i="5"/>
  <c r="O95" i="5"/>
  <c r="N95" i="5"/>
  <c r="M95" i="5"/>
  <c r="L95" i="5"/>
  <c r="B95" i="5"/>
  <c r="K95" i="5"/>
  <c r="J95" i="5"/>
  <c r="I95" i="5" a="1"/>
  <c r="I95" i="5"/>
  <c r="H95" i="5" a="1"/>
  <c r="H95" i="5"/>
  <c r="O140" i="5"/>
  <c r="N140" i="5"/>
  <c r="M140" i="5"/>
  <c r="L140" i="5"/>
  <c r="B140" i="5"/>
  <c r="K140" i="5"/>
  <c r="J140" i="5"/>
  <c r="I140" i="5" a="1"/>
  <c r="I140" i="5"/>
  <c r="H140" i="5" a="1"/>
  <c r="H140" i="5"/>
  <c r="G140" i="5"/>
  <c r="P140" i="5"/>
  <c r="F140" i="5"/>
  <c r="L186" i="5"/>
  <c r="B186" i="5"/>
  <c r="K186" i="5"/>
  <c r="J186" i="5"/>
  <c r="I186" i="5" a="1"/>
  <c r="I186" i="5"/>
  <c r="H186" i="5" a="1"/>
  <c r="H186" i="5"/>
  <c r="G186" i="5"/>
  <c r="P186" i="5"/>
  <c r="F186" i="5"/>
  <c r="O186" i="5"/>
  <c r="N186" i="5"/>
  <c r="M186" i="5"/>
  <c r="K229" i="5"/>
  <c r="J229" i="5"/>
  <c r="I229" i="5" a="1"/>
  <c r="I229" i="5"/>
  <c r="H229" i="5" a="1"/>
  <c r="H229" i="5"/>
  <c r="G229" i="5"/>
  <c r="P229" i="5"/>
  <c r="F229" i="5"/>
  <c r="O229" i="5"/>
  <c r="N229" i="5"/>
  <c r="M229" i="5"/>
  <c r="L229" i="5"/>
  <c r="B229" i="5"/>
  <c r="G175" i="5"/>
  <c r="P175" i="5"/>
  <c r="F175" i="5"/>
  <c r="O175" i="5"/>
  <c r="N175" i="5"/>
  <c r="M175" i="5"/>
  <c r="L175" i="5"/>
  <c r="B175" i="5"/>
  <c r="K175" i="5"/>
  <c r="J175" i="5"/>
  <c r="I175" i="5" a="1"/>
  <c r="I175" i="5"/>
  <c r="H175" i="5" a="1"/>
  <c r="H175" i="5"/>
  <c r="P230" i="5"/>
  <c r="F230" i="5"/>
  <c r="O230" i="5"/>
  <c r="N230" i="5"/>
  <c r="M230" i="5"/>
  <c r="L230" i="5"/>
  <c r="B230" i="5"/>
  <c r="K230" i="5"/>
  <c r="J230" i="5"/>
  <c r="I230" i="5" a="1"/>
  <c r="I230" i="5"/>
  <c r="H230" i="5" a="1"/>
  <c r="H230" i="5"/>
  <c r="G230" i="5"/>
  <c r="L288" i="5"/>
  <c r="B288" i="5"/>
  <c r="K288" i="5"/>
  <c r="J288" i="5"/>
  <c r="I288" i="5" a="1"/>
  <c r="I288" i="5"/>
  <c r="H288" i="5" a="1"/>
  <c r="H288" i="5"/>
  <c r="G288" i="5"/>
  <c r="P288" i="5"/>
  <c r="F288" i="5"/>
  <c r="O288" i="5"/>
  <c r="N288" i="5"/>
  <c r="M288" i="5"/>
  <c r="K343" i="5"/>
  <c r="J343" i="5"/>
  <c r="I343" i="5" a="1"/>
  <c r="I343" i="5"/>
  <c r="H343" i="5" a="1"/>
  <c r="H343" i="5"/>
  <c r="G343" i="5"/>
  <c r="P343" i="5"/>
  <c r="F343" i="5"/>
  <c r="O343" i="5"/>
  <c r="N343" i="5"/>
  <c r="M343" i="5"/>
  <c r="L343" i="5"/>
  <c r="B343" i="5"/>
  <c r="L358" i="5"/>
  <c r="B358" i="5"/>
  <c r="K358" i="5"/>
  <c r="J358" i="5"/>
  <c r="I358" i="5" a="1"/>
  <c r="I358" i="5"/>
  <c r="H358" i="5" a="1"/>
  <c r="H358" i="5"/>
  <c r="G358" i="5"/>
  <c r="P358" i="5"/>
  <c r="F358" i="5"/>
  <c r="O358" i="5"/>
  <c r="N358" i="5"/>
  <c r="M358" i="5"/>
  <c r="M435" i="5"/>
  <c r="L435" i="5"/>
  <c r="B435" i="5"/>
  <c r="K435" i="5"/>
  <c r="J435" i="5"/>
  <c r="I435" i="5" a="1"/>
  <c r="I435" i="5"/>
  <c r="H435" i="5" a="1"/>
  <c r="H435" i="5"/>
  <c r="G435" i="5"/>
  <c r="P435" i="5"/>
  <c r="F435" i="5"/>
  <c r="O435" i="5"/>
  <c r="N435" i="5"/>
  <c r="K401" i="5"/>
  <c r="J401" i="5"/>
  <c r="I401" i="5" a="1"/>
  <c r="I401" i="5"/>
  <c r="H401" i="5" a="1"/>
  <c r="H401" i="5"/>
  <c r="G401" i="5"/>
  <c r="P401" i="5"/>
  <c r="F401" i="5"/>
  <c r="O401" i="5"/>
  <c r="N401" i="5"/>
  <c r="M401" i="5"/>
  <c r="L401" i="5"/>
  <c r="B401" i="5"/>
  <c r="P390" i="5"/>
  <c r="F390" i="5"/>
  <c r="O390" i="5"/>
  <c r="N390" i="5"/>
  <c r="M390" i="5"/>
  <c r="L390" i="5"/>
  <c r="B390" i="5"/>
  <c r="K390" i="5"/>
  <c r="J390" i="5"/>
  <c r="I390" i="5" a="1"/>
  <c r="I390" i="5"/>
  <c r="H390" i="5" a="1"/>
  <c r="H390" i="5"/>
  <c r="G390" i="5"/>
  <c r="M501" i="5"/>
  <c r="L501" i="5"/>
  <c r="B501" i="5"/>
  <c r="K501" i="5"/>
  <c r="J501" i="5"/>
  <c r="I501" i="5" a="1"/>
  <c r="I501" i="5"/>
  <c r="H501" i="5" a="1"/>
  <c r="H501" i="5"/>
  <c r="G501" i="5"/>
  <c r="P501" i="5"/>
  <c r="F501" i="5"/>
  <c r="O501" i="5"/>
  <c r="N501" i="5"/>
  <c r="O463" i="5"/>
  <c r="N463" i="5"/>
  <c r="M463" i="5"/>
  <c r="L463" i="5"/>
  <c r="B463" i="5"/>
  <c r="K463" i="5"/>
  <c r="J463" i="5"/>
  <c r="I463" i="5" a="1"/>
  <c r="I463" i="5"/>
  <c r="H463" i="5" a="1"/>
  <c r="H463" i="5"/>
  <c r="P463" i="5"/>
  <c r="F463" i="5"/>
  <c r="G463" i="5"/>
  <c r="K547" i="5"/>
  <c r="J547" i="5"/>
  <c r="I547" i="5" a="1"/>
  <c r="I547" i="5"/>
  <c r="H547" i="5" a="1"/>
  <c r="H547" i="5"/>
  <c r="G547" i="5"/>
  <c r="P547" i="5"/>
  <c r="F547" i="5"/>
  <c r="O547" i="5"/>
  <c r="N547" i="5"/>
  <c r="M547" i="5"/>
  <c r="L547" i="5"/>
  <c r="B547" i="5"/>
  <c r="L609" i="5"/>
  <c r="B609" i="5"/>
  <c r="K609" i="5"/>
  <c r="J609" i="5"/>
  <c r="I609" i="5" a="1"/>
  <c r="I609" i="5"/>
  <c r="H609" i="5" a="1"/>
  <c r="H609" i="5"/>
  <c r="G609" i="5"/>
  <c r="P609" i="5"/>
  <c r="F609" i="5"/>
  <c r="O609" i="5"/>
  <c r="N609" i="5"/>
  <c r="M609" i="5"/>
  <c r="M677" i="5"/>
  <c r="L677" i="5"/>
  <c r="B677" i="5"/>
  <c r="K677" i="5"/>
  <c r="J677" i="5"/>
  <c r="I677" i="5" a="1"/>
  <c r="I677" i="5"/>
  <c r="H677" i="5" a="1"/>
  <c r="H677" i="5"/>
  <c r="G677" i="5"/>
  <c r="P677" i="5"/>
  <c r="F677" i="5"/>
  <c r="O677" i="5"/>
  <c r="N677" i="5"/>
  <c r="M733" i="5"/>
  <c r="L733" i="5"/>
  <c r="B733" i="5"/>
  <c r="K733" i="5"/>
  <c r="J733" i="5"/>
  <c r="I733" i="5" a="1"/>
  <c r="I733" i="5"/>
  <c r="H733" i="5" a="1"/>
  <c r="H733" i="5"/>
  <c r="G733" i="5"/>
  <c r="P733" i="5"/>
  <c r="F733" i="5"/>
  <c r="O733" i="5"/>
  <c r="N733" i="5"/>
  <c r="K740" i="5"/>
  <c r="J740" i="5"/>
  <c r="I740" i="5" a="1"/>
  <c r="I740" i="5"/>
  <c r="H740" i="5" a="1"/>
  <c r="H740" i="5"/>
  <c r="O740" i="5"/>
  <c r="B740" i="5"/>
  <c r="P740" i="5"/>
  <c r="N740" i="5"/>
  <c r="M740" i="5"/>
  <c r="L740" i="5"/>
  <c r="G740" i="5"/>
  <c r="F740" i="5"/>
  <c r="G792" i="5"/>
  <c r="P792" i="5"/>
  <c r="F792" i="5"/>
  <c r="O792" i="5"/>
  <c r="L792" i="5"/>
  <c r="B792" i="5"/>
  <c r="K792" i="5"/>
  <c r="J792" i="5"/>
  <c r="N792" i="5"/>
  <c r="M792" i="5"/>
  <c r="I792" i="5" a="1"/>
  <c r="I792" i="5"/>
  <c r="H792" i="5" a="1"/>
  <c r="H792" i="5"/>
  <c r="I814" i="5" a="1"/>
  <c r="I814" i="5"/>
  <c r="O814" i="5"/>
  <c r="N814" i="5"/>
  <c r="B814" i="5"/>
  <c r="M814" i="5"/>
  <c r="L814" i="5"/>
  <c r="K814" i="5"/>
  <c r="J814" i="5"/>
  <c r="H814" i="5" a="1"/>
  <c r="H814" i="5"/>
  <c r="G814" i="5"/>
  <c r="F814" i="5"/>
  <c r="P814" i="5"/>
  <c r="O836" i="5"/>
  <c r="M836" i="5"/>
  <c r="L836" i="5"/>
  <c r="B836" i="5"/>
  <c r="I836" i="5" a="1"/>
  <c r="I836" i="5"/>
  <c r="K836" i="5"/>
  <c r="J836" i="5"/>
  <c r="H836" i="5" a="1"/>
  <c r="H836" i="5"/>
  <c r="G836" i="5"/>
  <c r="F836" i="5"/>
  <c r="P836" i="5"/>
  <c r="N836" i="5"/>
  <c r="G890" i="5"/>
  <c r="K890" i="5"/>
  <c r="J890" i="5"/>
  <c r="M890" i="5"/>
  <c r="B890" i="5"/>
  <c r="L890" i="5"/>
  <c r="P890" i="5"/>
  <c r="I890" i="5" a="1"/>
  <c r="I890" i="5"/>
  <c r="H890" i="5" a="1"/>
  <c r="H890" i="5"/>
  <c r="F890" i="5"/>
  <c r="N890" i="5"/>
  <c r="O890" i="5"/>
  <c r="M870" i="5"/>
  <c r="N870" i="5"/>
  <c r="B870" i="5"/>
  <c r="L870" i="5"/>
  <c r="P870" i="5"/>
  <c r="G870" i="5"/>
  <c r="H870" i="5" a="1"/>
  <c r="H870" i="5"/>
  <c r="O870" i="5"/>
  <c r="K870" i="5"/>
  <c r="J870" i="5"/>
  <c r="I870" i="5" a="1"/>
  <c r="I870" i="5"/>
  <c r="F870" i="5"/>
  <c r="I367" i="5" a="1"/>
  <c r="I367" i="5"/>
  <c r="H367" i="5" a="1"/>
  <c r="H367" i="5"/>
  <c r="G367" i="5"/>
  <c r="P367" i="5"/>
  <c r="F367" i="5"/>
  <c r="O367" i="5"/>
  <c r="N367" i="5"/>
  <c r="M367" i="5"/>
  <c r="L367" i="5"/>
  <c r="B367" i="5"/>
  <c r="J367" i="5"/>
  <c r="K367" i="5"/>
  <c r="G685" i="5"/>
  <c r="P685" i="5"/>
  <c r="F685" i="5"/>
  <c r="O685" i="5"/>
  <c r="N685" i="5"/>
  <c r="M685" i="5"/>
  <c r="L685" i="5"/>
  <c r="B685" i="5"/>
  <c r="K685" i="5"/>
  <c r="J685" i="5"/>
  <c r="I685" i="5" a="1"/>
  <c r="I685" i="5"/>
  <c r="H685" i="5" a="1"/>
  <c r="H685" i="5"/>
  <c r="O373" i="5"/>
  <c r="N373" i="5"/>
  <c r="M373" i="5"/>
  <c r="L373" i="5"/>
  <c r="B373" i="5"/>
  <c r="K373" i="5"/>
  <c r="J373" i="5"/>
  <c r="I373" i="5" a="1"/>
  <c r="I373" i="5"/>
  <c r="H373" i="5" a="1"/>
  <c r="H373" i="5"/>
  <c r="G373" i="5"/>
  <c r="P373" i="5"/>
  <c r="F373" i="5"/>
  <c r="H802" i="5" a="1"/>
  <c r="H802" i="5"/>
  <c r="G802" i="5"/>
  <c r="O802" i="5"/>
  <c r="N802" i="5"/>
  <c r="M802" i="5"/>
  <c r="L802" i="5"/>
  <c r="B802" i="5"/>
  <c r="P802" i="5"/>
  <c r="K802" i="5"/>
  <c r="J802" i="5"/>
  <c r="I802" i="5" a="1"/>
  <c r="I802" i="5"/>
  <c r="F802" i="5"/>
  <c r="J783" i="5"/>
  <c r="I783" i="5" a="1"/>
  <c r="I783" i="5"/>
  <c r="H783" i="5" a="1"/>
  <c r="H783" i="5"/>
  <c r="G783" i="5"/>
  <c r="P783" i="5"/>
  <c r="F783" i="5"/>
  <c r="O783" i="5"/>
  <c r="N783" i="5"/>
  <c r="M783" i="5"/>
  <c r="L783" i="5"/>
  <c r="B783" i="5"/>
  <c r="K783" i="5"/>
  <c r="I754" i="5" a="1"/>
  <c r="I754" i="5"/>
  <c r="H754" i="5" a="1"/>
  <c r="H754" i="5"/>
  <c r="G754" i="5"/>
  <c r="P754" i="5"/>
  <c r="F754" i="5"/>
  <c r="O754" i="5"/>
  <c r="N754" i="5"/>
  <c r="M754" i="5"/>
  <c r="L754" i="5"/>
  <c r="B754" i="5"/>
  <c r="J754" i="5"/>
  <c r="K754" i="5"/>
  <c r="M305" i="5"/>
  <c r="L305" i="5"/>
  <c r="B305" i="5"/>
  <c r="K305" i="5"/>
  <c r="J305" i="5"/>
  <c r="I305" i="5" a="1"/>
  <c r="I305" i="5"/>
  <c r="H305" i="5" a="1"/>
  <c r="H305" i="5"/>
  <c r="G305" i="5"/>
  <c r="P305" i="5"/>
  <c r="F305" i="5"/>
  <c r="O305" i="5"/>
  <c r="N305" i="5"/>
  <c r="K479" i="5"/>
  <c r="J479" i="5"/>
  <c r="I479" i="5" a="1"/>
  <c r="I479" i="5"/>
  <c r="H479" i="5" a="1"/>
  <c r="H479" i="5"/>
  <c r="G479" i="5"/>
  <c r="P479" i="5"/>
  <c r="F479" i="5"/>
  <c r="O479" i="5"/>
  <c r="N479" i="5"/>
  <c r="M479" i="5"/>
  <c r="L479" i="5"/>
  <c r="B479" i="5"/>
  <c r="O833" i="5"/>
  <c r="L833" i="5"/>
  <c r="B833" i="5"/>
  <c r="I833" i="5" a="1"/>
  <c r="I833" i="5"/>
  <c r="H833" i="5" a="1"/>
  <c r="H833" i="5"/>
  <c r="P833" i="5"/>
  <c r="F833" i="5"/>
  <c r="N833" i="5"/>
  <c r="M833" i="5"/>
  <c r="K833" i="5"/>
  <c r="J833" i="5"/>
  <c r="G833" i="5"/>
  <c r="J115" i="5"/>
  <c r="I115" i="5" a="1"/>
  <c r="I115" i="5"/>
  <c r="H115" i="5" a="1"/>
  <c r="H115" i="5"/>
  <c r="G115" i="5"/>
  <c r="P115" i="5"/>
  <c r="F115" i="5"/>
  <c r="O115" i="5"/>
  <c r="N115" i="5"/>
  <c r="M115" i="5"/>
  <c r="L115" i="5"/>
  <c r="B115" i="5"/>
  <c r="K115" i="5"/>
  <c r="P504" i="5"/>
  <c r="F504" i="5"/>
  <c r="O504" i="5"/>
  <c r="N504" i="5"/>
  <c r="M504" i="5"/>
  <c r="L504" i="5"/>
  <c r="B504" i="5"/>
  <c r="K504" i="5"/>
  <c r="J504" i="5"/>
  <c r="I504" i="5" a="1"/>
  <c r="I504" i="5"/>
  <c r="H504" i="5" a="1"/>
  <c r="H504" i="5"/>
  <c r="G504" i="5"/>
  <c r="L21" i="5"/>
  <c r="B21" i="5"/>
  <c r="K21" i="5"/>
  <c r="G21" i="5"/>
  <c r="P21" i="5"/>
  <c r="F21" i="5"/>
  <c r="N33" i="5"/>
  <c r="M33" i="5"/>
  <c r="L33" i="5"/>
  <c r="B33" i="5"/>
  <c r="K33" i="5"/>
  <c r="J33" i="5"/>
  <c r="I33" i="5" a="1"/>
  <c r="I33" i="5"/>
  <c r="H33" i="5" a="1"/>
  <c r="H33" i="5"/>
  <c r="G33" i="5"/>
  <c r="P33" i="5"/>
  <c r="F33" i="5"/>
  <c r="O33" i="5"/>
  <c r="O339" i="5"/>
  <c r="N339" i="5"/>
  <c r="M339" i="5"/>
  <c r="L339" i="5"/>
  <c r="B339" i="5"/>
  <c r="K339" i="5"/>
  <c r="J339" i="5"/>
  <c r="I339" i="5" a="1"/>
  <c r="I339" i="5"/>
  <c r="H339" i="5" a="1"/>
  <c r="H339" i="5"/>
  <c r="G339" i="5"/>
  <c r="P339" i="5"/>
  <c r="F339" i="5"/>
  <c r="H640" i="5" a="1"/>
  <c r="H640" i="5"/>
  <c r="G640" i="5"/>
  <c r="P640" i="5"/>
  <c r="F640" i="5"/>
  <c r="O640" i="5"/>
  <c r="N640" i="5"/>
  <c r="M640" i="5"/>
  <c r="L640" i="5"/>
  <c r="B640" i="5"/>
  <c r="I640" i="5" a="1"/>
  <c r="I640" i="5"/>
  <c r="K640" i="5"/>
  <c r="J640" i="5"/>
  <c r="N87" i="5"/>
  <c r="M87" i="5"/>
  <c r="L87" i="5"/>
  <c r="B87" i="5"/>
  <c r="K87" i="5"/>
  <c r="J87" i="5"/>
  <c r="I87" i="5" a="1"/>
  <c r="I87" i="5"/>
  <c r="H87" i="5" a="1"/>
  <c r="H87" i="5"/>
  <c r="G87" i="5"/>
  <c r="P87" i="5"/>
  <c r="F87" i="5"/>
  <c r="O87" i="5"/>
  <c r="I469" i="5" a="1"/>
  <c r="I469" i="5"/>
  <c r="H469" i="5" a="1"/>
  <c r="H469" i="5"/>
  <c r="G469" i="5"/>
  <c r="P469" i="5"/>
  <c r="F469" i="5"/>
  <c r="O469" i="5"/>
  <c r="N469" i="5"/>
  <c r="M469" i="5"/>
  <c r="K469" i="5"/>
  <c r="J469" i="5"/>
  <c r="L469" i="5"/>
  <c r="B469" i="5"/>
  <c r="G734" i="5"/>
  <c r="P734" i="5"/>
  <c r="F734" i="5"/>
  <c r="O734" i="5"/>
  <c r="N734" i="5"/>
  <c r="M734" i="5"/>
  <c r="L734" i="5"/>
  <c r="B734" i="5"/>
  <c r="K734" i="5"/>
  <c r="J734" i="5"/>
  <c r="I734" i="5" a="1"/>
  <c r="I734" i="5"/>
  <c r="H734" i="5" a="1"/>
  <c r="H734" i="5"/>
  <c r="J200" i="5"/>
  <c r="I200" i="5" a="1"/>
  <c r="I200" i="5"/>
  <c r="H200" i="5" a="1"/>
  <c r="H200" i="5"/>
  <c r="G200" i="5"/>
  <c r="P200" i="5"/>
  <c r="F200" i="5"/>
  <c r="O200" i="5"/>
  <c r="N200" i="5"/>
  <c r="M200" i="5"/>
  <c r="L200" i="5"/>
  <c r="B200" i="5"/>
  <c r="K200" i="5"/>
  <c r="J599" i="5"/>
  <c r="I599" i="5" a="1"/>
  <c r="I599" i="5"/>
  <c r="H599" i="5" a="1"/>
  <c r="H599" i="5"/>
  <c r="G599" i="5"/>
  <c r="P599" i="5"/>
  <c r="F599" i="5"/>
  <c r="O599" i="5"/>
  <c r="N599" i="5"/>
  <c r="M599" i="5"/>
  <c r="L599" i="5"/>
  <c r="B599" i="5"/>
  <c r="K599" i="5"/>
  <c r="I50" i="5" a="1"/>
  <c r="I50" i="5"/>
  <c r="H50" i="5" a="1"/>
  <c r="H50" i="5"/>
  <c r="G50" i="5"/>
  <c r="P50" i="5"/>
  <c r="F50" i="5"/>
  <c r="O50" i="5"/>
  <c r="N50" i="5"/>
  <c r="M50" i="5"/>
  <c r="L50" i="5"/>
  <c r="B50" i="5"/>
  <c r="J50" i="5"/>
  <c r="K50" i="5"/>
  <c r="O445" i="5"/>
  <c r="N445" i="5"/>
  <c r="M445" i="5"/>
  <c r="L445" i="5"/>
  <c r="B445" i="5"/>
  <c r="K445" i="5"/>
  <c r="J445" i="5"/>
  <c r="I445" i="5" a="1"/>
  <c r="I445" i="5"/>
  <c r="H445" i="5" a="1"/>
  <c r="H445" i="5"/>
  <c r="G445" i="5"/>
  <c r="P445" i="5"/>
  <c r="F445" i="5"/>
  <c r="H652" i="5" a="1"/>
  <c r="H652" i="5"/>
  <c r="G652" i="5"/>
  <c r="P652" i="5"/>
  <c r="F652" i="5"/>
  <c r="O652" i="5"/>
  <c r="N652" i="5"/>
  <c r="M652" i="5"/>
  <c r="L652" i="5"/>
  <c r="B652" i="5"/>
  <c r="K652" i="5"/>
  <c r="J652" i="5"/>
  <c r="I652" i="5" a="1"/>
  <c r="I652" i="5"/>
  <c r="I110" i="5" a="1"/>
  <c r="I110" i="5"/>
  <c r="H110" i="5" a="1"/>
  <c r="H110" i="5"/>
  <c r="G110" i="5"/>
  <c r="P110" i="5"/>
  <c r="F110" i="5"/>
  <c r="O110" i="5"/>
  <c r="N110" i="5"/>
  <c r="M110" i="5"/>
  <c r="L110" i="5"/>
  <c r="B110" i="5"/>
  <c r="K110" i="5"/>
  <c r="J110" i="5"/>
  <c r="G661" i="5"/>
  <c r="P661" i="5"/>
  <c r="F661" i="5"/>
  <c r="O661" i="5"/>
  <c r="N661" i="5"/>
  <c r="M661" i="5"/>
  <c r="L661" i="5"/>
  <c r="B661" i="5"/>
  <c r="K661" i="5"/>
  <c r="J661" i="5"/>
  <c r="I661" i="5" a="1"/>
  <c r="I661" i="5"/>
  <c r="H661" i="5" a="1"/>
  <c r="H661" i="5"/>
  <c r="M46" i="5"/>
  <c r="L46" i="5"/>
  <c r="B46" i="5"/>
  <c r="K46" i="5"/>
  <c r="J46" i="5"/>
  <c r="I46" i="5" a="1"/>
  <c r="I46" i="5"/>
  <c r="H46" i="5" a="1"/>
  <c r="H46" i="5"/>
  <c r="G46" i="5"/>
  <c r="P46" i="5"/>
  <c r="F46" i="5"/>
  <c r="N46" i="5"/>
  <c r="O46" i="5"/>
  <c r="G313" i="5"/>
  <c r="P313" i="5"/>
  <c r="F313" i="5"/>
  <c r="O313" i="5"/>
  <c r="N313" i="5"/>
  <c r="M313" i="5"/>
  <c r="L313" i="5"/>
  <c r="B313" i="5"/>
  <c r="K313" i="5"/>
  <c r="J313" i="5"/>
  <c r="I313" i="5" a="1"/>
  <c r="I313" i="5"/>
  <c r="H313" i="5" a="1"/>
  <c r="H313" i="5"/>
  <c r="G666" i="5"/>
  <c r="P666" i="5"/>
  <c r="F666" i="5"/>
  <c r="O666" i="5"/>
  <c r="N666" i="5"/>
  <c r="M666" i="5"/>
  <c r="L666" i="5"/>
  <c r="B666" i="5"/>
  <c r="K666" i="5"/>
  <c r="J666" i="5"/>
  <c r="I666" i="5" a="1"/>
  <c r="I666" i="5"/>
  <c r="H666" i="5" a="1"/>
  <c r="H666" i="5"/>
  <c r="H453" i="5" a="1"/>
  <c r="H453" i="5"/>
  <c r="G453" i="5"/>
  <c r="P453" i="5"/>
  <c r="F453" i="5"/>
  <c r="O453" i="5"/>
  <c r="N453" i="5"/>
  <c r="M453" i="5"/>
  <c r="L453" i="5"/>
  <c r="B453" i="5"/>
  <c r="K453" i="5"/>
  <c r="J453" i="5"/>
  <c r="I453" i="5" a="1"/>
  <c r="I453" i="5"/>
  <c r="L35" i="5"/>
  <c r="B35" i="5"/>
  <c r="K35" i="5"/>
  <c r="J35" i="5"/>
  <c r="I35" i="5" a="1"/>
  <c r="I35" i="5"/>
  <c r="H35" i="5" a="1"/>
  <c r="H35" i="5"/>
  <c r="G35" i="5"/>
  <c r="P35" i="5"/>
  <c r="F35" i="5"/>
  <c r="O35" i="5"/>
  <c r="N35" i="5"/>
  <c r="M35" i="5"/>
  <c r="M118" i="5"/>
  <c r="L118" i="5"/>
  <c r="B118" i="5"/>
  <c r="K118" i="5"/>
  <c r="J118" i="5"/>
  <c r="I118" i="5" a="1"/>
  <c r="I118" i="5"/>
  <c r="H118" i="5" a="1"/>
  <c r="H118" i="5"/>
  <c r="G118" i="5"/>
  <c r="P118" i="5"/>
  <c r="F118" i="5"/>
  <c r="O118" i="5"/>
  <c r="N118" i="5"/>
  <c r="K60" i="5"/>
  <c r="J60" i="5"/>
  <c r="I60" i="5" a="1"/>
  <c r="I60" i="5"/>
  <c r="H60" i="5" a="1"/>
  <c r="H60" i="5"/>
  <c r="G60" i="5"/>
  <c r="P60" i="5"/>
  <c r="F60" i="5"/>
  <c r="O60" i="5"/>
  <c r="N60" i="5"/>
  <c r="M60" i="5"/>
  <c r="L60" i="5"/>
  <c r="B60" i="5"/>
  <c r="L150" i="5"/>
  <c r="B150" i="5"/>
  <c r="K150" i="5"/>
  <c r="J150" i="5"/>
  <c r="H150" i="5" a="1"/>
  <c r="H150" i="5"/>
  <c r="G150" i="5"/>
  <c r="P150" i="5"/>
  <c r="F150" i="5"/>
  <c r="M150" i="5"/>
  <c r="N150" i="5"/>
  <c r="I150" i="5" a="1"/>
  <c r="I150" i="5"/>
  <c r="O150" i="5"/>
  <c r="G144" i="5"/>
  <c r="P144" i="5"/>
  <c r="F144" i="5"/>
  <c r="M144" i="5"/>
  <c r="L144" i="5"/>
  <c r="B144" i="5"/>
  <c r="K144" i="5"/>
  <c r="O144" i="5"/>
  <c r="N144" i="5"/>
  <c r="J144" i="5"/>
  <c r="I144" i="5" a="1"/>
  <c r="I144" i="5"/>
  <c r="H144" i="5" a="1"/>
  <c r="H144" i="5"/>
  <c r="L198" i="5"/>
  <c r="B198" i="5"/>
  <c r="K198" i="5"/>
  <c r="J198" i="5"/>
  <c r="I198" i="5" a="1"/>
  <c r="I198" i="5"/>
  <c r="H198" i="5" a="1"/>
  <c r="H198" i="5"/>
  <c r="G198" i="5"/>
  <c r="P198" i="5"/>
  <c r="F198" i="5"/>
  <c r="O198" i="5"/>
  <c r="N198" i="5"/>
  <c r="M198" i="5"/>
  <c r="K241" i="5"/>
  <c r="J241" i="5"/>
  <c r="I241" i="5" a="1"/>
  <c r="I241" i="5"/>
  <c r="H241" i="5" a="1"/>
  <c r="H241" i="5"/>
  <c r="G241" i="5"/>
  <c r="P241" i="5"/>
  <c r="F241" i="5"/>
  <c r="O241" i="5"/>
  <c r="N241" i="5"/>
  <c r="M241" i="5"/>
  <c r="L241" i="5"/>
  <c r="B241" i="5"/>
  <c r="G187" i="5"/>
  <c r="P187" i="5"/>
  <c r="F187" i="5"/>
  <c r="O187" i="5"/>
  <c r="N187" i="5"/>
  <c r="M187" i="5"/>
  <c r="L187" i="5"/>
  <c r="B187" i="5"/>
  <c r="K187" i="5"/>
  <c r="J187" i="5"/>
  <c r="I187" i="5" a="1"/>
  <c r="I187" i="5"/>
  <c r="H187" i="5" a="1"/>
  <c r="H187" i="5"/>
  <c r="P242" i="5"/>
  <c r="F242" i="5"/>
  <c r="O242" i="5"/>
  <c r="N242" i="5"/>
  <c r="M242" i="5"/>
  <c r="L242" i="5"/>
  <c r="B242" i="5"/>
  <c r="K242" i="5"/>
  <c r="J242" i="5"/>
  <c r="I242" i="5" a="1"/>
  <c r="I242" i="5"/>
  <c r="H242" i="5" a="1"/>
  <c r="H242" i="5"/>
  <c r="G242" i="5"/>
  <c r="L300" i="5"/>
  <c r="B300" i="5"/>
  <c r="K300" i="5"/>
  <c r="J300" i="5"/>
  <c r="I300" i="5" a="1"/>
  <c r="I300" i="5"/>
  <c r="H300" i="5" a="1"/>
  <c r="H300" i="5"/>
  <c r="G300" i="5"/>
  <c r="P300" i="5"/>
  <c r="F300" i="5"/>
  <c r="O300" i="5"/>
  <c r="N300" i="5"/>
  <c r="M300" i="5"/>
  <c r="K353" i="5"/>
  <c r="J353" i="5"/>
  <c r="H353" i="5" a="1"/>
  <c r="H353" i="5"/>
  <c r="G353" i="5"/>
  <c r="P353" i="5"/>
  <c r="F353" i="5"/>
  <c r="O353" i="5"/>
  <c r="N353" i="5"/>
  <c r="M353" i="5"/>
  <c r="L353" i="5"/>
  <c r="I353" i="5" a="1"/>
  <c r="I353" i="5"/>
  <c r="B353" i="5"/>
  <c r="G253" i="5"/>
  <c r="P253" i="5"/>
  <c r="F253" i="5"/>
  <c r="O253" i="5"/>
  <c r="N253" i="5"/>
  <c r="L253" i="5"/>
  <c r="B253" i="5"/>
  <c r="K253" i="5"/>
  <c r="J253" i="5"/>
  <c r="I253" i="5" a="1"/>
  <c r="I253" i="5"/>
  <c r="M253" i="5"/>
  <c r="H253" i="5" a="1"/>
  <c r="H253" i="5"/>
  <c r="M447" i="5"/>
  <c r="L447" i="5"/>
  <c r="B447" i="5"/>
  <c r="K447" i="5"/>
  <c r="J447" i="5"/>
  <c r="I447" i="5" a="1"/>
  <c r="I447" i="5"/>
  <c r="H447" i="5" a="1"/>
  <c r="H447" i="5"/>
  <c r="G447" i="5"/>
  <c r="P447" i="5"/>
  <c r="F447" i="5"/>
  <c r="O447" i="5"/>
  <c r="N447" i="5"/>
  <c r="K413" i="5"/>
  <c r="J413" i="5"/>
  <c r="I413" i="5" a="1"/>
  <c r="I413" i="5"/>
  <c r="H413" i="5" a="1"/>
  <c r="H413" i="5"/>
  <c r="G413" i="5"/>
  <c r="P413" i="5"/>
  <c r="F413" i="5"/>
  <c r="O413" i="5"/>
  <c r="N413" i="5"/>
  <c r="M413" i="5"/>
  <c r="L413" i="5"/>
  <c r="B413" i="5"/>
  <c r="P402" i="5"/>
  <c r="F402" i="5"/>
  <c r="O402" i="5"/>
  <c r="N402" i="5"/>
  <c r="M402" i="5"/>
  <c r="L402" i="5"/>
  <c r="B402" i="5"/>
  <c r="K402" i="5"/>
  <c r="J402" i="5"/>
  <c r="I402" i="5" a="1"/>
  <c r="I402" i="5"/>
  <c r="H402" i="5" a="1"/>
  <c r="H402" i="5"/>
  <c r="G402" i="5"/>
  <c r="M513" i="5"/>
  <c r="L513" i="5"/>
  <c r="B513" i="5"/>
  <c r="K513" i="5"/>
  <c r="J513" i="5"/>
  <c r="I513" i="5" a="1"/>
  <c r="I513" i="5"/>
  <c r="H513" i="5" a="1"/>
  <c r="H513" i="5"/>
  <c r="G513" i="5"/>
  <c r="P513" i="5"/>
  <c r="F513" i="5"/>
  <c r="O513" i="5"/>
  <c r="N513" i="5"/>
  <c r="O475" i="5"/>
  <c r="N475" i="5"/>
  <c r="M475" i="5"/>
  <c r="L475" i="5"/>
  <c r="B475" i="5"/>
  <c r="K475" i="5"/>
  <c r="J475" i="5"/>
  <c r="I475" i="5" a="1"/>
  <c r="I475" i="5"/>
  <c r="H475" i="5" a="1"/>
  <c r="H475" i="5"/>
  <c r="G475" i="5"/>
  <c r="P475" i="5"/>
  <c r="F475" i="5"/>
  <c r="K559" i="5"/>
  <c r="J559" i="5"/>
  <c r="I559" i="5" a="1"/>
  <c r="I559" i="5"/>
  <c r="H559" i="5" a="1"/>
  <c r="H559" i="5"/>
  <c r="G559" i="5"/>
  <c r="P559" i="5"/>
  <c r="F559" i="5"/>
  <c r="O559" i="5"/>
  <c r="N559" i="5"/>
  <c r="M559" i="5"/>
  <c r="L559" i="5"/>
  <c r="B559" i="5"/>
  <c r="L621" i="5"/>
  <c r="B621" i="5"/>
  <c r="K621" i="5"/>
  <c r="J621" i="5"/>
  <c r="I621" i="5" a="1"/>
  <c r="I621" i="5"/>
  <c r="H621" i="5" a="1"/>
  <c r="H621" i="5"/>
  <c r="G621" i="5"/>
  <c r="P621" i="5"/>
  <c r="F621" i="5"/>
  <c r="O621" i="5"/>
  <c r="N621" i="5"/>
  <c r="M621" i="5"/>
  <c r="L660" i="5"/>
  <c r="B660" i="5"/>
  <c r="K660" i="5"/>
  <c r="J660" i="5"/>
  <c r="I660" i="5" a="1"/>
  <c r="I660" i="5"/>
  <c r="H660" i="5" a="1"/>
  <c r="H660" i="5"/>
  <c r="G660" i="5"/>
  <c r="P660" i="5"/>
  <c r="F660" i="5"/>
  <c r="O660" i="5"/>
  <c r="N660" i="5"/>
  <c r="M660" i="5"/>
  <c r="L704" i="5"/>
  <c r="B704" i="5"/>
  <c r="K704" i="5"/>
  <c r="J704" i="5"/>
  <c r="I704" i="5" a="1"/>
  <c r="I704" i="5"/>
  <c r="H704" i="5" a="1"/>
  <c r="H704" i="5"/>
  <c r="G704" i="5"/>
  <c r="P704" i="5"/>
  <c r="F704" i="5"/>
  <c r="O704" i="5"/>
  <c r="N704" i="5"/>
  <c r="M704" i="5"/>
  <c r="M750" i="5"/>
  <c r="L750" i="5"/>
  <c r="B750" i="5"/>
  <c r="K750" i="5"/>
  <c r="J750" i="5"/>
  <c r="I750" i="5" a="1"/>
  <c r="I750" i="5"/>
  <c r="H750" i="5" a="1"/>
  <c r="H750" i="5"/>
  <c r="G750" i="5"/>
  <c r="N750" i="5"/>
  <c r="P750" i="5"/>
  <c r="O750" i="5"/>
  <c r="F750" i="5"/>
  <c r="O789" i="5"/>
  <c r="M789" i="5"/>
  <c r="I789" i="5" a="1"/>
  <c r="I789" i="5"/>
  <c r="H789" i="5" a="1"/>
  <c r="H789" i="5"/>
  <c r="K789" i="5"/>
  <c r="J789" i="5"/>
  <c r="G789" i="5"/>
  <c r="F789" i="5"/>
  <c r="B789" i="5"/>
  <c r="P789" i="5"/>
  <c r="N789" i="5"/>
  <c r="L789" i="5"/>
  <c r="O820" i="5"/>
  <c r="I820" i="5" a="1"/>
  <c r="I820" i="5"/>
  <c r="N820" i="5"/>
  <c r="B820" i="5"/>
  <c r="M820" i="5"/>
  <c r="L820" i="5"/>
  <c r="K820" i="5"/>
  <c r="J820" i="5"/>
  <c r="H820" i="5" a="1"/>
  <c r="H820" i="5"/>
  <c r="G820" i="5"/>
  <c r="F820" i="5"/>
  <c r="P820" i="5"/>
  <c r="M858" i="5"/>
  <c r="H858" i="5" a="1"/>
  <c r="H858" i="5"/>
  <c r="I858" i="5" a="1"/>
  <c r="I858" i="5"/>
  <c r="O858" i="5"/>
  <c r="K858" i="5"/>
  <c r="G858" i="5"/>
  <c r="F858" i="5"/>
  <c r="L858" i="5"/>
  <c r="J858" i="5"/>
  <c r="P858" i="5"/>
  <c r="N858" i="5"/>
  <c r="B858" i="5"/>
  <c r="P838" i="5"/>
  <c r="F838" i="5"/>
  <c r="M838" i="5"/>
  <c r="K838" i="5"/>
  <c r="J838" i="5"/>
  <c r="L838" i="5"/>
  <c r="I838" i="5" a="1"/>
  <c r="I838" i="5"/>
  <c r="G838" i="5"/>
  <c r="O838" i="5"/>
  <c r="N838" i="5"/>
  <c r="H838" i="5" a="1"/>
  <c r="H838" i="5"/>
  <c r="B838" i="5"/>
  <c r="N840" i="5"/>
  <c r="K840" i="5"/>
  <c r="I840" i="5" a="1"/>
  <c r="I840" i="5"/>
  <c r="H840" i="5" a="1"/>
  <c r="H840" i="5"/>
  <c r="B840" i="5"/>
  <c r="P840" i="5"/>
  <c r="M840" i="5"/>
  <c r="L840" i="5"/>
  <c r="J840" i="5"/>
  <c r="G840" i="5"/>
  <c r="F840" i="5"/>
  <c r="O840" i="5"/>
  <c r="H464" i="5" a="1"/>
  <c r="H464" i="5"/>
  <c r="G464" i="5"/>
  <c r="P464" i="5"/>
  <c r="F464" i="5"/>
  <c r="O464" i="5"/>
  <c r="N464" i="5"/>
  <c r="M464" i="5"/>
  <c r="L464" i="5"/>
  <c r="B464" i="5"/>
  <c r="I464" i="5" a="1"/>
  <c r="I464" i="5"/>
  <c r="K464" i="5"/>
  <c r="J464" i="5"/>
  <c r="I701" i="5" a="1"/>
  <c r="I701" i="5"/>
  <c r="H701" i="5" a="1"/>
  <c r="H701" i="5"/>
  <c r="G701" i="5"/>
  <c r="P701" i="5"/>
  <c r="F701" i="5"/>
  <c r="O701" i="5"/>
  <c r="N701" i="5"/>
  <c r="M701" i="5"/>
  <c r="L701" i="5"/>
  <c r="B701" i="5"/>
  <c r="J701" i="5"/>
  <c r="K701" i="5"/>
  <c r="J510" i="5"/>
  <c r="I510" i="5" a="1"/>
  <c r="I510" i="5"/>
  <c r="H510" i="5" a="1"/>
  <c r="H510" i="5"/>
  <c r="G510" i="5"/>
  <c r="P510" i="5"/>
  <c r="F510" i="5"/>
  <c r="O510" i="5"/>
  <c r="N510" i="5"/>
  <c r="M510" i="5"/>
  <c r="L510" i="5"/>
  <c r="B510" i="5"/>
  <c r="K510" i="5"/>
  <c r="H756" i="5" a="1"/>
  <c r="H756" i="5"/>
  <c r="G756" i="5"/>
  <c r="P756" i="5"/>
  <c r="F756" i="5"/>
  <c r="O756" i="5"/>
  <c r="N756" i="5"/>
  <c r="M756" i="5"/>
  <c r="L756" i="5"/>
  <c r="B756" i="5"/>
  <c r="K756" i="5"/>
  <c r="J756" i="5"/>
  <c r="I756" i="5" a="1"/>
  <c r="I756" i="5"/>
  <c r="I147" i="5" a="1"/>
  <c r="I147" i="5"/>
  <c r="H147" i="5" a="1"/>
  <c r="H147" i="5"/>
  <c r="P147" i="5"/>
  <c r="F147" i="5"/>
  <c r="O147" i="5"/>
  <c r="N147" i="5"/>
  <c r="M147" i="5"/>
  <c r="J147" i="5"/>
  <c r="G147" i="5"/>
  <c r="B147" i="5"/>
  <c r="L147" i="5"/>
  <c r="K147" i="5"/>
  <c r="K271" i="5"/>
  <c r="J271" i="5"/>
  <c r="I271" i="5" a="1"/>
  <c r="I271" i="5"/>
  <c r="H271" i="5" a="1"/>
  <c r="H271" i="5"/>
  <c r="G271" i="5"/>
  <c r="P271" i="5"/>
  <c r="F271" i="5"/>
  <c r="O271" i="5"/>
  <c r="N271" i="5"/>
  <c r="M271" i="5"/>
  <c r="L271" i="5"/>
  <c r="B271" i="5"/>
  <c r="K723" i="5"/>
  <c r="J723" i="5"/>
  <c r="I723" i="5" a="1"/>
  <c r="I723" i="5"/>
  <c r="H723" i="5" a="1"/>
  <c r="H723" i="5"/>
  <c r="G723" i="5"/>
  <c r="P723" i="5"/>
  <c r="F723" i="5"/>
  <c r="O723" i="5"/>
  <c r="N723" i="5"/>
  <c r="M723" i="5"/>
  <c r="L723" i="5"/>
  <c r="B723" i="5"/>
  <c r="G126" i="5"/>
  <c r="P126" i="5"/>
  <c r="F126" i="5"/>
  <c r="O126" i="5"/>
  <c r="N126" i="5"/>
  <c r="M126" i="5"/>
  <c r="L126" i="5"/>
  <c r="B126" i="5"/>
  <c r="K126" i="5"/>
  <c r="J126" i="5"/>
  <c r="I126" i="5" a="1"/>
  <c r="I126" i="5"/>
  <c r="H126" i="5" a="1"/>
  <c r="H126" i="5"/>
  <c r="I594" i="5" a="1"/>
  <c r="I594" i="5"/>
  <c r="H594" i="5" a="1"/>
  <c r="H594" i="5"/>
  <c r="G594" i="5"/>
  <c r="P594" i="5"/>
  <c r="F594" i="5"/>
  <c r="O594" i="5"/>
  <c r="N594" i="5"/>
  <c r="M594" i="5"/>
  <c r="K594" i="5"/>
  <c r="J594" i="5"/>
  <c r="L594" i="5"/>
  <c r="B594" i="5"/>
  <c r="N75" i="5"/>
  <c r="M75" i="5"/>
  <c r="L75" i="5"/>
  <c r="B75" i="5"/>
  <c r="K75" i="5"/>
  <c r="J75" i="5"/>
  <c r="I75" i="5" a="1"/>
  <c r="I75" i="5"/>
  <c r="H75" i="5" a="1"/>
  <c r="H75" i="5"/>
  <c r="G75" i="5"/>
  <c r="P75" i="5"/>
  <c r="F75" i="5"/>
  <c r="O75" i="5"/>
  <c r="J432" i="5"/>
  <c r="I432" i="5" a="1"/>
  <c r="I432" i="5"/>
  <c r="H432" i="5" a="1"/>
  <c r="H432" i="5"/>
  <c r="G432" i="5"/>
  <c r="P432" i="5"/>
  <c r="F432" i="5"/>
  <c r="O432" i="5"/>
  <c r="N432" i="5"/>
  <c r="M432" i="5"/>
  <c r="L432" i="5"/>
  <c r="B432" i="5"/>
  <c r="K432" i="5"/>
  <c r="J686" i="5"/>
  <c r="I686" i="5" a="1"/>
  <c r="I686" i="5"/>
  <c r="H686" i="5" a="1"/>
  <c r="H686" i="5"/>
  <c r="G686" i="5"/>
  <c r="P686" i="5"/>
  <c r="F686" i="5"/>
  <c r="O686" i="5"/>
  <c r="N686" i="5"/>
  <c r="M686" i="5"/>
  <c r="L686" i="5"/>
  <c r="B686" i="5"/>
  <c r="K686" i="5"/>
  <c r="G119" i="5"/>
  <c r="P119" i="5"/>
  <c r="F119" i="5"/>
  <c r="O119" i="5"/>
  <c r="N119" i="5"/>
  <c r="M119" i="5"/>
  <c r="L119" i="5"/>
  <c r="B119" i="5"/>
  <c r="K119" i="5"/>
  <c r="J119" i="5"/>
  <c r="I119" i="5" a="1"/>
  <c r="I119" i="5"/>
  <c r="H119" i="5" a="1"/>
  <c r="H119" i="5"/>
  <c r="G473" i="5"/>
  <c r="P473" i="5"/>
  <c r="F473" i="5"/>
  <c r="O473" i="5"/>
  <c r="N473" i="5"/>
  <c r="M473" i="5"/>
  <c r="L473" i="5"/>
  <c r="B473" i="5"/>
  <c r="K473" i="5"/>
  <c r="J473" i="5"/>
  <c r="I473" i="5" a="1"/>
  <c r="I473" i="5"/>
  <c r="H473" i="5" a="1"/>
  <c r="H473" i="5"/>
  <c r="G729" i="5"/>
  <c r="P729" i="5"/>
  <c r="F729" i="5"/>
  <c r="O729" i="5"/>
  <c r="N729" i="5"/>
  <c r="M729" i="5"/>
  <c r="L729" i="5"/>
  <c r="B729" i="5"/>
  <c r="K729" i="5"/>
  <c r="J729" i="5"/>
  <c r="I729" i="5" a="1"/>
  <c r="I729" i="5"/>
  <c r="H729" i="5" a="1"/>
  <c r="H729" i="5"/>
  <c r="I159" i="5" a="1"/>
  <c r="I159" i="5"/>
  <c r="H159" i="5" a="1"/>
  <c r="H159" i="5"/>
  <c r="G159" i="5"/>
  <c r="P159" i="5"/>
  <c r="F159" i="5"/>
  <c r="O159" i="5"/>
  <c r="N159" i="5"/>
  <c r="M159" i="5"/>
  <c r="L159" i="5"/>
  <c r="B159" i="5"/>
  <c r="K159" i="5"/>
  <c r="J159" i="5"/>
  <c r="H625" i="5" a="1"/>
  <c r="H625" i="5"/>
  <c r="G625" i="5"/>
  <c r="P625" i="5"/>
  <c r="F625" i="5"/>
  <c r="O625" i="5"/>
  <c r="N625" i="5"/>
  <c r="M625" i="5"/>
  <c r="L625" i="5"/>
  <c r="B625" i="5"/>
  <c r="K625" i="5"/>
  <c r="J625" i="5"/>
  <c r="I625" i="5" a="1"/>
  <c r="I625" i="5"/>
  <c r="O38" i="5"/>
  <c r="P38" i="5"/>
  <c r="N38" i="5"/>
  <c r="M38" i="5"/>
  <c r="L38" i="5"/>
  <c r="B38" i="5"/>
  <c r="K38" i="5"/>
  <c r="J38" i="5"/>
  <c r="I38" i="5" a="1"/>
  <c r="I38" i="5"/>
  <c r="H38" i="5" a="1"/>
  <c r="H38" i="5"/>
  <c r="G38" i="5"/>
  <c r="F38" i="5"/>
  <c r="N526" i="5"/>
  <c r="M526" i="5"/>
  <c r="L526" i="5"/>
  <c r="B526" i="5"/>
  <c r="K526" i="5"/>
  <c r="J526" i="5"/>
  <c r="I526" i="5" a="1"/>
  <c r="I526" i="5"/>
  <c r="H526" i="5" a="1"/>
  <c r="H526" i="5"/>
  <c r="O526" i="5"/>
  <c r="P526" i="5"/>
  <c r="G526" i="5"/>
  <c r="F526" i="5"/>
  <c r="O663" i="5"/>
  <c r="N663" i="5"/>
  <c r="M663" i="5"/>
  <c r="L663" i="5"/>
  <c r="B663" i="5"/>
  <c r="K663" i="5"/>
  <c r="J663" i="5"/>
  <c r="I663" i="5" a="1"/>
  <c r="I663" i="5"/>
  <c r="H663" i="5" a="1"/>
  <c r="H663" i="5"/>
  <c r="G663" i="5"/>
  <c r="P663" i="5"/>
  <c r="F663" i="5"/>
  <c r="J224" i="5"/>
  <c r="I224" i="5" a="1"/>
  <c r="I224" i="5"/>
  <c r="H224" i="5" a="1"/>
  <c r="H224" i="5"/>
  <c r="G224" i="5"/>
  <c r="P224" i="5"/>
  <c r="F224" i="5"/>
  <c r="O224" i="5"/>
  <c r="N224" i="5"/>
  <c r="M224" i="5"/>
  <c r="L224" i="5"/>
  <c r="B224" i="5"/>
  <c r="K224" i="5"/>
  <c r="J706" i="5"/>
  <c r="I706" i="5" a="1"/>
  <c r="I706" i="5"/>
  <c r="H706" i="5" a="1"/>
  <c r="H706" i="5"/>
  <c r="G706" i="5"/>
  <c r="P706" i="5"/>
  <c r="F706" i="5"/>
  <c r="O706" i="5"/>
  <c r="N706" i="5"/>
  <c r="M706" i="5"/>
  <c r="L706" i="5"/>
  <c r="B706" i="5"/>
  <c r="K706" i="5"/>
  <c r="H154" i="5" a="1"/>
  <c r="H154" i="5"/>
  <c r="G154" i="5"/>
  <c r="P154" i="5"/>
  <c r="F154" i="5"/>
  <c r="O154" i="5"/>
  <c r="N154" i="5"/>
  <c r="M154" i="5"/>
  <c r="L154" i="5"/>
  <c r="B154" i="5"/>
  <c r="J154" i="5"/>
  <c r="I154" i="5" a="1"/>
  <c r="I154" i="5"/>
  <c r="K154" i="5"/>
  <c r="J396" i="5"/>
  <c r="I396" i="5" a="1"/>
  <c r="I396" i="5"/>
  <c r="H396" i="5" a="1"/>
  <c r="H396" i="5"/>
  <c r="G396" i="5"/>
  <c r="P396" i="5"/>
  <c r="F396" i="5"/>
  <c r="O396" i="5"/>
  <c r="N396" i="5"/>
  <c r="M396" i="5"/>
  <c r="L396" i="5"/>
  <c r="B396" i="5"/>
  <c r="K396" i="5"/>
  <c r="G673" i="5"/>
  <c r="P673" i="5"/>
  <c r="F673" i="5"/>
  <c r="O673" i="5"/>
  <c r="N673" i="5"/>
  <c r="M673" i="5"/>
  <c r="L673" i="5"/>
  <c r="B673" i="5"/>
  <c r="K673" i="5"/>
  <c r="J673" i="5"/>
  <c r="I673" i="5" a="1"/>
  <c r="I673" i="5"/>
  <c r="H673" i="5" a="1"/>
  <c r="H673" i="5"/>
  <c r="I505" i="5" a="1"/>
  <c r="I505" i="5"/>
  <c r="H505" i="5" a="1"/>
  <c r="H505" i="5"/>
  <c r="G505" i="5"/>
  <c r="P505" i="5"/>
  <c r="F505" i="5"/>
  <c r="O505" i="5"/>
  <c r="N505" i="5"/>
  <c r="M505" i="5"/>
  <c r="L505" i="5"/>
  <c r="B505" i="5"/>
  <c r="K505" i="5"/>
  <c r="J505" i="5"/>
  <c r="K6" i="5"/>
  <c r="G6" i="5"/>
  <c r="P6" i="5"/>
  <c r="F6" i="5"/>
  <c r="L6" i="5"/>
  <c r="B6" i="5"/>
  <c r="M130" i="5"/>
  <c r="L130" i="5"/>
  <c r="B130" i="5"/>
  <c r="K130" i="5"/>
  <c r="J130" i="5"/>
  <c r="I130" i="5" a="1"/>
  <c r="I130" i="5"/>
  <c r="H130" i="5" a="1"/>
  <c r="H130" i="5"/>
  <c r="G130" i="5"/>
  <c r="P130" i="5"/>
  <c r="F130" i="5"/>
  <c r="O130" i="5"/>
  <c r="N130" i="5"/>
  <c r="K72" i="5"/>
  <c r="J72" i="5"/>
  <c r="I72" i="5" a="1"/>
  <c r="I72" i="5"/>
  <c r="H72" i="5" a="1"/>
  <c r="H72" i="5"/>
  <c r="G72" i="5"/>
  <c r="P72" i="5"/>
  <c r="F72" i="5"/>
  <c r="O72" i="5"/>
  <c r="N72" i="5"/>
  <c r="M72" i="5"/>
  <c r="L72" i="5"/>
  <c r="B72" i="5"/>
  <c r="G42" i="5"/>
  <c r="P42" i="5"/>
  <c r="F42" i="5"/>
  <c r="O42" i="5"/>
  <c r="N42" i="5"/>
  <c r="L42" i="5"/>
  <c r="B42" i="5"/>
  <c r="K42" i="5"/>
  <c r="J42" i="5"/>
  <c r="I42" i="5" a="1"/>
  <c r="I42" i="5"/>
  <c r="M42" i="5"/>
  <c r="H42" i="5" a="1"/>
  <c r="H42" i="5"/>
  <c r="M155" i="5"/>
  <c r="L155" i="5"/>
  <c r="B155" i="5"/>
  <c r="K155" i="5"/>
  <c r="J155" i="5"/>
  <c r="I155" i="5" a="1"/>
  <c r="I155" i="5"/>
  <c r="H155" i="5" a="1"/>
  <c r="H155" i="5"/>
  <c r="G155" i="5"/>
  <c r="O155" i="5"/>
  <c r="N155" i="5"/>
  <c r="P155" i="5"/>
  <c r="F155" i="5"/>
  <c r="L210" i="5"/>
  <c r="B210" i="5"/>
  <c r="K210" i="5"/>
  <c r="J210" i="5"/>
  <c r="I210" i="5" a="1"/>
  <c r="I210" i="5"/>
  <c r="H210" i="5" a="1"/>
  <c r="H210" i="5"/>
  <c r="G210" i="5"/>
  <c r="P210" i="5"/>
  <c r="F210" i="5"/>
  <c r="O210" i="5"/>
  <c r="N210" i="5"/>
  <c r="M210" i="5"/>
  <c r="K247" i="5"/>
  <c r="J247" i="5"/>
  <c r="I247" i="5" a="1"/>
  <c r="I247" i="5"/>
  <c r="G247" i="5"/>
  <c r="P247" i="5"/>
  <c r="F247" i="5"/>
  <c r="O247" i="5"/>
  <c r="L247" i="5"/>
  <c r="B247" i="5"/>
  <c r="N247" i="5"/>
  <c r="M247" i="5"/>
  <c r="H247" i="5" a="1"/>
  <c r="H247" i="5"/>
  <c r="G199" i="5"/>
  <c r="P199" i="5"/>
  <c r="F199" i="5"/>
  <c r="O199" i="5"/>
  <c r="N199" i="5"/>
  <c r="M199" i="5"/>
  <c r="L199" i="5"/>
  <c r="B199" i="5"/>
  <c r="K199" i="5"/>
  <c r="J199" i="5"/>
  <c r="I199" i="5" a="1"/>
  <c r="I199" i="5"/>
  <c r="H199" i="5" a="1"/>
  <c r="H199" i="5"/>
  <c r="K259" i="5"/>
  <c r="J259" i="5"/>
  <c r="I259" i="5" a="1"/>
  <c r="I259" i="5"/>
  <c r="H259" i="5" a="1"/>
  <c r="H259" i="5"/>
  <c r="G259" i="5"/>
  <c r="P259" i="5"/>
  <c r="F259" i="5"/>
  <c r="O259" i="5"/>
  <c r="M259" i="5"/>
  <c r="L259" i="5"/>
  <c r="B259" i="5"/>
  <c r="N259" i="5"/>
  <c r="L312" i="5"/>
  <c r="B312" i="5"/>
  <c r="K312" i="5"/>
  <c r="J312" i="5"/>
  <c r="I312" i="5" a="1"/>
  <c r="I312" i="5"/>
  <c r="H312" i="5" a="1"/>
  <c r="H312" i="5"/>
  <c r="G312" i="5"/>
  <c r="P312" i="5"/>
  <c r="F312" i="5"/>
  <c r="O312" i="5"/>
  <c r="N312" i="5"/>
  <c r="M312" i="5"/>
  <c r="H299" i="5" a="1"/>
  <c r="H299" i="5"/>
  <c r="G299" i="5"/>
  <c r="P299" i="5"/>
  <c r="F299" i="5"/>
  <c r="O299" i="5"/>
  <c r="N299" i="5"/>
  <c r="M299" i="5"/>
  <c r="L299" i="5"/>
  <c r="B299" i="5"/>
  <c r="K299" i="5"/>
  <c r="J299" i="5"/>
  <c r="I299" i="5" a="1"/>
  <c r="I299" i="5"/>
  <c r="G265" i="5"/>
  <c r="P265" i="5"/>
  <c r="F265" i="5"/>
  <c r="O265" i="5"/>
  <c r="N265" i="5"/>
  <c r="M265" i="5"/>
  <c r="L265" i="5"/>
  <c r="B265" i="5"/>
  <c r="K265" i="5"/>
  <c r="J265" i="5"/>
  <c r="I265" i="5" a="1"/>
  <c r="I265" i="5"/>
  <c r="H265" i="5" a="1"/>
  <c r="H265" i="5"/>
  <c r="L382" i="5"/>
  <c r="B382" i="5"/>
  <c r="K382" i="5"/>
  <c r="J382" i="5"/>
  <c r="I382" i="5" a="1"/>
  <c r="I382" i="5"/>
  <c r="H382" i="5" a="1"/>
  <c r="H382" i="5"/>
  <c r="G382" i="5"/>
  <c r="P382" i="5"/>
  <c r="F382" i="5"/>
  <c r="O382" i="5"/>
  <c r="N382" i="5"/>
  <c r="M382" i="5"/>
  <c r="K425" i="5"/>
  <c r="J425" i="5"/>
  <c r="I425" i="5" a="1"/>
  <c r="I425" i="5"/>
  <c r="H425" i="5" a="1"/>
  <c r="H425" i="5"/>
  <c r="G425" i="5"/>
  <c r="P425" i="5"/>
  <c r="F425" i="5"/>
  <c r="O425" i="5"/>
  <c r="N425" i="5"/>
  <c r="M425" i="5"/>
  <c r="L425" i="5"/>
  <c r="B425" i="5"/>
  <c r="P414" i="5"/>
  <c r="F414" i="5"/>
  <c r="O414" i="5"/>
  <c r="N414" i="5"/>
  <c r="M414" i="5"/>
  <c r="L414" i="5"/>
  <c r="B414" i="5"/>
  <c r="K414" i="5"/>
  <c r="J414" i="5"/>
  <c r="I414" i="5" a="1"/>
  <c r="I414" i="5"/>
  <c r="H414" i="5" a="1"/>
  <c r="H414" i="5"/>
  <c r="G414" i="5"/>
  <c r="L472" i="5"/>
  <c r="B472" i="5"/>
  <c r="K472" i="5"/>
  <c r="J472" i="5"/>
  <c r="I472" i="5" a="1"/>
  <c r="I472" i="5"/>
  <c r="H472" i="5" a="1"/>
  <c r="H472" i="5"/>
  <c r="G472" i="5"/>
  <c r="P472" i="5"/>
  <c r="F472" i="5"/>
  <c r="O472" i="5"/>
  <c r="N472" i="5"/>
  <c r="M472" i="5"/>
  <c r="M533" i="5"/>
  <c r="L533" i="5"/>
  <c r="B533" i="5"/>
  <c r="K533" i="5"/>
  <c r="J533" i="5"/>
  <c r="I533" i="5" a="1"/>
  <c r="I533" i="5"/>
  <c r="H533" i="5" a="1"/>
  <c r="H533" i="5"/>
  <c r="G533" i="5"/>
  <c r="P533" i="5"/>
  <c r="F533" i="5"/>
  <c r="O533" i="5"/>
  <c r="N533" i="5"/>
  <c r="K571" i="5"/>
  <c r="J571" i="5"/>
  <c r="I571" i="5" a="1"/>
  <c r="I571" i="5"/>
  <c r="H571" i="5" a="1"/>
  <c r="H571" i="5"/>
  <c r="G571" i="5"/>
  <c r="P571" i="5"/>
  <c r="F571" i="5"/>
  <c r="O571" i="5"/>
  <c r="N571" i="5"/>
  <c r="M571" i="5"/>
  <c r="L571" i="5"/>
  <c r="B571" i="5"/>
  <c r="L633" i="5"/>
  <c r="B633" i="5"/>
  <c r="K633" i="5"/>
  <c r="J633" i="5"/>
  <c r="I633" i="5" a="1"/>
  <c r="I633" i="5"/>
  <c r="H633" i="5" a="1"/>
  <c r="H633" i="5"/>
  <c r="G633" i="5"/>
  <c r="P633" i="5"/>
  <c r="F633" i="5"/>
  <c r="O633" i="5"/>
  <c r="N633" i="5"/>
  <c r="M633" i="5"/>
  <c r="L672" i="5"/>
  <c r="B672" i="5"/>
  <c r="K672" i="5"/>
  <c r="J672" i="5"/>
  <c r="I672" i="5" a="1"/>
  <c r="I672" i="5"/>
  <c r="H672" i="5" a="1"/>
  <c r="H672" i="5"/>
  <c r="G672" i="5"/>
  <c r="P672" i="5"/>
  <c r="F672" i="5"/>
  <c r="O672" i="5"/>
  <c r="N672" i="5"/>
  <c r="M672" i="5"/>
  <c r="L716" i="5"/>
  <c r="B716" i="5"/>
  <c r="K716" i="5"/>
  <c r="J716" i="5"/>
  <c r="I716" i="5" a="1"/>
  <c r="I716" i="5"/>
  <c r="H716" i="5" a="1"/>
  <c r="H716" i="5"/>
  <c r="G716" i="5"/>
  <c r="P716" i="5"/>
  <c r="F716" i="5"/>
  <c r="O716" i="5"/>
  <c r="N716" i="5"/>
  <c r="M716" i="5"/>
  <c r="M762" i="5"/>
  <c r="L762" i="5"/>
  <c r="B762" i="5"/>
  <c r="K762" i="5"/>
  <c r="J762" i="5"/>
  <c r="I762" i="5" a="1"/>
  <c r="I762" i="5"/>
  <c r="H762" i="5" a="1"/>
  <c r="H762" i="5"/>
  <c r="G762" i="5"/>
  <c r="P762" i="5"/>
  <c r="F762" i="5"/>
  <c r="O762" i="5"/>
  <c r="N762" i="5"/>
  <c r="M791" i="5"/>
  <c r="L791" i="5"/>
  <c r="B791" i="5"/>
  <c r="K791" i="5"/>
  <c r="H791" i="5" a="1"/>
  <c r="H791" i="5"/>
  <c r="G791" i="5"/>
  <c r="N791" i="5"/>
  <c r="J791" i="5"/>
  <c r="I791" i="5" a="1"/>
  <c r="I791" i="5"/>
  <c r="F791" i="5"/>
  <c r="P791" i="5"/>
  <c r="O791" i="5"/>
  <c r="I826" i="5" a="1"/>
  <c r="I826" i="5"/>
  <c r="O826" i="5"/>
  <c r="N826" i="5"/>
  <c r="B826" i="5"/>
  <c r="M826" i="5"/>
  <c r="L826" i="5"/>
  <c r="K826" i="5"/>
  <c r="J826" i="5"/>
  <c r="H826" i="5" a="1"/>
  <c r="H826" i="5"/>
  <c r="G826" i="5"/>
  <c r="F826" i="5"/>
  <c r="P826" i="5"/>
  <c r="G804" i="5"/>
  <c r="P804" i="5"/>
  <c r="F804" i="5"/>
  <c r="O804" i="5"/>
  <c r="N804" i="5"/>
  <c r="M804" i="5"/>
  <c r="L804" i="5"/>
  <c r="B804" i="5"/>
  <c r="K804" i="5"/>
  <c r="J804" i="5"/>
  <c r="H804" i="5" a="1"/>
  <c r="H804" i="5"/>
  <c r="I804" i="5" a="1"/>
  <c r="I804" i="5"/>
  <c r="K849" i="5"/>
  <c r="M849" i="5"/>
  <c r="N849" i="5"/>
  <c r="J849" i="5"/>
  <c r="I849" i="5" a="1"/>
  <c r="I849" i="5"/>
  <c r="O849" i="5"/>
  <c r="L849" i="5"/>
  <c r="G849" i="5"/>
  <c r="F849" i="5"/>
  <c r="B849" i="5"/>
  <c r="P849" i="5"/>
  <c r="H849" i="5" a="1"/>
  <c r="H849" i="5"/>
  <c r="O856" i="5"/>
  <c r="N856" i="5"/>
  <c r="L856" i="5"/>
  <c r="K856" i="5"/>
  <c r="J856" i="5"/>
  <c r="I856" i="5" a="1"/>
  <c r="I856" i="5"/>
  <c r="H856" i="5" a="1"/>
  <c r="H856" i="5"/>
  <c r="G856" i="5"/>
  <c r="F856" i="5"/>
  <c r="B856" i="5"/>
  <c r="P856" i="5"/>
  <c r="M856" i="5"/>
  <c r="J408" i="5"/>
  <c r="I408" i="5" a="1"/>
  <c r="I408" i="5"/>
  <c r="H408" i="5" a="1"/>
  <c r="H408" i="5"/>
  <c r="G408" i="5"/>
  <c r="P408" i="5"/>
  <c r="F408" i="5"/>
  <c r="O408" i="5"/>
  <c r="N408" i="5"/>
  <c r="M408" i="5"/>
  <c r="L408" i="5"/>
  <c r="B408" i="5"/>
  <c r="K408" i="5"/>
  <c r="G834" i="5"/>
  <c r="N834" i="5"/>
  <c r="F834" i="5"/>
  <c r="M834" i="5"/>
  <c r="L834" i="5"/>
  <c r="B834" i="5"/>
  <c r="P834" i="5"/>
  <c r="O834" i="5"/>
  <c r="K834" i="5"/>
  <c r="J834" i="5"/>
  <c r="I834" i="5" a="1"/>
  <c r="I834" i="5"/>
  <c r="H834" i="5" a="1"/>
  <c r="H834" i="5"/>
  <c r="I517" i="5" a="1"/>
  <c r="I517" i="5"/>
  <c r="H517" i="5" a="1"/>
  <c r="H517" i="5"/>
  <c r="G517" i="5"/>
  <c r="P517" i="5"/>
  <c r="F517" i="5"/>
  <c r="O517" i="5"/>
  <c r="N517" i="5"/>
  <c r="M517" i="5"/>
  <c r="L517" i="5"/>
  <c r="B517" i="5"/>
  <c r="K517" i="5"/>
  <c r="J517" i="5"/>
  <c r="G775" i="5"/>
  <c r="P775" i="5"/>
  <c r="F775" i="5"/>
  <c r="O775" i="5"/>
  <c r="N775" i="5"/>
  <c r="M775" i="5"/>
  <c r="L775" i="5"/>
  <c r="B775" i="5"/>
  <c r="K775" i="5"/>
  <c r="J775" i="5"/>
  <c r="I775" i="5" a="1"/>
  <c r="I775" i="5"/>
  <c r="H775" i="5" a="1"/>
  <c r="H775" i="5"/>
  <c r="N250" i="5"/>
  <c r="M250" i="5"/>
  <c r="L250" i="5"/>
  <c r="B250" i="5"/>
  <c r="I250" i="5" a="1"/>
  <c r="I250" i="5"/>
  <c r="H250" i="5" a="1"/>
  <c r="H250" i="5"/>
  <c r="O250" i="5"/>
  <c r="F250" i="5"/>
  <c r="P250" i="5"/>
  <c r="K250" i="5"/>
  <c r="J250" i="5"/>
  <c r="G250" i="5"/>
  <c r="I427" i="5" a="1"/>
  <c r="I427" i="5"/>
  <c r="H427" i="5" a="1"/>
  <c r="H427" i="5"/>
  <c r="G427" i="5"/>
  <c r="P427" i="5"/>
  <c r="F427" i="5"/>
  <c r="O427" i="5"/>
  <c r="N427" i="5"/>
  <c r="M427" i="5"/>
  <c r="L427" i="5"/>
  <c r="B427" i="5"/>
  <c r="K427" i="5"/>
  <c r="J427" i="5"/>
  <c r="G102" i="5"/>
  <c r="P102" i="5"/>
  <c r="F102" i="5"/>
  <c r="O102" i="5"/>
  <c r="N102" i="5"/>
  <c r="M102" i="5"/>
  <c r="L102" i="5"/>
  <c r="B102" i="5"/>
  <c r="K102" i="5"/>
  <c r="J102" i="5"/>
  <c r="I102" i="5" a="1"/>
  <c r="I102" i="5"/>
  <c r="H102" i="5" a="1"/>
  <c r="H102" i="5"/>
  <c r="L252" i="5"/>
  <c r="B252" i="5"/>
  <c r="K252" i="5"/>
  <c r="J252" i="5"/>
  <c r="H252" i="5" a="1"/>
  <c r="H252" i="5"/>
  <c r="G252" i="5"/>
  <c r="P252" i="5"/>
  <c r="F252" i="5"/>
  <c r="M252" i="5"/>
  <c r="O252" i="5"/>
  <c r="N252" i="5"/>
  <c r="I252" i="5" a="1"/>
  <c r="I252" i="5"/>
  <c r="M590" i="5"/>
  <c r="L590" i="5"/>
  <c r="B590" i="5"/>
  <c r="K590" i="5"/>
  <c r="J590" i="5"/>
  <c r="I590" i="5" a="1"/>
  <c r="I590" i="5"/>
  <c r="H590" i="5" a="1"/>
  <c r="H590" i="5"/>
  <c r="G590" i="5"/>
  <c r="N590" i="5"/>
  <c r="P590" i="5"/>
  <c r="O590" i="5"/>
  <c r="F590" i="5"/>
  <c r="I74" i="5" a="1"/>
  <c r="I74" i="5"/>
  <c r="H74" i="5" a="1"/>
  <c r="H74" i="5"/>
  <c r="G74" i="5"/>
  <c r="P74" i="5"/>
  <c r="F74" i="5"/>
  <c r="O74" i="5"/>
  <c r="N74" i="5"/>
  <c r="M74" i="5"/>
  <c r="L74" i="5"/>
  <c r="B74" i="5"/>
  <c r="K74" i="5"/>
  <c r="J74" i="5"/>
  <c r="H69" i="5" a="1"/>
  <c r="H69" i="5"/>
  <c r="G69" i="5"/>
  <c r="P69" i="5"/>
  <c r="F69" i="5"/>
  <c r="O69" i="5"/>
  <c r="N69" i="5"/>
  <c r="M69" i="5"/>
  <c r="L69" i="5"/>
  <c r="B69" i="5"/>
  <c r="K69" i="5"/>
  <c r="J69" i="5"/>
  <c r="I69" i="5" a="1"/>
  <c r="I69" i="5"/>
  <c r="J55" i="5"/>
  <c r="I55" i="5" a="1"/>
  <c r="I55" i="5"/>
  <c r="H55" i="5" a="1"/>
  <c r="H55" i="5"/>
  <c r="G55" i="5"/>
  <c r="P55" i="5"/>
  <c r="F55" i="5"/>
  <c r="O55" i="5"/>
  <c r="N55" i="5"/>
  <c r="M55" i="5"/>
  <c r="L55" i="5"/>
  <c r="B55" i="5"/>
  <c r="K55" i="5"/>
  <c r="I415" i="5" a="1"/>
  <c r="I415" i="5"/>
  <c r="H415" i="5" a="1"/>
  <c r="H415" i="5"/>
  <c r="G415" i="5"/>
  <c r="P415" i="5"/>
  <c r="F415" i="5"/>
  <c r="O415" i="5"/>
  <c r="N415" i="5"/>
  <c r="M415" i="5"/>
  <c r="L415" i="5"/>
  <c r="B415" i="5"/>
  <c r="K415" i="5"/>
  <c r="J415" i="5"/>
  <c r="H696" i="5" a="1"/>
  <c r="H696" i="5"/>
  <c r="G696" i="5"/>
  <c r="P696" i="5"/>
  <c r="F696" i="5"/>
  <c r="O696" i="5"/>
  <c r="N696" i="5"/>
  <c r="M696" i="5"/>
  <c r="L696" i="5"/>
  <c r="B696" i="5"/>
  <c r="I696" i="5" a="1"/>
  <c r="I696" i="5"/>
  <c r="K696" i="5"/>
  <c r="J696" i="5"/>
  <c r="J188" i="5"/>
  <c r="I188" i="5" a="1"/>
  <c r="I188" i="5"/>
  <c r="H188" i="5" a="1"/>
  <c r="H188" i="5"/>
  <c r="G188" i="5"/>
  <c r="P188" i="5"/>
  <c r="F188" i="5"/>
  <c r="O188" i="5"/>
  <c r="N188" i="5"/>
  <c r="M188" i="5"/>
  <c r="L188" i="5"/>
  <c r="B188" i="5"/>
  <c r="K188" i="5"/>
  <c r="J542" i="5"/>
  <c r="I542" i="5" a="1"/>
  <c r="I542" i="5"/>
  <c r="H542" i="5" a="1"/>
  <c r="H542" i="5"/>
  <c r="G542" i="5"/>
  <c r="P542" i="5"/>
  <c r="F542" i="5"/>
  <c r="O542" i="5"/>
  <c r="N542" i="5"/>
  <c r="M542" i="5"/>
  <c r="L542" i="5"/>
  <c r="B542" i="5"/>
  <c r="K542" i="5"/>
  <c r="J771" i="5"/>
  <c r="I771" i="5" a="1"/>
  <c r="I771" i="5"/>
  <c r="H771" i="5" a="1"/>
  <c r="H771" i="5"/>
  <c r="G771" i="5"/>
  <c r="P771" i="5"/>
  <c r="F771" i="5"/>
  <c r="O771" i="5"/>
  <c r="N771" i="5"/>
  <c r="M771" i="5"/>
  <c r="L771" i="5"/>
  <c r="B771" i="5"/>
  <c r="K771" i="5"/>
  <c r="I231" i="5" a="1"/>
  <c r="I231" i="5"/>
  <c r="H231" i="5" a="1"/>
  <c r="H231" i="5"/>
  <c r="G231" i="5"/>
  <c r="P231" i="5"/>
  <c r="F231" i="5"/>
  <c r="O231" i="5"/>
  <c r="N231" i="5"/>
  <c r="M231" i="5"/>
  <c r="L231" i="5"/>
  <c r="B231" i="5"/>
  <c r="K231" i="5"/>
  <c r="J231" i="5"/>
  <c r="G642" i="5"/>
  <c r="P642" i="5"/>
  <c r="F642" i="5"/>
  <c r="O642" i="5"/>
  <c r="N642" i="5"/>
  <c r="M642" i="5"/>
  <c r="L642" i="5"/>
  <c r="B642" i="5"/>
  <c r="K642" i="5"/>
  <c r="J642" i="5"/>
  <c r="H642" i="5" a="1"/>
  <c r="H642" i="5"/>
  <c r="I642" i="5" a="1"/>
  <c r="I642" i="5"/>
  <c r="H88" i="5" a="1"/>
  <c r="H88" i="5"/>
  <c r="G88" i="5"/>
  <c r="P88" i="5"/>
  <c r="F88" i="5"/>
  <c r="O88" i="5"/>
  <c r="N88" i="5"/>
  <c r="M88" i="5"/>
  <c r="L88" i="5"/>
  <c r="B88" i="5"/>
  <c r="K88" i="5"/>
  <c r="J88" i="5"/>
  <c r="I88" i="5" a="1"/>
  <c r="I88" i="5"/>
  <c r="I481" i="5" a="1"/>
  <c r="I481" i="5"/>
  <c r="H481" i="5" a="1"/>
  <c r="H481" i="5"/>
  <c r="G481" i="5"/>
  <c r="P481" i="5"/>
  <c r="F481" i="5"/>
  <c r="O481" i="5"/>
  <c r="N481" i="5"/>
  <c r="M481" i="5"/>
  <c r="L481" i="5"/>
  <c r="B481" i="5"/>
  <c r="K481" i="5"/>
  <c r="J481" i="5"/>
  <c r="J694" i="5"/>
  <c r="I694" i="5" a="1"/>
  <c r="I694" i="5"/>
  <c r="H694" i="5" a="1"/>
  <c r="H694" i="5"/>
  <c r="G694" i="5"/>
  <c r="P694" i="5"/>
  <c r="F694" i="5"/>
  <c r="O694" i="5"/>
  <c r="N694" i="5"/>
  <c r="K694" i="5"/>
  <c r="M694" i="5"/>
  <c r="L694" i="5"/>
  <c r="B694" i="5"/>
  <c r="H190" i="5" a="1"/>
  <c r="H190" i="5"/>
  <c r="G190" i="5"/>
  <c r="P190" i="5"/>
  <c r="F190" i="5"/>
  <c r="O190" i="5"/>
  <c r="N190" i="5"/>
  <c r="M190" i="5"/>
  <c r="L190" i="5"/>
  <c r="B190" i="5"/>
  <c r="K190" i="5"/>
  <c r="J190" i="5"/>
  <c r="I190" i="5" a="1"/>
  <c r="I190" i="5"/>
  <c r="O707" i="5"/>
  <c r="N707" i="5"/>
  <c r="M707" i="5"/>
  <c r="L707" i="5"/>
  <c r="B707" i="5"/>
  <c r="K707" i="5"/>
  <c r="J707" i="5"/>
  <c r="I707" i="5" a="1"/>
  <c r="I707" i="5"/>
  <c r="H707" i="5" a="1"/>
  <c r="H707" i="5"/>
  <c r="G707" i="5"/>
  <c r="P707" i="5"/>
  <c r="F707" i="5"/>
  <c r="J91" i="5"/>
  <c r="I91" i="5" a="1"/>
  <c r="I91" i="5"/>
  <c r="H91" i="5" a="1"/>
  <c r="H91" i="5"/>
  <c r="G91" i="5"/>
  <c r="P91" i="5"/>
  <c r="F91" i="5"/>
  <c r="O91" i="5"/>
  <c r="N91" i="5"/>
  <c r="M91" i="5"/>
  <c r="L91" i="5"/>
  <c r="B91" i="5"/>
  <c r="K91" i="5"/>
  <c r="G412" i="5"/>
  <c r="P412" i="5"/>
  <c r="F412" i="5"/>
  <c r="O412" i="5"/>
  <c r="N412" i="5"/>
  <c r="M412" i="5"/>
  <c r="L412" i="5"/>
  <c r="B412" i="5"/>
  <c r="K412" i="5"/>
  <c r="J412" i="5"/>
  <c r="I412" i="5" a="1"/>
  <c r="I412" i="5"/>
  <c r="H412" i="5" a="1"/>
  <c r="H412" i="5"/>
  <c r="J788" i="5"/>
  <c r="P788" i="5"/>
  <c r="F788" i="5"/>
  <c r="N788" i="5"/>
  <c r="L788" i="5"/>
  <c r="K788" i="5"/>
  <c r="I788" i="5" a="1"/>
  <c r="I788" i="5"/>
  <c r="H788" i="5" a="1"/>
  <c r="H788" i="5"/>
  <c r="G788" i="5"/>
  <c r="B788" i="5"/>
  <c r="O788" i="5"/>
  <c r="M788" i="5"/>
  <c r="H556" i="5" a="1"/>
  <c r="H556" i="5"/>
  <c r="G556" i="5"/>
  <c r="P556" i="5"/>
  <c r="F556" i="5"/>
  <c r="O556" i="5"/>
  <c r="N556" i="5"/>
  <c r="M556" i="5"/>
  <c r="L556" i="5"/>
  <c r="B556" i="5"/>
  <c r="K556" i="5"/>
  <c r="J556" i="5"/>
  <c r="I556" i="5" a="1"/>
  <c r="I556" i="5"/>
  <c r="K18" i="5"/>
  <c r="G18" i="5"/>
  <c r="P18" i="5"/>
  <c r="F18" i="5"/>
  <c r="L18" i="5"/>
  <c r="B18" i="5"/>
  <c r="M143" i="5"/>
  <c r="L143" i="5"/>
  <c r="B143" i="5"/>
  <c r="K143" i="5"/>
  <c r="H143" i="5" a="1"/>
  <c r="H143" i="5"/>
  <c r="P143" i="5"/>
  <c r="O143" i="5"/>
  <c r="N143" i="5"/>
  <c r="J143" i="5"/>
  <c r="I143" i="5" a="1"/>
  <c r="I143" i="5"/>
  <c r="G143" i="5"/>
  <c r="F143" i="5"/>
  <c r="K84" i="5"/>
  <c r="J84" i="5"/>
  <c r="I84" i="5" a="1"/>
  <c r="I84" i="5"/>
  <c r="H84" i="5" a="1"/>
  <c r="H84" i="5"/>
  <c r="G84" i="5"/>
  <c r="P84" i="5"/>
  <c r="F84" i="5"/>
  <c r="O84" i="5"/>
  <c r="N84" i="5"/>
  <c r="M84" i="5"/>
  <c r="L84" i="5"/>
  <c r="B84" i="5"/>
  <c r="G54" i="5"/>
  <c r="P54" i="5"/>
  <c r="F54" i="5"/>
  <c r="O54" i="5"/>
  <c r="N54" i="5"/>
  <c r="M54" i="5"/>
  <c r="L54" i="5"/>
  <c r="B54" i="5"/>
  <c r="K54" i="5"/>
  <c r="J54" i="5"/>
  <c r="I54" i="5" a="1"/>
  <c r="I54" i="5"/>
  <c r="H54" i="5" a="1"/>
  <c r="H54" i="5"/>
  <c r="M167" i="5"/>
  <c r="L167" i="5"/>
  <c r="B167" i="5"/>
  <c r="K167" i="5"/>
  <c r="J167" i="5"/>
  <c r="I167" i="5" a="1"/>
  <c r="I167" i="5"/>
  <c r="H167" i="5" a="1"/>
  <c r="H167" i="5"/>
  <c r="G167" i="5"/>
  <c r="P167" i="5"/>
  <c r="F167" i="5"/>
  <c r="O167" i="5"/>
  <c r="N167" i="5"/>
  <c r="L222" i="5"/>
  <c r="B222" i="5"/>
  <c r="K222" i="5"/>
  <c r="J222" i="5"/>
  <c r="I222" i="5" a="1"/>
  <c r="I222" i="5"/>
  <c r="H222" i="5" a="1"/>
  <c r="H222" i="5"/>
  <c r="G222" i="5"/>
  <c r="P222" i="5"/>
  <c r="F222" i="5"/>
  <c r="O222" i="5"/>
  <c r="N222" i="5"/>
  <c r="M222" i="5"/>
  <c r="G156" i="5"/>
  <c r="P156" i="5"/>
  <c r="F156" i="5"/>
  <c r="O156" i="5"/>
  <c r="N156" i="5"/>
  <c r="M156" i="5"/>
  <c r="L156" i="5"/>
  <c r="B156" i="5"/>
  <c r="K156" i="5"/>
  <c r="J156" i="5"/>
  <c r="H156" i="5" a="1"/>
  <c r="H156" i="5"/>
  <c r="I156" i="5" a="1"/>
  <c r="I156" i="5"/>
  <c r="G211" i="5"/>
  <c r="P211" i="5"/>
  <c r="F211" i="5"/>
  <c r="O211" i="5"/>
  <c r="N211" i="5"/>
  <c r="M211" i="5"/>
  <c r="L211" i="5"/>
  <c r="B211" i="5"/>
  <c r="K211" i="5"/>
  <c r="J211" i="5"/>
  <c r="I211" i="5" a="1"/>
  <c r="I211" i="5"/>
  <c r="H211" i="5" a="1"/>
  <c r="H211" i="5"/>
  <c r="M257" i="5"/>
  <c r="L257" i="5"/>
  <c r="B257" i="5"/>
  <c r="K257" i="5"/>
  <c r="J257" i="5"/>
  <c r="H257" i="5" a="1"/>
  <c r="H257" i="5"/>
  <c r="G257" i="5"/>
  <c r="O257" i="5"/>
  <c r="N257" i="5"/>
  <c r="P257" i="5"/>
  <c r="I257" i="5" a="1"/>
  <c r="I257" i="5"/>
  <c r="F257" i="5"/>
  <c r="L324" i="5"/>
  <c r="B324" i="5"/>
  <c r="K324" i="5"/>
  <c r="J324" i="5"/>
  <c r="I324" i="5" a="1"/>
  <c r="I324" i="5"/>
  <c r="H324" i="5" a="1"/>
  <c r="H324" i="5"/>
  <c r="G324" i="5"/>
  <c r="P324" i="5"/>
  <c r="F324" i="5"/>
  <c r="O324" i="5"/>
  <c r="N324" i="5"/>
  <c r="M324" i="5"/>
  <c r="M363" i="5"/>
  <c r="L363" i="5"/>
  <c r="B363" i="5"/>
  <c r="K363" i="5"/>
  <c r="J363" i="5"/>
  <c r="I363" i="5" a="1"/>
  <c r="I363" i="5"/>
  <c r="H363" i="5" a="1"/>
  <c r="H363" i="5"/>
  <c r="G363" i="5"/>
  <c r="P363" i="5"/>
  <c r="F363" i="5"/>
  <c r="O363" i="5"/>
  <c r="N363" i="5"/>
  <c r="G277" i="5"/>
  <c r="P277" i="5"/>
  <c r="F277" i="5"/>
  <c r="O277" i="5"/>
  <c r="N277" i="5"/>
  <c r="M277" i="5"/>
  <c r="L277" i="5"/>
  <c r="B277" i="5"/>
  <c r="K277" i="5"/>
  <c r="J277" i="5"/>
  <c r="I277" i="5" a="1"/>
  <c r="I277" i="5"/>
  <c r="H277" i="5" a="1"/>
  <c r="H277" i="5"/>
  <c r="L394" i="5"/>
  <c r="B394" i="5"/>
  <c r="K394" i="5"/>
  <c r="J394" i="5"/>
  <c r="I394" i="5" a="1"/>
  <c r="I394" i="5"/>
  <c r="H394" i="5" a="1"/>
  <c r="H394" i="5"/>
  <c r="G394" i="5"/>
  <c r="P394" i="5"/>
  <c r="F394" i="5"/>
  <c r="O394" i="5"/>
  <c r="N394" i="5"/>
  <c r="M394" i="5"/>
  <c r="K437" i="5"/>
  <c r="J437" i="5"/>
  <c r="I437" i="5" a="1"/>
  <c r="I437" i="5"/>
  <c r="H437" i="5" a="1"/>
  <c r="H437" i="5"/>
  <c r="G437" i="5"/>
  <c r="P437" i="5"/>
  <c r="F437" i="5"/>
  <c r="O437" i="5"/>
  <c r="N437" i="5"/>
  <c r="M437" i="5"/>
  <c r="L437" i="5"/>
  <c r="B437" i="5"/>
  <c r="P426" i="5"/>
  <c r="F426" i="5"/>
  <c r="O426" i="5"/>
  <c r="N426" i="5"/>
  <c r="M426" i="5"/>
  <c r="L426" i="5"/>
  <c r="B426" i="5"/>
  <c r="K426" i="5"/>
  <c r="J426" i="5"/>
  <c r="I426" i="5" a="1"/>
  <c r="I426" i="5"/>
  <c r="H426" i="5" a="1"/>
  <c r="H426" i="5"/>
  <c r="G426" i="5"/>
  <c r="L484" i="5"/>
  <c r="B484" i="5"/>
  <c r="K484" i="5"/>
  <c r="J484" i="5"/>
  <c r="I484" i="5" a="1"/>
  <c r="I484" i="5"/>
  <c r="H484" i="5" a="1"/>
  <c r="H484" i="5"/>
  <c r="G484" i="5"/>
  <c r="P484" i="5"/>
  <c r="F484" i="5"/>
  <c r="O484" i="5"/>
  <c r="N484" i="5"/>
  <c r="M484" i="5"/>
  <c r="M545" i="5"/>
  <c r="L545" i="5"/>
  <c r="B545" i="5"/>
  <c r="K545" i="5"/>
  <c r="J545" i="5"/>
  <c r="I545" i="5" a="1"/>
  <c r="I545" i="5"/>
  <c r="H545" i="5" a="1"/>
  <c r="H545" i="5"/>
  <c r="G545" i="5"/>
  <c r="P545" i="5"/>
  <c r="F545" i="5"/>
  <c r="O545" i="5"/>
  <c r="N545" i="5"/>
  <c r="K592" i="5"/>
  <c r="J592" i="5"/>
  <c r="I592" i="5" a="1"/>
  <c r="I592" i="5"/>
  <c r="H592" i="5" a="1"/>
  <c r="H592" i="5"/>
  <c r="G592" i="5"/>
  <c r="P592" i="5"/>
  <c r="F592" i="5"/>
  <c r="O592" i="5"/>
  <c r="L592" i="5"/>
  <c r="B592" i="5"/>
  <c r="N592" i="5"/>
  <c r="M592" i="5"/>
  <c r="K604" i="5"/>
  <c r="J604" i="5"/>
  <c r="I604" i="5" a="1"/>
  <c r="I604" i="5"/>
  <c r="H604" i="5" a="1"/>
  <c r="H604" i="5"/>
  <c r="G604" i="5"/>
  <c r="P604" i="5"/>
  <c r="F604" i="5"/>
  <c r="O604" i="5"/>
  <c r="N604" i="5"/>
  <c r="M604" i="5"/>
  <c r="L604" i="5"/>
  <c r="B604" i="5"/>
  <c r="L684" i="5"/>
  <c r="B684" i="5"/>
  <c r="K684" i="5"/>
  <c r="J684" i="5"/>
  <c r="I684" i="5" a="1"/>
  <c r="I684" i="5"/>
  <c r="H684" i="5" a="1"/>
  <c r="H684" i="5"/>
  <c r="G684" i="5"/>
  <c r="P684" i="5"/>
  <c r="F684" i="5"/>
  <c r="O684" i="5"/>
  <c r="N684" i="5"/>
  <c r="M684" i="5"/>
  <c r="L728" i="5"/>
  <c r="B728" i="5"/>
  <c r="K728" i="5"/>
  <c r="J728" i="5"/>
  <c r="I728" i="5" a="1"/>
  <c r="I728" i="5"/>
  <c r="H728" i="5" a="1"/>
  <c r="H728" i="5"/>
  <c r="G728" i="5"/>
  <c r="P728" i="5"/>
  <c r="F728" i="5"/>
  <c r="O728" i="5"/>
  <c r="N728" i="5"/>
  <c r="M728" i="5"/>
  <c r="M774" i="5"/>
  <c r="L774" i="5"/>
  <c r="B774" i="5"/>
  <c r="K774" i="5"/>
  <c r="J774" i="5"/>
  <c r="I774" i="5" a="1"/>
  <c r="I774" i="5"/>
  <c r="H774" i="5" a="1"/>
  <c r="H774" i="5"/>
  <c r="G774" i="5"/>
  <c r="P774" i="5"/>
  <c r="F774" i="5"/>
  <c r="O774" i="5"/>
  <c r="N774" i="5"/>
  <c r="L798" i="5"/>
  <c r="B798" i="5"/>
  <c r="K798" i="5"/>
  <c r="J798" i="5"/>
  <c r="I798" i="5" a="1"/>
  <c r="I798" i="5"/>
  <c r="G798" i="5"/>
  <c r="P798" i="5"/>
  <c r="F798" i="5"/>
  <c r="M798" i="5"/>
  <c r="H798" i="5" a="1"/>
  <c r="H798" i="5"/>
  <c r="O798" i="5"/>
  <c r="N798" i="5"/>
  <c r="L889" i="5"/>
  <c r="B889" i="5"/>
  <c r="F889" i="5"/>
  <c r="P889" i="5"/>
  <c r="G889" i="5"/>
  <c r="O889" i="5"/>
  <c r="K889" i="5"/>
  <c r="I889" i="5" a="1"/>
  <c r="I889" i="5"/>
  <c r="H889" i="5" a="1"/>
  <c r="H889" i="5"/>
  <c r="M889" i="5"/>
  <c r="J889" i="5"/>
  <c r="N889" i="5"/>
  <c r="G799" i="5"/>
  <c r="P799" i="5"/>
  <c r="F799" i="5"/>
  <c r="O799" i="5"/>
  <c r="N799" i="5"/>
  <c r="K799" i="5"/>
  <c r="J799" i="5"/>
  <c r="I799" i="5" a="1"/>
  <c r="I799" i="5"/>
  <c r="M799" i="5"/>
  <c r="L799" i="5"/>
  <c r="H799" i="5" a="1"/>
  <c r="H799" i="5"/>
  <c r="B799" i="5"/>
  <c r="J855" i="5"/>
  <c r="L855" i="5"/>
  <c r="N855" i="5"/>
  <c r="P855" i="5"/>
  <c r="B855" i="5"/>
  <c r="O855" i="5"/>
  <c r="M855" i="5"/>
  <c r="K855" i="5"/>
  <c r="G855" i="5"/>
  <c r="F855" i="5"/>
  <c r="I855" i="5" a="1"/>
  <c r="I855" i="5"/>
  <c r="H855" i="5" a="1"/>
  <c r="H855" i="5"/>
  <c r="P873" i="5"/>
  <c r="F873" i="5"/>
  <c r="H873" i="5" a="1"/>
  <c r="H873" i="5"/>
  <c r="J873" i="5"/>
  <c r="O873" i="5"/>
  <c r="M873" i="5"/>
  <c r="L873" i="5"/>
  <c r="K873" i="5"/>
  <c r="B873" i="5"/>
  <c r="N873" i="5"/>
  <c r="I873" i="5" a="1"/>
  <c r="I873" i="5"/>
  <c r="G873" i="5"/>
  <c r="I457" i="5" a="1"/>
  <c r="I457" i="5"/>
  <c r="H457" i="5" a="1"/>
  <c r="H457" i="5"/>
  <c r="G457" i="5"/>
  <c r="P457" i="5"/>
  <c r="F457" i="5"/>
  <c r="O457" i="5"/>
  <c r="N457" i="5"/>
  <c r="M457" i="5"/>
  <c r="K457" i="5"/>
  <c r="J457" i="5"/>
  <c r="B457" i="5"/>
  <c r="L457" i="5"/>
  <c r="P885" i="5"/>
  <c r="F885" i="5"/>
  <c r="N885" i="5"/>
  <c r="M885" i="5"/>
  <c r="B885" i="5"/>
  <c r="O885" i="5"/>
  <c r="J885" i="5"/>
  <c r="H885" i="5" a="1"/>
  <c r="H885" i="5"/>
  <c r="L885" i="5"/>
  <c r="K885" i="5"/>
  <c r="I885" i="5" a="1"/>
  <c r="I885" i="5"/>
  <c r="G885" i="5"/>
  <c r="H471" i="5" a="1"/>
  <c r="H471" i="5"/>
  <c r="G471" i="5"/>
  <c r="P471" i="5"/>
  <c r="F471" i="5"/>
  <c r="O471" i="5"/>
  <c r="N471" i="5"/>
  <c r="M471" i="5"/>
  <c r="L471" i="5"/>
  <c r="B471" i="5"/>
  <c r="K471" i="5"/>
  <c r="J471" i="5"/>
  <c r="I471" i="5" a="1"/>
  <c r="I471" i="5"/>
  <c r="G770" i="5"/>
  <c r="P770" i="5"/>
  <c r="F770" i="5"/>
  <c r="O770" i="5"/>
  <c r="N770" i="5"/>
  <c r="M770" i="5"/>
  <c r="L770" i="5"/>
  <c r="B770" i="5"/>
  <c r="K770" i="5"/>
  <c r="J770" i="5"/>
  <c r="I770" i="5" a="1"/>
  <c r="I770" i="5"/>
  <c r="H770" i="5" a="1"/>
  <c r="H770" i="5"/>
  <c r="O511" i="5"/>
  <c r="N511" i="5"/>
  <c r="M511" i="5"/>
  <c r="L511" i="5"/>
  <c r="B511" i="5"/>
  <c r="K511" i="5"/>
  <c r="J511" i="5"/>
  <c r="I511" i="5" a="1"/>
  <c r="I511" i="5"/>
  <c r="H511" i="5" a="1"/>
  <c r="H511" i="5"/>
  <c r="G511" i="5"/>
  <c r="P511" i="5"/>
  <c r="F511" i="5"/>
  <c r="G3" i="5"/>
  <c r="P3" i="5"/>
  <c r="F3" i="5"/>
  <c r="L3" i="5"/>
  <c r="B3" i="5"/>
  <c r="K3" i="5"/>
  <c r="L370" i="5"/>
  <c r="B370" i="5"/>
  <c r="K370" i="5"/>
  <c r="J370" i="5"/>
  <c r="I370" i="5" a="1"/>
  <c r="I370" i="5"/>
  <c r="H370" i="5" a="1"/>
  <c r="H370" i="5"/>
  <c r="G370" i="5"/>
  <c r="P370" i="5"/>
  <c r="F370" i="5"/>
  <c r="O370" i="5"/>
  <c r="N370" i="5"/>
  <c r="M370" i="5"/>
  <c r="L781" i="5"/>
  <c r="B781" i="5"/>
  <c r="K781" i="5"/>
  <c r="J781" i="5"/>
  <c r="I781" i="5" a="1"/>
  <c r="I781" i="5"/>
  <c r="H781" i="5" a="1"/>
  <c r="H781" i="5"/>
  <c r="G781" i="5"/>
  <c r="P781" i="5"/>
  <c r="F781" i="5"/>
  <c r="O781" i="5"/>
  <c r="N781" i="5"/>
  <c r="M781" i="5"/>
  <c r="M882" i="5"/>
  <c r="H882" i="5" a="1"/>
  <c r="H882" i="5"/>
  <c r="I882" i="5" a="1"/>
  <c r="I882" i="5"/>
  <c r="O882" i="5"/>
  <c r="K882" i="5"/>
  <c r="G882" i="5"/>
  <c r="F882" i="5"/>
  <c r="P882" i="5"/>
  <c r="B882" i="5"/>
  <c r="N882" i="5"/>
  <c r="L882" i="5"/>
  <c r="J882" i="5"/>
  <c r="N148" i="5"/>
  <c r="M148" i="5"/>
  <c r="L148" i="5"/>
  <c r="B148" i="5"/>
  <c r="I148" i="5" a="1"/>
  <c r="I148" i="5"/>
  <c r="H148" i="5" a="1"/>
  <c r="H148" i="5"/>
  <c r="O148" i="5"/>
  <c r="P148" i="5"/>
  <c r="K148" i="5"/>
  <c r="J148" i="5"/>
  <c r="G148" i="5"/>
  <c r="F148" i="5"/>
  <c r="J152" i="5"/>
  <c r="I152" i="5" a="1"/>
  <c r="I152" i="5"/>
  <c r="H152" i="5" a="1"/>
  <c r="H152" i="5"/>
  <c r="G152" i="5"/>
  <c r="P152" i="5"/>
  <c r="F152" i="5"/>
  <c r="O152" i="5"/>
  <c r="N152" i="5"/>
  <c r="K152" i="5"/>
  <c r="M152" i="5"/>
  <c r="L152" i="5"/>
  <c r="B152" i="5"/>
  <c r="I86" i="5" a="1"/>
  <c r="I86" i="5"/>
  <c r="H86" i="5" a="1"/>
  <c r="H86" i="5"/>
  <c r="G86" i="5"/>
  <c r="P86" i="5"/>
  <c r="F86" i="5"/>
  <c r="O86" i="5"/>
  <c r="N86" i="5"/>
  <c r="M86" i="5"/>
  <c r="L86" i="5"/>
  <c r="B86" i="5"/>
  <c r="K86" i="5"/>
  <c r="J86" i="5"/>
  <c r="H362" i="5" a="1"/>
  <c r="H362" i="5"/>
  <c r="G362" i="5"/>
  <c r="P362" i="5"/>
  <c r="F362" i="5"/>
  <c r="O362" i="5"/>
  <c r="N362" i="5"/>
  <c r="M362" i="5"/>
  <c r="L362" i="5"/>
  <c r="B362" i="5"/>
  <c r="K362" i="5"/>
  <c r="J362" i="5"/>
  <c r="I362" i="5" a="1"/>
  <c r="I362" i="5"/>
  <c r="J759" i="5"/>
  <c r="I759" i="5" a="1"/>
  <c r="I759" i="5"/>
  <c r="H759" i="5" a="1"/>
  <c r="H759" i="5"/>
  <c r="G759" i="5"/>
  <c r="P759" i="5"/>
  <c r="F759" i="5"/>
  <c r="O759" i="5"/>
  <c r="N759" i="5"/>
  <c r="M759" i="5"/>
  <c r="L759" i="5"/>
  <c r="B759" i="5"/>
  <c r="K759" i="5"/>
  <c r="H173" i="5" a="1"/>
  <c r="H173" i="5"/>
  <c r="G173" i="5"/>
  <c r="P173" i="5"/>
  <c r="F173" i="5"/>
  <c r="O173" i="5"/>
  <c r="N173" i="5"/>
  <c r="M173" i="5"/>
  <c r="L173" i="5"/>
  <c r="B173" i="5"/>
  <c r="K173" i="5"/>
  <c r="J173" i="5"/>
  <c r="I173" i="5" a="1"/>
  <c r="I173" i="5"/>
  <c r="I549" i="5" a="1"/>
  <c r="I549" i="5"/>
  <c r="H549" i="5" a="1"/>
  <c r="H549" i="5"/>
  <c r="G549" i="5"/>
  <c r="P549" i="5"/>
  <c r="F549" i="5"/>
  <c r="O549" i="5"/>
  <c r="N549" i="5"/>
  <c r="M549" i="5"/>
  <c r="L549" i="5"/>
  <c r="B549" i="5"/>
  <c r="K549" i="5"/>
  <c r="J549" i="5"/>
  <c r="H773" i="5" a="1"/>
  <c r="H773" i="5"/>
  <c r="G773" i="5"/>
  <c r="P773" i="5"/>
  <c r="F773" i="5"/>
  <c r="O773" i="5"/>
  <c r="N773" i="5"/>
  <c r="M773" i="5"/>
  <c r="L773" i="5"/>
  <c r="B773" i="5"/>
  <c r="K773" i="5"/>
  <c r="J773" i="5"/>
  <c r="I773" i="5" a="1"/>
  <c r="I773" i="5"/>
  <c r="H178" i="5" a="1"/>
  <c r="H178" i="5"/>
  <c r="G178" i="5"/>
  <c r="P178" i="5"/>
  <c r="F178" i="5"/>
  <c r="O178" i="5"/>
  <c r="N178" i="5"/>
  <c r="M178" i="5"/>
  <c r="L178" i="5"/>
  <c r="B178" i="5"/>
  <c r="K178" i="5"/>
  <c r="J178" i="5"/>
  <c r="I178" i="5" a="1"/>
  <c r="I178" i="5"/>
  <c r="G649" i="5"/>
  <c r="P649" i="5"/>
  <c r="F649" i="5"/>
  <c r="O649" i="5"/>
  <c r="N649" i="5"/>
  <c r="M649" i="5"/>
  <c r="L649" i="5"/>
  <c r="B649" i="5"/>
  <c r="K649" i="5"/>
  <c r="J649" i="5"/>
  <c r="I649" i="5" a="1"/>
  <c r="I649" i="5"/>
  <c r="H649" i="5" a="1"/>
  <c r="H649" i="5"/>
  <c r="G131" i="5"/>
  <c r="P131" i="5"/>
  <c r="F131" i="5"/>
  <c r="O131" i="5"/>
  <c r="N131" i="5"/>
  <c r="M131" i="5"/>
  <c r="L131" i="5"/>
  <c r="B131" i="5"/>
  <c r="K131" i="5"/>
  <c r="J131" i="5"/>
  <c r="I131" i="5" a="1"/>
  <c r="I131" i="5"/>
  <c r="H131" i="5" a="1"/>
  <c r="H131" i="5"/>
  <c r="H507" i="5" a="1"/>
  <c r="H507" i="5"/>
  <c r="G507" i="5"/>
  <c r="P507" i="5"/>
  <c r="F507" i="5"/>
  <c r="O507" i="5"/>
  <c r="N507" i="5"/>
  <c r="M507" i="5"/>
  <c r="L507" i="5"/>
  <c r="B507" i="5"/>
  <c r="K507" i="5"/>
  <c r="J507" i="5"/>
  <c r="I507" i="5" a="1"/>
  <c r="I507" i="5"/>
  <c r="H727" i="5" a="1"/>
  <c r="H727" i="5"/>
  <c r="G727" i="5"/>
  <c r="P727" i="5"/>
  <c r="F727" i="5"/>
  <c r="O727" i="5"/>
  <c r="N727" i="5"/>
  <c r="M727" i="5"/>
  <c r="L727" i="5"/>
  <c r="B727" i="5"/>
  <c r="K727" i="5"/>
  <c r="J727" i="5"/>
  <c r="I727" i="5" a="1"/>
  <c r="I727" i="5"/>
  <c r="N262" i="5"/>
  <c r="M262" i="5"/>
  <c r="L262" i="5"/>
  <c r="B262" i="5"/>
  <c r="K262" i="5"/>
  <c r="J262" i="5"/>
  <c r="I262" i="5" a="1"/>
  <c r="I262" i="5"/>
  <c r="H262" i="5" a="1"/>
  <c r="H262" i="5"/>
  <c r="G262" i="5"/>
  <c r="P262" i="5"/>
  <c r="F262" i="5"/>
  <c r="O262" i="5"/>
  <c r="J844" i="5"/>
  <c r="L844" i="5"/>
  <c r="B844" i="5"/>
  <c r="M844" i="5"/>
  <c r="G844" i="5"/>
  <c r="P844" i="5"/>
  <c r="O844" i="5"/>
  <c r="N844" i="5"/>
  <c r="K844" i="5"/>
  <c r="I844" i="5" a="1"/>
  <c r="I844" i="5"/>
  <c r="H844" i="5" a="1"/>
  <c r="H844" i="5"/>
  <c r="F844" i="5"/>
  <c r="I122" i="5" a="1"/>
  <c r="I122" i="5"/>
  <c r="H122" i="5" a="1"/>
  <c r="H122" i="5"/>
  <c r="G122" i="5"/>
  <c r="P122" i="5"/>
  <c r="F122" i="5"/>
  <c r="O122" i="5"/>
  <c r="N122" i="5"/>
  <c r="M122" i="5"/>
  <c r="L122" i="5"/>
  <c r="B122" i="5"/>
  <c r="K122" i="5"/>
  <c r="J122" i="5"/>
  <c r="H476" i="5" a="1"/>
  <c r="H476" i="5"/>
  <c r="G476" i="5"/>
  <c r="P476" i="5"/>
  <c r="F476" i="5"/>
  <c r="O476" i="5"/>
  <c r="N476" i="5"/>
  <c r="M476" i="5"/>
  <c r="L476" i="5"/>
  <c r="B476" i="5"/>
  <c r="K476" i="5"/>
  <c r="J476" i="5"/>
  <c r="I476" i="5" a="1"/>
  <c r="I476" i="5"/>
  <c r="I795" i="5" a="1"/>
  <c r="I795" i="5"/>
  <c r="H795" i="5" a="1"/>
  <c r="H795" i="5"/>
  <c r="O795" i="5"/>
  <c r="N795" i="5"/>
  <c r="M795" i="5"/>
  <c r="P795" i="5"/>
  <c r="L795" i="5"/>
  <c r="K795" i="5"/>
  <c r="J795" i="5"/>
  <c r="G795" i="5"/>
  <c r="F795" i="5"/>
  <c r="B795" i="5"/>
  <c r="G637" i="5"/>
  <c r="P637" i="5"/>
  <c r="F637" i="5"/>
  <c r="O637" i="5"/>
  <c r="N637" i="5"/>
  <c r="M637" i="5"/>
  <c r="L637" i="5"/>
  <c r="B637" i="5"/>
  <c r="J637" i="5"/>
  <c r="I637" i="5" a="1"/>
  <c r="I637" i="5"/>
  <c r="K637" i="5"/>
  <c r="H637" i="5" a="1"/>
  <c r="H637" i="5"/>
  <c r="K30" i="5"/>
  <c r="G30" i="5"/>
  <c r="P30" i="5"/>
  <c r="F30" i="5"/>
  <c r="L30" i="5"/>
  <c r="B30" i="5"/>
  <c r="L53" i="5"/>
  <c r="B53" i="5"/>
  <c r="K53" i="5"/>
  <c r="J53" i="5"/>
  <c r="I53" i="5" a="1"/>
  <c r="I53" i="5"/>
  <c r="H53" i="5" a="1"/>
  <c r="H53" i="5"/>
  <c r="G53" i="5"/>
  <c r="P53" i="5"/>
  <c r="F53" i="5"/>
  <c r="O53" i="5"/>
  <c r="N53" i="5"/>
  <c r="M53" i="5"/>
  <c r="K96" i="5"/>
  <c r="J96" i="5"/>
  <c r="I96" i="5" a="1"/>
  <c r="I96" i="5"/>
  <c r="H96" i="5" a="1"/>
  <c r="H96" i="5"/>
  <c r="G96" i="5"/>
  <c r="P96" i="5"/>
  <c r="F96" i="5"/>
  <c r="O96" i="5"/>
  <c r="N96" i="5"/>
  <c r="M96" i="5"/>
  <c r="L96" i="5"/>
  <c r="B96" i="5"/>
  <c r="G66" i="5"/>
  <c r="P66" i="5"/>
  <c r="F66" i="5"/>
  <c r="O66" i="5"/>
  <c r="N66" i="5"/>
  <c r="M66" i="5"/>
  <c r="L66" i="5"/>
  <c r="B66" i="5"/>
  <c r="K66" i="5"/>
  <c r="J66" i="5"/>
  <c r="I66" i="5" a="1"/>
  <c r="I66" i="5"/>
  <c r="H66" i="5" a="1"/>
  <c r="H66" i="5"/>
  <c r="M179" i="5"/>
  <c r="L179" i="5"/>
  <c r="B179" i="5"/>
  <c r="K179" i="5"/>
  <c r="J179" i="5"/>
  <c r="I179" i="5" a="1"/>
  <c r="I179" i="5"/>
  <c r="H179" i="5" a="1"/>
  <c r="H179" i="5"/>
  <c r="G179" i="5"/>
  <c r="P179" i="5"/>
  <c r="F179" i="5"/>
  <c r="O179" i="5"/>
  <c r="N179" i="5"/>
  <c r="L234" i="5"/>
  <c r="B234" i="5"/>
  <c r="K234" i="5"/>
  <c r="J234" i="5"/>
  <c r="I234" i="5" a="1"/>
  <c r="I234" i="5"/>
  <c r="H234" i="5" a="1"/>
  <c r="H234" i="5"/>
  <c r="G234" i="5"/>
  <c r="P234" i="5"/>
  <c r="F234" i="5"/>
  <c r="O234" i="5"/>
  <c r="N234" i="5"/>
  <c r="M234" i="5"/>
  <c r="G168" i="5"/>
  <c r="P168" i="5"/>
  <c r="F168" i="5"/>
  <c r="O168" i="5"/>
  <c r="N168" i="5"/>
  <c r="M168" i="5"/>
  <c r="L168" i="5"/>
  <c r="B168" i="5"/>
  <c r="K168" i="5"/>
  <c r="J168" i="5"/>
  <c r="I168" i="5" a="1"/>
  <c r="I168" i="5"/>
  <c r="H168" i="5" a="1"/>
  <c r="H168" i="5"/>
  <c r="G223" i="5"/>
  <c r="P223" i="5"/>
  <c r="F223" i="5"/>
  <c r="O223" i="5"/>
  <c r="N223" i="5"/>
  <c r="M223" i="5"/>
  <c r="L223" i="5"/>
  <c r="B223" i="5"/>
  <c r="K223" i="5"/>
  <c r="J223" i="5"/>
  <c r="I223" i="5" a="1"/>
  <c r="I223" i="5"/>
  <c r="H223" i="5" a="1"/>
  <c r="H223" i="5"/>
  <c r="M281" i="5"/>
  <c r="L281" i="5"/>
  <c r="B281" i="5"/>
  <c r="K281" i="5"/>
  <c r="J281" i="5"/>
  <c r="I281" i="5" a="1"/>
  <c r="I281" i="5"/>
  <c r="H281" i="5" a="1"/>
  <c r="H281" i="5"/>
  <c r="G281" i="5"/>
  <c r="P281" i="5"/>
  <c r="F281" i="5"/>
  <c r="O281" i="5"/>
  <c r="N281" i="5"/>
  <c r="L336" i="5"/>
  <c r="B336" i="5"/>
  <c r="K336" i="5"/>
  <c r="J336" i="5"/>
  <c r="I336" i="5" a="1"/>
  <c r="I336" i="5"/>
  <c r="H336" i="5" a="1"/>
  <c r="H336" i="5"/>
  <c r="G336" i="5"/>
  <c r="P336" i="5"/>
  <c r="F336" i="5"/>
  <c r="O336" i="5"/>
  <c r="N336" i="5"/>
  <c r="M336" i="5"/>
  <c r="G258" i="5"/>
  <c r="P258" i="5"/>
  <c r="F258" i="5"/>
  <c r="O258" i="5"/>
  <c r="N258" i="5"/>
  <c r="M258" i="5"/>
  <c r="L258" i="5"/>
  <c r="B258" i="5"/>
  <c r="K258" i="5"/>
  <c r="J258" i="5"/>
  <c r="H258" i="5" a="1"/>
  <c r="H258" i="5"/>
  <c r="I258" i="5" a="1"/>
  <c r="I258" i="5"/>
  <c r="P332" i="5"/>
  <c r="F332" i="5"/>
  <c r="O332" i="5"/>
  <c r="N332" i="5"/>
  <c r="M332" i="5"/>
  <c r="L332" i="5"/>
  <c r="B332" i="5"/>
  <c r="K332" i="5"/>
  <c r="J332" i="5"/>
  <c r="I332" i="5" a="1"/>
  <c r="I332" i="5"/>
  <c r="H332" i="5" a="1"/>
  <c r="H332" i="5"/>
  <c r="G332" i="5"/>
  <c r="L406" i="5"/>
  <c r="B406" i="5"/>
  <c r="K406" i="5"/>
  <c r="J406" i="5"/>
  <c r="I406" i="5" a="1"/>
  <c r="I406" i="5"/>
  <c r="H406" i="5" a="1"/>
  <c r="H406" i="5"/>
  <c r="G406" i="5"/>
  <c r="P406" i="5"/>
  <c r="F406" i="5"/>
  <c r="O406" i="5"/>
  <c r="N406" i="5"/>
  <c r="M406" i="5"/>
  <c r="K449" i="5"/>
  <c r="J449" i="5"/>
  <c r="I449" i="5" a="1"/>
  <c r="I449" i="5"/>
  <c r="H449" i="5" a="1"/>
  <c r="H449" i="5"/>
  <c r="G449" i="5"/>
  <c r="P449" i="5"/>
  <c r="F449" i="5"/>
  <c r="O449" i="5"/>
  <c r="N449" i="5"/>
  <c r="M449" i="5"/>
  <c r="L449" i="5"/>
  <c r="B449" i="5"/>
  <c r="P438" i="5"/>
  <c r="F438" i="5"/>
  <c r="O438" i="5"/>
  <c r="N438" i="5"/>
  <c r="M438" i="5"/>
  <c r="L438" i="5"/>
  <c r="B438" i="5"/>
  <c r="K438" i="5"/>
  <c r="J438" i="5"/>
  <c r="I438" i="5" a="1"/>
  <c r="I438" i="5"/>
  <c r="H438" i="5" a="1"/>
  <c r="H438" i="5"/>
  <c r="G438" i="5"/>
  <c r="L496" i="5"/>
  <c r="B496" i="5"/>
  <c r="K496" i="5"/>
  <c r="J496" i="5"/>
  <c r="I496" i="5" a="1"/>
  <c r="I496" i="5"/>
  <c r="H496" i="5" a="1"/>
  <c r="H496" i="5"/>
  <c r="G496" i="5"/>
  <c r="P496" i="5"/>
  <c r="F496" i="5"/>
  <c r="O496" i="5"/>
  <c r="N496" i="5"/>
  <c r="M496" i="5"/>
  <c r="M557" i="5"/>
  <c r="L557" i="5"/>
  <c r="B557" i="5"/>
  <c r="K557" i="5"/>
  <c r="J557" i="5"/>
  <c r="I557" i="5" a="1"/>
  <c r="I557" i="5"/>
  <c r="H557" i="5" a="1"/>
  <c r="H557" i="5"/>
  <c r="G557" i="5"/>
  <c r="P557" i="5"/>
  <c r="F557" i="5"/>
  <c r="O557" i="5"/>
  <c r="N557" i="5"/>
  <c r="H527" i="5" a="1"/>
  <c r="H527" i="5"/>
  <c r="G527" i="5"/>
  <c r="P527" i="5"/>
  <c r="F527" i="5"/>
  <c r="O527" i="5"/>
  <c r="N527" i="5"/>
  <c r="M527" i="5"/>
  <c r="L527" i="5"/>
  <c r="B527" i="5"/>
  <c r="K527" i="5"/>
  <c r="J527" i="5"/>
  <c r="I527" i="5" a="1"/>
  <c r="I527" i="5"/>
  <c r="K616" i="5"/>
  <c r="J616" i="5"/>
  <c r="I616" i="5" a="1"/>
  <c r="I616" i="5"/>
  <c r="H616" i="5" a="1"/>
  <c r="H616" i="5"/>
  <c r="G616" i="5"/>
  <c r="P616" i="5"/>
  <c r="F616" i="5"/>
  <c r="O616" i="5"/>
  <c r="N616" i="5"/>
  <c r="M616" i="5"/>
  <c r="L616" i="5"/>
  <c r="B616" i="5"/>
  <c r="K655" i="5"/>
  <c r="J655" i="5"/>
  <c r="I655" i="5" a="1"/>
  <c r="I655" i="5"/>
  <c r="H655" i="5" a="1"/>
  <c r="H655" i="5"/>
  <c r="G655" i="5"/>
  <c r="P655" i="5"/>
  <c r="F655" i="5"/>
  <c r="O655" i="5"/>
  <c r="N655" i="5"/>
  <c r="M655" i="5"/>
  <c r="L655" i="5"/>
  <c r="B655" i="5"/>
  <c r="K699" i="5"/>
  <c r="J699" i="5"/>
  <c r="I699" i="5" a="1"/>
  <c r="I699" i="5"/>
  <c r="H699" i="5" a="1"/>
  <c r="H699" i="5"/>
  <c r="G699" i="5"/>
  <c r="P699" i="5"/>
  <c r="F699" i="5"/>
  <c r="O699" i="5"/>
  <c r="N699" i="5"/>
  <c r="L699" i="5"/>
  <c r="B699" i="5"/>
  <c r="M699" i="5"/>
  <c r="L757" i="5"/>
  <c r="B757" i="5"/>
  <c r="K757" i="5"/>
  <c r="J757" i="5"/>
  <c r="I757" i="5" a="1"/>
  <c r="I757" i="5"/>
  <c r="H757" i="5" a="1"/>
  <c r="H757" i="5"/>
  <c r="G757" i="5"/>
  <c r="P757" i="5"/>
  <c r="F757" i="5"/>
  <c r="O757" i="5"/>
  <c r="N757" i="5"/>
  <c r="M757" i="5"/>
  <c r="P753" i="5"/>
  <c r="F753" i="5"/>
  <c r="O753" i="5"/>
  <c r="N753" i="5"/>
  <c r="M753" i="5"/>
  <c r="L753" i="5"/>
  <c r="B753" i="5"/>
  <c r="K753" i="5"/>
  <c r="J753" i="5"/>
  <c r="I753" i="5" a="1"/>
  <c r="I753" i="5"/>
  <c r="H753" i="5" a="1"/>
  <c r="H753" i="5"/>
  <c r="G753" i="5"/>
  <c r="J846" i="5"/>
  <c r="N846" i="5"/>
  <c r="B846" i="5"/>
  <c r="L846" i="5"/>
  <c r="K846" i="5"/>
  <c r="H846" i="5" a="1"/>
  <c r="H846" i="5"/>
  <c r="P846" i="5"/>
  <c r="O846" i="5"/>
  <c r="M846" i="5"/>
  <c r="I846" i="5" a="1"/>
  <c r="I846" i="5"/>
  <c r="G846" i="5"/>
  <c r="F846" i="5"/>
  <c r="O845" i="5"/>
  <c r="G845" i="5"/>
  <c r="F845" i="5"/>
  <c r="P845" i="5"/>
  <c r="N845" i="5"/>
  <c r="B845" i="5"/>
  <c r="H845" i="5" a="1"/>
  <c r="H845" i="5"/>
  <c r="M845" i="5"/>
  <c r="J845" i="5"/>
  <c r="I845" i="5" a="1"/>
  <c r="I845" i="5"/>
  <c r="L845" i="5"/>
  <c r="K845" i="5"/>
  <c r="I862" i="5" a="1"/>
  <c r="I862" i="5"/>
  <c r="H862" i="5" a="1"/>
  <c r="H862" i="5"/>
  <c r="K862" i="5"/>
  <c r="P862" i="5"/>
  <c r="B862" i="5"/>
  <c r="O862" i="5"/>
  <c r="N862" i="5"/>
  <c r="G862" i="5"/>
  <c r="F862" i="5"/>
  <c r="M862" i="5"/>
  <c r="L862" i="5"/>
  <c r="J862" i="5"/>
  <c r="K896" i="5"/>
  <c r="N896" i="5"/>
  <c r="M896" i="5"/>
  <c r="B896" i="5"/>
  <c r="P896" i="5"/>
  <c r="O896" i="5"/>
  <c r="I896" i="5" a="1"/>
  <c r="I896" i="5"/>
  <c r="H896" i="5" a="1"/>
  <c r="H896" i="5"/>
  <c r="G896" i="5"/>
  <c r="F896" i="5"/>
  <c r="L896" i="5"/>
  <c r="J896" i="5"/>
  <c r="J498" i="5"/>
  <c r="I498" i="5" a="1"/>
  <c r="I498" i="5"/>
  <c r="H498" i="5" a="1"/>
  <c r="H498" i="5"/>
  <c r="G498" i="5"/>
  <c r="P498" i="5"/>
  <c r="F498" i="5"/>
  <c r="O498" i="5"/>
  <c r="N498" i="5"/>
  <c r="M498" i="5"/>
  <c r="L498" i="5"/>
  <c r="B498" i="5"/>
  <c r="K498" i="5"/>
  <c r="N863" i="5"/>
  <c r="P863" i="5"/>
  <c r="O863" i="5"/>
  <c r="G863" i="5"/>
  <c r="H863" i="5" a="1"/>
  <c r="H863" i="5"/>
  <c r="B863" i="5"/>
  <c r="M863" i="5"/>
  <c r="L863" i="5"/>
  <c r="K863" i="5"/>
  <c r="J863" i="5"/>
  <c r="I863" i="5" a="1"/>
  <c r="I863" i="5"/>
  <c r="F863" i="5"/>
  <c r="M521" i="5"/>
  <c r="L521" i="5"/>
  <c r="B521" i="5"/>
  <c r="K521" i="5"/>
  <c r="J521" i="5"/>
  <c r="I521" i="5" a="1"/>
  <c r="I521" i="5"/>
  <c r="H521" i="5" a="1"/>
  <c r="H521" i="5"/>
  <c r="G521" i="5"/>
  <c r="N521" i="5"/>
  <c r="P521" i="5"/>
  <c r="O521" i="5"/>
  <c r="F521" i="5"/>
  <c r="N827" i="5"/>
  <c r="J827" i="5"/>
  <c r="I827" i="5" a="1"/>
  <c r="I827" i="5"/>
  <c r="H827" i="5" a="1"/>
  <c r="H827" i="5"/>
  <c r="G827" i="5"/>
  <c r="F827" i="5"/>
  <c r="P827" i="5"/>
  <c r="O827" i="5"/>
  <c r="B827" i="5"/>
  <c r="M827" i="5"/>
  <c r="L827" i="5"/>
  <c r="K827" i="5"/>
  <c r="H226" i="5" a="1"/>
  <c r="H226" i="5"/>
  <c r="G226" i="5"/>
  <c r="P226" i="5"/>
  <c r="F226" i="5"/>
  <c r="O226" i="5"/>
  <c r="N226" i="5"/>
  <c r="M226" i="5"/>
  <c r="L226" i="5"/>
  <c r="B226" i="5"/>
  <c r="K226" i="5"/>
  <c r="J226" i="5"/>
  <c r="I226" i="5" a="1"/>
  <c r="I226" i="5"/>
  <c r="P794" i="5"/>
  <c r="F794" i="5"/>
  <c r="O794" i="5"/>
  <c r="N794" i="5"/>
  <c r="M794" i="5"/>
  <c r="J794" i="5"/>
  <c r="I794" i="5" a="1"/>
  <c r="I794" i="5"/>
  <c r="H794" i="5" a="1"/>
  <c r="H794" i="5"/>
  <c r="G794" i="5"/>
  <c r="B794" i="5"/>
  <c r="L794" i="5"/>
  <c r="K794" i="5"/>
  <c r="O784" i="5"/>
  <c r="N784" i="5"/>
  <c r="M784" i="5"/>
  <c r="L784" i="5"/>
  <c r="B784" i="5"/>
  <c r="K784" i="5"/>
  <c r="J784" i="5"/>
  <c r="I784" i="5" a="1"/>
  <c r="I784" i="5"/>
  <c r="H784" i="5" a="1"/>
  <c r="H784" i="5"/>
  <c r="G784" i="5"/>
  <c r="P784" i="5"/>
  <c r="F784" i="5"/>
  <c r="J384" i="5"/>
  <c r="I384" i="5" a="1"/>
  <c r="I384" i="5"/>
  <c r="H384" i="5" a="1"/>
  <c r="H384" i="5"/>
  <c r="G384" i="5"/>
  <c r="P384" i="5"/>
  <c r="F384" i="5"/>
  <c r="O384" i="5"/>
  <c r="N384" i="5"/>
  <c r="M384" i="5"/>
  <c r="L384" i="5"/>
  <c r="B384" i="5"/>
  <c r="K384" i="5"/>
  <c r="M894" i="5"/>
  <c r="N894" i="5"/>
  <c r="B894" i="5"/>
  <c r="L894" i="5"/>
  <c r="P894" i="5"/>
  <c r="O894" i="5"/>
  <c r="I894" i="5" a="1"/>
  <c r="I894" i="5"/>
  <c r="H894" i="5" a="1"/>
  <c r="H894" i="5"/>
  <c r="G894" i="5"/>
  <c r="K894" i="5"/>
  <c r="J894" i="5"/>
  <c r="F894" i="5"/>
  <c r="K120" i="5"/>
  <c r="J120" i="5"/>
  <c r="I120" i="5" a="1"/>
  <c r="I120" i="5"/>
  <c r="H120" i="5" a="1"/>
  <c r="H120" i="5"/>
  <c r="G120" i="5"/>
  <c r="P120" i="5"/>
  <c r="F120" i="5"/>
  <c r="O120" i="5"/>
  <c r="N120" i="5"/>
  <c r="M120" i="5"/>
  <c r="L120" i="5"/>
  <c r="B120" i="5"/>
  <c r="L648" i="5"/>
  <c r="B648" i="5"/>
  <c r="K648" i="5"/>
  <c r="J648" i="5"/>
  <c r="I648" i="5" a="1"/>
  <c r="I648" i="5"/>
  <c r="H648" i="5" a="1"/>
  <c r="H648" i="5"/>
  <c r="G648" i="5"/>
  <c r="P648" i="5"/>
  <c r="F648" i="5"/>
  <c r="O648" i="5"/>
  <c r="M648" i="5"/>
  <c r="N648" i="5"/>
  <c r="O519" i="5"/>
  <c r="M519" i="5"/>
  <c r="L519" i="5"/>
  <c r="J519" i="5"/>
  <c r="I519" i="5" a="1"/>
  <c r="I519" i="5"/>
  <c r="H519" i="5" a="1"/>
  <c r="H519" i="5"/>
  <c r="P519" i="5"/>
  <c r="N519" i="5"/>
  <c r="K519" i="5"/>
  <c r="G519" i="5"/>
  <c r="F519" i="5"/>
  <c r="B519" i="5"/>
  <c r="G466" i="5"/>
  <c r="P466" i="5"/>
  <c r="F466" i="5"/>
  <c r="O466" i="5"/>
  <c r="N466" i="5"/>
  <c r="M466" i="5"/>
  <c r="L466" i="5"/>
  <c r="B466" i="5"/>
  <c r="K466" i="5"/>
  <c r="J466" i="5"/>
  <c r="H466" i="5" a="1"/>
  <c r="H466" i="5"/>
  <c r="I466" i="5" a="1"/>
  <c r="I466" i="5"/>
  <c r="O555" i="5"/>
  <c r="N555" i="5"/>
  <c r="M555" i="5"/>
  <c r="L555" i="5"/>
  <c r="B555" i="5"/>
  <c r="K555" i="5"/>
  <c r="J555" i="5"/>
  <c r="I555" i="5" a="1"/>
  <c r="I555" i="5"/>
  <c r="H555" i="5" a="1"/>
  <c r="H555" i="5"/>
  <c r="G555" i="5"/>
  <c r="P555" i="5"/>
  <c r="F555" i="5"/>
  <c r="I207" i="5" a="1"/>
  <c r="I207" i="5"/>
  <c r="H207" i="5" a="1"/>
  <c r="H207" i="5"/>
  <c r="G207" i="5"/>
  <c r="P207" i="5"/>
  <c r="F207" i="5"/>
  <c r="O207" i="5"/>
  <c r="N207" i="5"/>
  <c r="M207" i="5"/>
  <c r="L207" i="5"/>
  <c r="B207" i="5"/>
  <c r="K207" i="5"/>
  <c r="J207" i="5"/>
  <c r="H2" i="5" a="1"/>
  <c r="H2" i="5"/>
  <c r="H81" i="5" a="1"/>
  <c r="H81" i="5"/>
  <c r="G81" i="5"/>
  <c r="P81" i="5"/>
  <c r="F81" i="5"/>
  <c r="O81" i="5"/>
  <c r="N81" i="5"/>
  <c r="M81" i="5"/>
  <c r="L81" i="5"/>
  <c r="B81" i="5"/>
  <c r="K81" i="5"/>
  <c r="J81" i="5"/>
  <c r="I81" i="5" a="1"/>
  <c r="I81" i="5"/>
  <c r="H512" i="5" a="1"/>
  <c r="H512" i="5"/>
  <c r="G512" i="5"/>
  <c r="P512" i="5"/>
  <c r="F512" i="5"/>
  <c r="O512" i="5"/>
  <c r="N512" i="5"/>
  <c r="M512" i="5"/>
  <c r="L512" i="5"/>
  <c r="B512" i="5"/>
  <c r="K512" i="5"/>
  <c r="J512" i="5"/>
  <c r="I512" i="5" a="1"/>
  <c r="I512" i="5"/>
  <c r="I807" i="5" a="1"/>
  <c r="I807" i="5"/>
  <c r="H807" i="5" a="1"/>
  <c r="H807" i="5"/>
  <c r="G807" i="5"/>
  <c r="P807" i="5"/>
  <c r="F807" i="5"/>
  <c r="O807" i="5"/>
  <c r="N807" i="5"/>
  <c r="M807" i="5"/>
  <c r="J807" i="5"/>
  <c r="L807" i="5"/>
  <c r="K807" i="5"/>
  <c r="B807" i="5"/>
  <c r="H245" i="5" a="1"/>
  <c r="H245" i="5"/>
  <c r="G245" i="5"/>
  <c r="P245" i="5"/>
  <c r="F245" i="5"/>
  <c r="O245" i="5"/>
  <c r="N245" i="5"/>
  <c r="M245" i="5"/>
  <c r="L245" i="5"/>
  <c r="B245" i="5"/>
  <c r="K245" i="5"/>
  <c r="J245" i="5"/>
  <c r="I245" i="5" a="1"/>
  <c r="I245" i="5"/>
  <c r="O567" i="5"/>
  <c r="N567" i="5"/>
  <c r="M567" i="5"/>
  <c r="L567" i="5"/>
  <c r="B567" i="5"/>
  <c r="K567" i="5"/>
  <c r="J567" i="5"/>
  <c r="I567" i="5" a="1"/>
  <c r="I567" i="5"/>
  <c r="H567" i="5" a="1"/>
  <c r="H567" i="5"/>
  <c r="G567" i="5"/>
  <c r="P567" i="5"/>
  <c r="F567" i="5"/>
  <c r="H780" i="5" a="1"/>
  <c r="H780" i="5"/>
  <c r="G780" i="5"/>
  <c r="P780" i="5"/>
  <c r="F780" i="5"/>
  <c r="O780" i="5"/>
  <c r="N780" i="5"/>
  <c r="M780" i="5"/>
  <c r="L780" i="5"/>
  <c r="B780" i="5"/>
  <c r="K780" i="5"/>
  <c r="J780" i="5"/>
  <c r="I780" i="5" a="1"/>
  <c r="I780" i="5"/>
  <c r="J338" i="5"/>
  <c r="I338" i="5" a="1"/>
  <c r="I338" i="5"/>
  <c r="H338" i="5" a="1"/>
  <c r="H338" i="5"/>
  <c r="G338" i="5"/>
  <c r="P338" i="5"/>
  <c r="F338" i="5"/>
  <c r="O338" i="5"/>
  <c r="N338" i="5"/>
  <c r="M338" i="5"/>
  <c r="L338" i="5"/>
  <c r="B338" i="5"/>
  <c r="K338" i="5"/>
  <c r="O651" i="5"/>
  <c r="N651" i="5"/>
  <c r="M651" i="5"/>
  <c r="L651" i="5"/>
  <c r="B651" i="5"/>
  <c r="K651" i="5"/>
  <c r="J651" i="5"/>
  <c r="I651" i="5" a="1"/>
  <c r="I651" i="5"/>
  <c r="H651" i="5" a="1"/>
  <c r="H651" i="5"/>
  <c r="G651" i="5"/>
  <c r="P651" i="5"/>
  <c r="F651" i="5"/>
  <c r="J212" i="5"/>
  <c r="I212" i="5" a="1"/>
  <c r="I212" i="5"/>
  <c r="H212" i="5" a="1"/>
  <c r="H212" i="5"/>
  <c r="G212" i="5"/>
  <c r="P212" i="5"/>
  <c r="F212" i="5"/>
  <c r="O212" i="5"/>
  <c r="N212" i="5"/>
  <c r="M212" i="5"/>
  <c r="L212" i="5"/>
  <c r="B212" i="5"/>
  <c r="K212" i="5"/>
  <c r="G485" i="5"/>
  <c r="P485" i="5"/>
  <c r="F485" i="5"/>
  <c r="O485" i="5"/>
  <c r="N485" i="5"/>
  <c r="M485" i="5"/>
  <c r="L485" i="5"/>
  <c r="B485" i="5"/>
  <c r="K485" i="5"/>
  <c r="J485" i="5"/>
  <c r="I485" i="5" a="1"/>
  <c r="I485" i="5"/>
  <c r="H485" i="5" a="1"/>
  <c r="H485" i="5"/>
  <c r="I766" i="5" a="1"/>
  <c r="I766" i="5"/>
  <c r="H766" i="5" a="1"/>
  <c r="H766" i="5"/>
  <c r="G766" i="5"/>
  <c r="P766" i="5"/>
  <c r="F766" i="5"/>
  <c r="O766" i="5"/>
  <c r="N766" i="5"/>
  <c r="M766" i="5"/>
  <c r="L766" i="5"/>
  <c r="B766" i="5"/>
  <c r="K766" i="5"/>
  <c r="J766" i="5"/>
  <c r="G289" i="5"/>
  <c r="P289" i="5"/>
  <c r="F289" i="5"/>
  <c r="O289" i="5"/>
  <c r="N289" i="5"/>
  <c r="M289" i="5"/>
  <c r="L289" i="5"/>
  <c r="B289" i="5"/>
  <c r="K289" i="5"/>
  <c r="J289" i="5"/>
  <c r="I289" i="5" a="1"/>
  <c r="I289" i="5"/>
  <c r="H289" i="5" a="1"/>
  <c r="H289" i="5"/>
  <c r="J819" i="5"/>
  <c r="P819" i="5"/>
  <c r="F819" i="5"/>
  <c r="G819" i="5"/>
  <c r="O819" i="5"/>
  <c r="N819" i="5"/>
  <c r="B819" i="5"/>
  <c r="M819" i="5"/>
  <c r="L819" i="5"/>
  <c r="K819" i="5"/>
  <c r="I819" i="5" a="1"/>
  <c r="I819" i="5"/>
  <c r="H819" i="5" a="1"/>
  <c r="H819" i="5"/>
  <c r="H117" i="5" a="1"/>
  <c r="H117" i="5"/>
  <c r="G117" i="5"/>
  <c r="P117" i="5"/>
  <c r="F117" i="5"/>
  <c r="O117" i="5"/>
  <c r="N117" i="5"/>
  <c r="M117" i="5"/>
  <c r="L117" i="5"/>
  <c r="B117" i="5"/>
  <c r="K117" i="5"/>
  <c r="J117" i="5"/>
  <c r="I117" i="5" a="1"/>
  <c r="I117" i="5"/>
  <c r="G514" i="5"/>
  <c r="P514" i="5"/>
  <c r="F514" i="5"/>
  <c r="O514" i="5"/>
  <c r="N514" i="5"/>
  <c r="M514" i="5"/>
  <c r="L514" i="5"/>
  <c r="B514" i="5"/>
  <c r="K514" i="5"/>
  <c r="J514" i="5"/>
  <c r="I514" i="5" a="1"/>
  <c r="I514" i="5"/>
  <c r="H514" i="5" a="1"/>
  <c r="H514" i="5"/>
  <c r="N809" i="5"/>
  <c r="J809" i="5"/>
  <c r="I809" i="5" a="1"/>
  <c r="I809" i="5"/>
  <c r="H809" i="5" a="1"/>
  <c r="H809" i="5"/>
  <c r="G809" i="5"/>
  <c r="F809" i="5"/>
  <c r="P809" i="5"/>
  <c r="O809" i="5"/>
  <c r="B809" i="5"/>
  <c r="L809" i="5"/>
  <c r="K809" i="5"/>
  <c r="M809" i="5"/>
  <c r="H676" i="5" a="1"/>
  <c r="H676" i="5"/>
  <c r="G676" i="5"/>
  <c r="P676" i="5"/>
  <c r="F676" i="5"/>
  <c r="O676" i="5"/>
  <c r="N676" i="5"/>
  <c r="M676" i="5"/>
  <c r="L676" i="5"/>
  <c r="B676" i="5"/>
  <c r="K676" i="5"/>
  <c r="J676" i="5"/>
  <c r="I676" i="5" a="1"/>
  <c r="I676" i="5"/>
  <c r="L41" i="5"/>
  <c r="B41" i="5"/>
  <c r="K41" i="5"/>
  <c r="J41" i="5"/>
  <c r="H41" i="5" a="1"/>
  <c r="H41" i="5"/>
  <c r="G41" i="5"/>
  <c r="P41" i="5"/>
  <c r="F41" i="5"/>
  <c r="O41" i="5"/>
  <c r="M41" i="5"/>
  <c r="N41" i="5"/>
  <c r="I41" i="5" a="1"/>
  <c r="I41" i="5"/>
  <c r="L65" i="5"/>
  <c r="B65" i="5"/>
  <c r="K65" i="5"/>
  <c r="J65" i="5"/>
  <c r="I65" i="5" a="1"/>
  <c r="I65" i="5"/>
  <c r="H65" i="5" a="1"/>
  <c r="H65" i="5"/>
  <c r="G65" i="5"/>
  <c r="P65" i="5"/>
  <c r="F65" i="5"/>
  <c r="O65" i="5"/>
  <c r="N65" i="5"/>
  <c r="M65" i="5"/>
  <c r="K108" i="5"/>
  <c r="J108" i="5"/>
  <c r="I108" i="5" a="1"/>
  <c r="I108" i="5"/>
  <c r="H108" i="5" a="1"/>
  <c r="H108" i="5"/>
  <c r="G108" i="5"/>
  <c r="P108" i="5"/>
  <c r="F108" i="5"/>
  <c r="O108" i="5"/>
  <c r="N108" i="5"/>
  <c r="M108" i="5"/>
  <c r="L108" i="5"/>
  <c r="B108" i="5"/>
  <c r="G78" i="5"/>
  <c r="P78" i="5"/>
  <c r="F78" i="5"/>
  <c r="O78" i="5"/>
  <c r="N78" i="5"/>
  <c r="M78" i="5"/>
  <c r="L78" i="5"/>
  <c r="B78" i="5"/>
  <c r="K78" i="5"/>
  <c r="J78" i="5"/>
  <c r="I78" i="5" a="1"/>
  <c r="I78" i="5"/>
  <c r="H78" i="5" a="1"/>
  <c r="H78" i="5"/>
  <c r="M191" i="5"/>
  <c r="L191" i="5"/>
  <c r="B191" i="5"/>
  <c r="K191" i="5"/>
  <c r="J191" i="5"/>
  <c r="I191" i="5" a="1"/>
  <c r="I191" i="5"/>
  <c r="H191" i="5" a="1"/>
  <c r="H191" i="5"/>
  <c r="G191" i="5"/>
  <c r="P191" i="5"/>
  <c r="F191" i="5"/>
  <c r="O191" i="5"/>
  <c r="N191" i="5"/>
  <c r="P246" i="5"/>
  <c r="M246" i="5"/>
  <c r="L246" i="5"/>
  <c r="N246" i="5"/>
  <c r="B246" i="5"/>
  <c r="K246" i="5"/>
  <c r="J246" i="5"/>
  <c r="I246" i="5" a="1"/>
  <c r="I246" i="5"/>
  <c r="H246" i="5" a="1"/>
  <c r="H246" i="5"/>
  <c r="G246" i="5"/>
  <c r="F246" i="5"/>
  <c r="O246" i="5"/>
  <c r="G180" i="5"/>
  <c r="P180" i="5"/>
  <c r="F180" i="5"/>
  <c r="O180" i="5"/>
  <c r="N180" i="5"/>
  <c r="M180" i="5"/>
  <c r="L180" i="5"/>
  <c r="B180" i="5"/>
  <c r="K180" i="5"/>
  <c r="J180" i="5"/>
  <c r="I180" i="5" a="1"/>
  <c r="I180" i="5"/>
  <c r="H180" i="5" a="1"/>
  <c r="H180" i="5"/>
  <c r="G235" i="5"/>
  <c r="P235" i="5"/>
  <c r="F235" i="5"/>
  <c r="O235" i="5"/>
  <c r="N235" i="5"/>
  <c r="M235" i="5"/>
  <c r="L235" i="5"/>
  <c r="B235" i="5"/>
  <c r="K235" i="5"/>
  <c r="J235" i="5"/>
  <c r="I235" i="5" a="1"/>
  <c r="I235" i="5"/>
  <c r="H235" i="5" a="1"/>
  <c r="H235" i="5"/>
  <c r="M293" i="5"/>
  <c r="L293" i="5"/>
  <c r="B293" i="5"/>
  <c r="K293" i="5"/>
  <c r="J293" i="5"/>
  <c r="I293" i="5" a="1"/>
  <c r="I293" i="5"/>
  <c r="H293" i="5" a="1"/>
  <c r="H293" i="5"/>
  <c r="G293" i="5"/>
  <c r="P293" i="5"/>
  <c r="F293" i="5"/>
  <c r="O293" i="5"/>
  <c r="N293" i="5"/>
  <c r="J348" i="5"/>
  <c r="I348" i="5" a="1"/>
  <c r="I348" i="5"/>
  <c r="P348" i="5"/>
  <c r="N348" i="5"/>
  <c r="O348" i="5"/>
  <c r="B348" i="5"/>
  <c r="M348" i="5"/>
  <c r="L348" i="5"/>
  <c r="K348" i="5"/>
  <c r="H348" i="5" a="1"/>
  <c r="H348" i="5"/>
  <c r="G348" i="5"/>
  <c r="F348" i="5"/>
  <c r="G270" i="5"/>
  <c r="P270" i="5"/>
  <c r="F270" i="5"/>
  <c r="O270" i="5"/>
  <c r="N270" i="5"/>
  <c r="M270" i="5"/>
  <c r="L270" i="5"/>
  <c r="B270" i="5"/>
  <c r="K270" i="5"/>
  <c r="J270" i="5"/>
  <c r="I270" i="5" a="1"/>
  <c r="I270" i="5"/>
  <c r="H270" i="5" a="1"/>
  <c r="H270" i="5"/>
  <c r="P344" i="5"/>
  <c r="F344" i="5"/>
  <c r="O344" i="5"/>
  <c r="N344" i="5"/>
  <c r="M344" i="5"/>
  <c r="L344" i="5"/>
  <c r="B344" i="5"/>
  <c r="K344" i="5"/>
  <c r="J344" i="5"/>
  <c r="I344" i="5" a="1"/>
  <c r="I344" i="5"/>
  <c r="H344" i="5" a="1"/>
  <c r="H344" i="5"/>
  <c r="G344" i="5"/>
  <c r="L418" i="5"/>
  <c r="B418" i="5"/>
  <c r="K418" i="5"/>
  <c r="J418" i="5"/>
  <c r="I418" i="5" a="1"/>
  <c r="I418" i="5"/>
  <c r="H418" i="5" a="1"/>
  <c r="H418" i="5"/>
  <c r="G418" i="5"/>
  <c r="P418" i="5"/>
  <c r="F418" i="5"/>
  <c r="O418" i="5"/>
  <c r="N418" i="5"/>
  <c r="M418" i="5"/>
  <c r="K467" i="5"/>
  <c r="J467" i="5"/>
  <c r="I467" i="5" a="1"/>
  <c r="I467" i="5"/>
  <c r="H467" i="5" a="1"/>
  <c r="H467" i="5"/>
  <c r="G467" i="5"/>
  <c r="P467" i="5"/>
  <c r="F467" i="5"/>
  <c r="O467" i="5"/>
  <c r="M467" i="5"/>
  <c r="L467" i="5"/>
  <c r="B467" i="5"/>
  <c r="N467" i="5"/>
  <c r="P450" i="5"/>
  <c r="F450" i="5"/>
  <c r="O450" i="5"/>
  <c r="N450" i="5"/>
  <c r="M450" i="5"/>
  <c r="L450" i="5"/>
  <c r="B450" i="5"/>
  <c r="K450" i="5"/>
  <c r="J450" i="5"/>
  <c r="I450" i="5" a="1"/>
  <c r="I450" i="5"/>
  <c r="H450" i="5" a="1"/>
  <c r="H450" i="5"/>
  <c r="G450" i="5"/>
  <c r="L508" i="5"/>
  <c r="B508" i="5"/>
  <c r="K508" i="5"/>
  <c r="J508" i="5"/>
  <c r="I508" i="5" a="1"/>
  <c r="I508" i="5"/>
  <c r="H508" i="5" a="1"/>
  <c r="H508" i="5"/>
  <c r="G508" i="5"/>
  <c r="P508" i="5"/>
  <c r="F508" i="5"/>
  <c r="O508" i="5"/>
  <c r="N508" i="5"/>
  <c r="M508" i="5"/>
  <c r="M569" i="5"/>
  <c r="L569" i="5"/>
  <c r="B569" i="5"/>
  <c r="K569" i="5"/>
  <c r="J569" i="5"/>
  <c r="I569" i="5" a="1"/>
  <c r="I569" i="5"/>
  <c r="H569" i="5" a="1"/>
  <c r="H569" i="5"/>
  <c r="G569" i="5"/>
  <c r="P569" i="5"/>
  <c r="F569" i="5"/>
  <c r="O569" i="5"/>
  <c r="N569" i="5"/>
  <c r="G522" i="5"/>
  <c r="P522" i="5"/>
  <c r="F522" i="5"/>
  <c r="O522" i="5"/>
  <c r="N522" i="5"/>
  <c r="M522" i="5"/>
  <c r="L522" i="5"/>
  <c r="B522" i="5"/>
  <c r="K522" i="5"/>
  <c r="J522" i="5"/>
  <c r="H522" i="5" a="1"/>
  <c r="H522" i="5"/>
  <c r="I522" i="5" a="1"/>
  <c r="I522" i="5"/>
  <c r="K628" i="5"/>
  <c r="J628" i="5"/>
  <c r="I628" i="5" a="1"/>
  <c r="I628" i="5"/>
  <c r="H628" i="5" a="1"/>
  <c r="H628" i="5"/>
  <c r="G628" i="5"/>
  <c r="P628" i="5"/>
  <c r="F628" i="5"/>
  <c r="O628" i="5"/>
  <c r="N628" i="5"/>
  <c r="M628" i="5"/>
  <c r="L628" i="5"/>
  <c r="B628" i="5"/>
  <c r="K667" i="5"/>
  <c r="J667" i="5"/>
  <c r="I667" i="5" a="1"/>
  <c r="I667" i="5"/>
  <c r="H667" i="5" a="1"/>
  <c r="H667" i="5"/>
  <c r="G667" i="5"/>
  <c r="P667" i="5"/>
  <c r="F667" i="5"/>
  <c r="O667" i="5"/>
  <c r="N667" i="5"/>
  <c r="M667" i="5"/>
  <c r="L667" i="5"/>
  <c r="B667" i="5"/>
  <c r="K711" i="5"/>
  <c r="J711" i="5"/>
  <c r="I711" i="5" a="1"/>
  <c r="I711" i="5"/>
  <c r="H711" i="5" a="1"/>
  <c r="H711" i="5"/>
  <c r="G711" i="5"/>
  <c r="P711" i="5"/>
  <c r="F711" i="5"/>
  <c r="O711" i="5"/>
  <c r="N711" i="5"/>
  <c r="M711" i="5"/>
  <c r="L711" i="5"/>
  <c r="B711" i="5"/>
  <c r="L769" i="5"/>
  <c r="B769" i="5"/>
  <c r="K769" i="5"/>
  <c r="J769" i="5"/>
  <c r="I769" i="5" a="1"/>
  <c r="I769" i="5"/>
  <c r="H769" i="5" a="1"/>
  <c r="H769" i="5"/>
  <c r="G769" i="5"/>
  <c r="P769" i="5"/>
  <c r="F769" i="5"/>
  <c r="O769" i="5"/>
  <c r="N769" i="5"/>
  <c r="M769" i="5"/>
  <c r="K805" i="5"/>
  <c r="J805" i="5"/>
  <c r="I805" i="5" a="1"/>
  <c r="I805" i="5"/>
  <c r="H805" i="5" a="1"/>
  <c r="H805" i="5"/>
  <c r="G805" i="5"/>
  <c r="P805" i="5"/>
  <c r="F805" i="5"/>
  <c r="O805" i="5"/>
  <c r="L805" i="5"/>
  <c r="B805" i="5"/>
  <c r="N805" i="5"/>
  <c r="M805" i="5"/>
  <c r="H864" i="5" a="1"/>
  <c r="H864" i="5"/>
  <c r="J864" i="5"/>
  <c r="I864" i="5" a="1"/>
  <c r="I864" i="5"/>
  <c r="L864" i="5"/>
  <c r="P864" i="5"/>
  <c r="B864" i="5"/>
  <c r="N864" i="5"/>
  <c r="M864" i="5"/>
  <c r="K864" i="5"/>
  <c r="G864" i="5"/>
  <c r="O864" i="5"/>
  <c r="F864" i="5"/>
  <c r="K884" i="5"/>
  <c r="H884" i="5" a="1"/>
  <c r="H884" i="5"/>
  <c r="I884" i="5" a="1"/>
  <c r="I884" i="5"/>
  <c r="O884" i="5"/>
  <c r="L884" i="5"/>
  <c r="G884" i="5"/>
  <c r="F884" i="5"/>
  <c r="N884" i="5"/>
  <c r="M884" i="5"/>
  <c r="B884" i="5"/>
  <c r="P884" i="5"/>
  <c r="J884" i="5"/>
  <c r="O868" i="5"/>
  <c r="L868" i="5"/>
  <c r="K868" i="5"/>
  <c r="N868" i="5"/>
  <c r="M868" i="5"/>
  <c r="G868" i="5"/>
  <c r="F868" i="5"/>
  <c r="H868" i="5" a="1"/>
  <c r="H868" i="5"/>
  <c r="B868" i="5"/>
  <c r="P868" i="5"/>
  <c r="J868" i="5"/>
  <c r="I868" i="5" a="1"/>
  <c r="I868" i="5"/>
  <c r="N172" i="5"/>
  <c r="M172" i="5"/>
  <c r="L172" i="5"/>
  <c r="B172" i="5"/>
  <c r="K172" i="5"/>
  <c r="J172" i="5"/>
  <c r="I172" i="5" a="1"/>
  <c r="I172" i="5"/>
  <c r="H172" i="5" a="1"/>
  <c r="H172" i="5"/>
  <c r="G172" i="5"/>
  <c r="P172" i="5"/>
  <c r="F172" i="5"/>
  <c r="O172" i="5"/>
  <c r="H459" i="5" a="1"/>
  <c r="H459" i="5"/>
  <c r="G459" i="5"/>
  <c r="P459" i="5"/>
  <c r="F459" i="5"/>
  <c r="O459" i="5"/>
  <c r="N459" i="5"/>
  <c r="M459" i="5"/>
  <c r="L459" i="5"/>
  <c r="B459" i="5"/>
  <c r="K459" i="5"/>
  <c r="J459" i="5"/>
  <c r="I459" i="5" a="1"/>
  <c r="I459" i="5"/>
  <c r="J127" i="5"/>
  <c r="I127" i="5" a="1"/>
  <c r="I127" i="5"/>
  <c r="H127" i="5" a="1"/>
  <c r="H127" i="5"/>
  <c r="G127" i="5"/>
  <c r="P127" i="5"/>
  <c r="F127" i="5"/>
  <c r="O127" i="5"/>
  <c r="N127" i="5"/>
  <c r="M127" i="5"/>
  <c r="L127" i="5"/>
  <c r="B127" i="5"/>
  <c r="K127" i="5"/>
  <c r="H568" i="5" a="1"/>
  <c r="H568" i="5"/>
  <c r="G568" i="5"/>
  <c r="P568" i="5"/>
  <c r="F568" i="5"/>
  <c r="O568" i="5"/>
  <c r="N568" i="5"/>
  <c r="M568" i="5"/>
  <c r="L568" i="5"/>
  <c r="B568" i="5"/>
  <c r="K568" i="5"/>
  <c r="J568" i="5"/>
  <c r="I568" i="5" a="1"/>
  <c r="I568" i="5"/>
  <c r="H829" i="5" a="1"/>
  <c r="H829" i="5"/>
  <c r="P829" i="5"/>
  <c r="F829" i="5"/>
  <c r="M829" i="5"/>
  <c r="G829" i="5"/>
  <c r="L829" i="5"/>
  <c r="B829" i="5"/>
  <c r="O829" i="5"/>
  <c r="N829" i="5"/>
  <c r="K829" i="5"/>
  <c r="J829" i="5"/>
  <c r="I829" i="5" a="1"/>
  <c r="I829" i="5"/>
  <c r="I4" i="5" a="1"/>
  <c r="I4" i="5"/>
  <c r="H9" i="5" a="1"/>
  <c r="H9" i="5"/>
  <c r="J9" i="5"/>
  <c r="M9" i="5"/>
  <c r="N9" i="5"/>
  <c r="H11" i="5" a="1"/>
  <c r="H11" i="5"/>
  <c r="I17" i="5" a="1"/>
  <c r="I17" i="5"/>
  <c r="H18" i="5" a="1"/>
  <c r="H18" i="5"/>
  <c r="H6" i="5" a="1"/>
  <c r="H6" i="5"/>
  <c r="H5" i="5" a="1"/>
  <c r="H5" i="5"/>
  <c r="J2" i="5"/>
  <c r="M2" i="5"/>
  <c r="O2" i="5"/>
  <c r="H21" i="5" a="1"/>
  <c r="H21" i="5"/>
  <c r="I21" i="5" a="1"/>
  <c r="I21" i="5"/>
  <c r="H23" i="5" a="1"/>
  <c r="H23" i="5"/>
  <c r="N2" i="5"/>
  <c r="J21" i="5"/>
  <c r="M21" i="5"/>
  <c r="O21" i="5"/>
  <c r="N21" i="5"/>
  <c r="I3" i="5" a="1"/>
  <c r="I3" i="5"/>
  <c r="H3" i="5" a="1"/>
  <c r="H3" i="5"/>
  <c r="J3" i="5"/>
  <c r="M3" i="5"/>
  <c r="N3" i="5"/>
  <c r="I23" i="5" a="1"/>
  <c r="I23" i="5"/>
  <c r="B10" i="6" a="1"/>
  <c r="B10" i="6"/>
  <c r="K10" i="6"/>
  <c r="J23" i="5"/>
  <c r="M23" i="5"/>
  <c r="N23" i="5"/>
  <c r="O3" i="5"/>
  <c r="I5" i="5" a="1"/>
  <c r="I5" i="5"/>
  <c r="O23" i="5"/>
  <c r="J5" i="5"/>
  <c r="M5" i="5"/>
  <c r="N5" i="5"/>
  <c r="H4" i="5" a="1"/>
  <c r="H4" i="5"/>
  <c r="I26" i="5" a="1"/>
  <c r="I26" i="5"/>
  <c r="B11" i="6" a="1"/>
  <c r="B11" i="6"/>
  <c r="O5" i="5"/>
  <c r="J4" i="5"/>
  <c r="M4" i="5"/>
  <c r="O4" i="5"/>
  <c r="K11" i="6"/>
  <c r="H8" i="5" a="1"/>
  <c r="H8" i="5"/>
  <c r="I6" i="5" a="1"/>
  <c r="I6" i="5"/>
  <c r="J8" i="5"/>
  <c r="M8" i="5"/>
  <c r="N8" i="5"/>
  <c r="H13" i="5" a="1"/>
  <c r="H13" i="5"/>
  <c r="J6" i="5"/>
  <c r="M6" i="5"/>
  <c r="N6" i="5"/>
  <c r="N4" i="5"/>
  <c r="H7" i="5" a="1"/>
  <c r="H7" i="5"/>
  <c r="I15" i="5" a="1"/>
  <c r="I15" i="5"/>
  <c r="O6" i="5"/>
  <c r="I7" i="5" a="1"/>
  <c r="I7" i="5"/>
  <c r="J7" i="5"/>
  <c r="M7" i="5"/>
  <c r="O7" i="5"/>
  <c r="I11" i="5" a="1"/>
  <c r="I11" i="5"/>
  <c r="N7" i="5"/>
  <c r="H10" i="5" a="1"/>
  <c r="H10" i="5"/>
  <c r="I12" i="5" a="1"/>
  <c r="I12" i="5"/>
  <c r="J11" i="5"/>
  <c r="M11" i="5"/>
  <c r="N11" i="5"/>
  <c r="O11" i="5"/>
  <c r="I14" i="5" a="1"/>
  <c r="I14" i="5"/>
  <c r="H29" i="5" a="1"/>
  <c r="H29" i="5"/>
  <c r="J10" i="5"/>
  <c r="M10" i="5"/>
  <c r="N10" i="5"/>
  <c r="H12" i="5" a="1"/>
  <c r="H12" i="5"/>
  <c r="J12" i="5"/>
  <c r="M12" i="5"/>
  <c r="O12" i="5"/>
  <c r="N12" i="5"/>
  <c r="H14" i="5" a="1"/>
  <c r="H14" i="5"/>
  <c r="I13" i="5" a="1"/>
  <c r="I13" i="5"/>
  <c r="J13" i="5"/>
  <c r="M13" i="5"/>
  <c r="N13" i="5"/>
  <c r="J14" i="5"/>
  <c r="M14" i="5"/>
  <c r="O14" i="5"/>
  <c r="N14" i="5"/>
  <c r="O13" i="5"/>
  <c r="H15" i="5" a="1"/>
  <c r="H15" i="5"/>
  <c r="J15" i="5"/>
  <c r="M15" i="5"/>
  <c r="O15" i="5"/>
  <c r="H17" i="5" a="1"/>
  <c r="H17" i="5"/>
  <c r="H16" i="5" a="1"/>
  <c r="H16" i="5"/>
  <c r="H19" i="5" a="1"/>
  <c r="H19" i="5"/>
  <c r="J17" i="5"/>
  <c r="M17" i="5"/>
  <c r="O17" i="5"/>
  <c r="N15" i="5"/>
  <c r="I16" i="5" a="1"/>
  <c r="I16" i="5"/>
  <c r="I24" i="5" a="1"/>
  <c r="I24" i="5"/>
  <c r="N17" i="5"/>
  <c r="I28" i="5" a="1"/>
  <c r="I28" i="5"/>
  <c r="H22" i="5" a="1"/>
  <c r="H22" i="5"/>
  <c r="J16" i="5"/>
  <c r="M16" i="5"/>
  <c r="N16" i="5"/>
  <c r="O16" i="5"/>
  <c r="I18" i="5" a="1"/>
  <c r="I18" i="5"/>
  <c r="H20" i="5" a="1"/>
  <c r="H20" i="5"/>
  <c r="J18" i="5"/>
  <c r="M18" i="5"/>
  <c r="N18" i="5"/>
  <c r="O18" i="5"/>
  <c r="B7" i="6" a="1"/>
  <c r="B7" i="6"/>
  <c r="I19" i="5" a="1"/>
  <c r="I19" i="5"/>
  <c r="J19" i="5"/>
  <c r="M19" i="5"/>
  <c r="N19" i="5"/>
  <c r="K7" i="6"/>
  <c r="O19" i="5"/>
  <c r="I30" i="5" a="1"/>
  <c r="I30" i="5"/>
  <c r="I20" i="5" a="1"/>
  <c r="I20" i="5"/>
  <c r="J20" i="5"/>
  <c r="M20" i="5"/>
  <c r="N20" i="5"/>
  <c r="O20" i="5"/>
  <c r="H24" i="5" a="1"/>
  <c r="H24" i="5"/>
  <c r="J24" i="5"/>
  <c r="M24" i="5"/>
  <c r="O24" i="5"/>
  <c r="I22" i="5" a="1"/>
  <c r="I22" i="5"/>
  <c r="J22" i="5"/>
  <c r="M22" i="5"/>
  <c r="N22" i="5"/>
  <c r="N24" i="5"/>
  <c r="H25" i="5" a="1"/>
  <c r="H25" i="5"/>
  <c r="I27" i="5" a="1"/>
  <c r="I27" i="5"/>
  <c r="O22" i="5"/>
  <c r="I25" i="5" a="1"/>
  <c r="I25" i="5"/>
  <c r="J25" i="5"/>
  <c r="M25" i="5"/>
  <c r="O25" i="5"/>
  <c r="H26" i="5" a="1"/>
  <c r="H26" i="5"/>
  <c r="N25" i="5"/>
  <c r="J26" i="5"/>
  <c r="M26" i="5"/>
  <c r="O26" i="5"/>
  <c r="B3" i="6" a="1"/>
  <c r="B3" i="6"/>
  <c r="H27" i="5" a="1"/>
  <c r="H27" i="5"/>
  <c r="J27" i="5"/>
  <c r="M27" i="5"/>
  <c r="O27" i="5"/>
  <c r="K3" i="6"/>
  <c r="N26" i="5"/>
  <c r="B8" i="6" a="1"/>
  <c r="B8" i="6"/>
  <c r="H30" i="5" a="1"/>
  <c r="H30" i="5"/>
  <c r="N27" i="5"/>
  <c r="H28" i="5" a="1"/>
  <c r="H28" i="5"/>
  <c r="I29" i="5" a="1"/>
  <c r="I29" i="5"/>
  <c r="J30" i="5"/>
  <c r="M30" i="5"/>
  <c r="O30" i="5"/>
  <c r="K8" i="6"/>
  <c r="N30" i="5"/>
  <c r="J29" i="5"/>
  <c r="M29" i="5"/>
  <c r="N29" i="5"/>
  <c r="J28" i="5"/>
  <c r="M28" i="5"/>
  <c r="O28" i="5"/>
  <c r="N28" i="5"/>
  <c r="B9" i="6" a="1"/>
  <c r="B9" i="6"/>
  <c r="B2" i="6" a="1"/>
  <c r="B2" i="6"/>
  <c r="O29" i="5"/>
  <c r="B6" i="6" a="1"/>
  <c r="B6" i="6"/>
  <c r="B5" i="6" a="1"/>
  <c r="B5" i="6"/>
  <c r="K5" i="6"/>
  <c r="K6" i="6"/>
  <c r="K2" i="6"/>
  <c r="K9" i="6"/>
  <c r="B4" i="6" a="1"/>
  <c r="B4" i="6"/>
  <c r="L11" i="6"/>
  <c r="C2" i="6" a="1"/>
  <c r="C2" i="6"/>
  <c r="C8" i="6" a="1"/>
  <c r="C8" i="6"/>
  <c r="C9" i="6" a="1"/>
  <c r="C9" i="6"/>
  <c r="C6" i="6" a="1"/>
  <c r="C6" i="6"/>
  <c r="C4" i="6" a="1"/>
  <c r="C4" i="6"/>
  <c r="C10" i="6" a="1"/>
  <c r="C10" i="6"/>
  <c r="C3" i="6" a="1"/>
  <c r="C3" i="6"/>
  <c r="C5" i="6" a="1"/>
  <c r="C5" i="6"/>
  <c r="C11" i="6" a="1"/>
  <c r="C11" i="6"/>
  <c r="C7" i="6" a="1"/>
  <c r="C7" i="6"/>
  <c r="J4" i="6"/>
  <c r="L4" i="6"/>
  <c r="K4" i="6"/>
  <c r="J10" i="6"/>
  <c r="J9" i="6"/>
  <c r="L10" i="6"/>
  <c r="L2" i="6"/>
  <c r="L9" i="6"/>
  <c r="J2" i="6"/>
  <c r="J8" i="6"/>
  <c r="L8" i="6"/>
  <c r="J6" i="6"/>
  <c r="L3" i="6"/>
  <c r="J3" i="6"/>
  <c r="L6" i="6"/>
  <c r="L7" i="6"/>
  <c r="L5" i="6"/>
  <c r="J7" i="6"/>
  <c r="J5" i="6"/>
  <c r="J11" i="6"/>
  <c r="G51" i="1"/>
  <c r="F50" i="1"/>
  <c r="E49" i="1"/>
  <c r="D48" i="1"/>
  <c r="C47" i="1"/>
  <c r="B46" i="1"/>
  <c r="K46" i="1"/>
  <c r="J42" i="1"/>
  <c r="I41" i="1"/>
  <c r="H40" i="1"/>
  <c r="G39" i="1"/>
  <c r="F38" i="1"/>
  <c r="E37" i="1"/>
  <c r="D36" i="1"/>
  <c r="C35" i="1"/>
  <c r="B34" i="1"/>
  <c r="K34" i="1"/>
  <c r="J30" i="1"/>
  <c r="E25" i="1"/>
  <c r="D24" i="1"/>
  <c r="C23" i="1"/>
  <c r="B22" i="1"/>
  <c r="K22" i="1"/>
  <c r="J18" i="1"/>
  <c r="E13" i="1"/>
  <c r="I5" i="1"/>
  <c r="F51" i="1"/>
  <c r="E50" i="1"/>
  <c r="D49" i="1"/>
  <c r="C48" i="1"/>
  <c r="B47" i="1"/>
  <c r="K47" i="1"/>
  <c r="J43" i="1"/>
  <c r="I42" i="1"/>
  <c r="H41" i="1"/>
  <c r="G40" i="1"/>
  <c r="F39" i="1"/>
  <c r="E38" i="1"/>
  <c r="D37" i="1"/>
  <c r="C36" i="1"/>
  <c r="B35" i="1"/>
  <c r="K35" i="1"/>
  <c r="J31" i="1"/>
  <c r="I30" i="1"/>
  <c r="H29" i="1"/>
  <c r="G28" i="1"/>
  <c r="F27" i="1"/>
  <c r="E26" i="1"/>
  <c r="D25" i="1"/>
  <c r="C24" i="1"/>
  <c r="B23" i="1"/>
  <c r="K23" i="1"/>
  <c r="J19" i="1"/>
  <c r="I18" i="1"/>
  <c r="H17" i="1"/>
  <c r="G16" i="1"/>
  <c r="F15" i="1"/>
  <c r="E14" i="1"/>
  <c r="D13" i="1"/>
  <c r="C12" i="1"/>
  <c r="B11" i="1"/>
  <c r="K11" i="1"/>
  <c r="J7" i="1"/>
  <c r="I6" i="1"/>
  <c r="H5" i="1"/>
  <c r="G4" i="1"/>
  <c r="F3" i="1"/>
  <c r="E2" i="1"/>
  <c r="E51" i="1"/>
  <c r="D50" i="1"/>
  <c r="C49" i="1"/>
  <c r="B48" i="1"/>
  <c r="K48" i="1"/>
  <c r="J44" i="1"/>
  <c r="I43" i="1"/>
  <c r="H42" i="1"/>
  <c r="G41" i="1"/>
  <c r="F40" i="1"/>
  <c r="E39" i="1"/>
  <c r="D38" i="1"/>
  <c r="C37" i="1"/>
  <c r="B36" i="1"/>
  <c r="K36" i="1"/>
  <c r="J32" i="1"/>
  <c r="I31" i="1"/>
  <c r="H30" i="1"/>
  <c r="G29" i="1"/>
  <c r="F28" i="1"/>
  <c r="E27" i="1"/>
  <c r="D26" i="1"/>
  <c r="C25" i="1"/>
  <c r="B24" i="1"/>
  <c r="K24" i="1"/>
  <c r="J20" i="1"/>
  <c r="I19" i="1"/>
  <c r="H18" i="1"/>
  <c r="G17" i="1"/>
  <c r="F16" i="1"/>
  <c r="E15" i="1"/>
  <c r="D14" i="1"/>
  <c r="C13" i="1"/>
  <c r="B12" i="1"/>
  <c r="K12" i="1"/>
  <c r="J8" i="1"/>
  <c r="I7" i="1"/>
  <c r="H6" i="1"/>
  <c r="G5" i="1"/>
  <c r="F4" i="1"/>
  <c r="E3" i="1"/>
  <c r="D2" i="1"/>
  <c r="D51" i="1"/>
  <c r="C50" i="1"/>
  <c r="B49" i="1"/>
  <c r="K49" i="1"/>
  <c r="J45" i="1"/>
  <c r="I44" i="1"/>
  <c r="H43" i="1"/>
  <c r="G42" i="1"/>
  <c r="F41" i="1"/>
  <c r="E40" i="1"/>
  <c r="D39" i="1"/>
  <c r="C38" i="1"/>
  <c r="B37" i="1"/>
  <c r="K37" i="1"/>
  <c r="J33" i="1"/>
  <c r="I32" i="1"/>
  <c r="H31" i="1"/>
  <c r="G30" i="1"/>
  <c r="F29" i="1"/>
  <c r="E28" i="1"/>
  <c r="D27" i="1"/>
  <c r="C26" i="1"/>
  <c r="B25" i="1"/>
  <c r="K25" i="1"/>
  <c r="J21" i="1"/>
  <c r="I20" i="1"/>
  <c r="H19" i="1"/>
  <c r="G18" i="1"/>
  <c r="F17" i="1"/>
  <c r="E16" i="1"/>
  <c r="D15" i="1"/>
  <c r="C14" i="1"/>
  <c r="B13" i="1"/>
  <c r="K13" i="1"/>
  <c r="J9" i="1"/>
  <c r="I8" i="1"/>
  <c r="H7" i="1"/>
  <c r="G6" i="1"/>
  <c r="F5" i="1"/>
  <c r="E4" i="1"/>
  <c r="D3" i="1"/>
  <c r="C2" i="1"/>
  <c r="G10" i="1"/>
  <c r="C51" i="1"/>
  <c r="B50" i="1"/>
  <c r="K50" i="1"/>
  <c r="J46" i="1"/>
  <c r="I45" i="1"/>
  <c r="H44" i="1"/>
  <c r="G43" i="1"/>
  <c r="F42" i="1"/>
  <c r="E41" i="1"/>
  <c r="D40" i="1"/>
  <c r="C39" i="1"/>
  <c r="B38" i="1"/>
  <c r="K38" i="1"/>
  <c r="J34" i="1"/>
  <c r="I33" i="1"/>
  <c r="H32" i="1"/>
  <c r="G31" i="1"/>
  <c r="F30" i="1"/>
  <c r="E29" i="1"/>
  <c r="D28" i="1"/>
  <c r="C27" i="1"/>
  <c r="B26" i="1"/>
  <c r="K26" i="1"/>
  <c r="J22" i="1"/>
  <c r="I21" i="1"/>
  <c r="H20" i="1"/>
  <c r="G19" i="1"/>
  <c r="F18" i="1"/>
  <c r="E17" i="1"/>
  <c r="D16" i="1"/>
  <c r="C15" i="1"/>
  <c r="B14" i="1"/>
  <c r="K14" i="1"/>
  <c r="J10" i="1"/>
  <c r="I9" i="1"/>
  <c r="H8" i="1"/>
  <c r="G7" i="1"/>
  <c r="F6" i="1"/>
  <c r="E5" i="1"/>
  <c r="D4" i="1"/>
  <c r="C3" i="1"/>
  <c r="B2" i="1"/>
  <c r="K2" i="1"/>
  <c r="G20" i="1"/>
  <c r="E18" i="1"/>
  <c r="C16" i="1"/>
  <c r="I10" i="1"/>
  <c r="G8" i="1"/>
  <c r="E6" i="1"/>
  <c r="C4" i="1"/>
  <c r="D7" i="1"/>
  <c r="B51" i="1"/>
  <c r="K51" i="1"/>
  <c r="J47" i="1"/>
  <c r="I46" i="1"/>
  <c r="H45" i="1"/>
  <c r="G44" i="1"/>
  <c r="F43" i="1"/>
  <c r="E42" i="1"/>
  <c r="D41" i="1"/>
  <c r="C40" i="1"/>
  <c r="B39" i="1"/>
  <c r="K39" i="1"/>
  <c r="J35" i="1"/>
  <c r="I34" i="1"/>
  <c r="H33" i="1"/>
  <c r="G32" i="1"/>
  <c r="F31" i="1"/>
  <c r="E30" i="1"/>
  <c r="D29" i="1"/>
  <c r="C28" i="1"/>
  <c r="B27" i="1"/>
  <c r="K27" i="1"/>
  <c r="J23" i="1"/>
  <c r="I22" i="1"/>
  <c r="H21" i="1"/>
  <c r="F19" i="1"/>
  <c r="D17" i="1"/>
  <c r="B15" i="1"/>
  <c r="K15" i="1"/>
  <c r="J11" i="1"/>
  <c r="H9" i="1"/>
  <c r="F7" i="1"/>
  <c r="D5" i="1"/>
  <c r="B3" i="1"/>
  <c r="K3" i="1"/>
  <c r="H11" i="1"/>
  <c r="J48" i="1"/>
  <c r="I47" i="1"/>
  <c r="H46" i="1"/>
  <c r="G45" i="1"/>
  <c r="F44" i="1"/>
  <c r="E43" i="1"/>
  <c r="D42" i="1"/>
  <c r="C41" i="1"/>
  <c r="B40" i="1"/>
  <c r="K40" i="1"/>
  <c r="J36" i="1"/>
  <c r="I35" i="1"/>
  <c r="H34" i="1"/>
  <c r="G33" i="1"/>
  <c r="F32" i="1"/>
  <c r="E31" i="1"/>
  <c r="D30" i="1"/>
  <c r="C29" i="1"/>
  <c r="B28" i="1"/>
  <c r="K28" i="1"/>
  <c r="J24" i="1"/>
  <c r="I23" i="1"/>
  <c r="H22" i="1"/>
  <c r="G21" i="1"/>
  <c r="F20" i="1"/>
  <c r="E19" i="1"/>
  <c r="D18" i="1"/>
  <c r="C17" i="1"/>
  <c r="B16" i="1"/>
  <c r="K16" i="1"/>
  <c r="J12" i="1"/>
  <c r="I11" i="1"/>
  <c r="H10" i="1"/>
  <c r="G9" i="1"/>
  <c r="F8" i="1"/>
  <c r="E7" i="1"/>
  <c r="D6" i="1"/>
  <c r="C5" i="1"/>
  <c r="B4" i="1"/>
  <c r="K4" i="1"/>
  <c r="C18" i="1"/>
  <c r="I12" i="1"/>
  <c r="E8" i="1"/>
  <c r="B5" i="1"/>
  <c r="K5" i="1"/>
  <c r="J49" i="1"/>
  <c r="I48" i="1"/>
  <c r="H47" i="1"/>
  <c r="G46" i="1"/>
  <c r="F45" i="1"/>
  <c r="E44" i="1"/>
  <c r="D43" i="1"/>
  <c r="C42" i="1"/>
  <c r="B41" i="1"/>
  <c r="K41" i="1"/>
  <c r="J37" i="1"/>
  <c r="I36" i="1"/>
  <c r="H35" i="1"/>
  <c r="G34" i="1"/>
  <c r="F33" i="1"/>
  <c r="E32" i="1"/>
  <c r="D31" i="1"/>
  <c r="C30" i="1"/>
  <c r="B29" i="1"/>
  <c r="K29" i="1"/>
  <c r="J25" i="1"/>
  <c r="I24" i="1"/>
  <c r="H23" i="1"/>
  <c r="G22" i="1"/>
  <c r="F21" i="1"/>
  <c r="E20" i="1"/>
  <c r="D19" i="1"/>
  <c r="B17" i="1"/>
  <c r="K17" i="1"/>
  <c r="J13" i="1"/>
  <c r="F9" i="1"/>
  <c r="C6" i="1"/>
  <c r="J50" i="1"/>
  <c r="I49" i="1"/>
  <c r="H48" i="1"/>
  <c r="G47" i="1"/>
  <c r="F46" i="1"/>
  <c r="E45" i="1"/>
  <c r="D44" i="1"/>
  <c r="C43" i="1"/>
  <c r="B42" i="1"/>
  <c r="K42" i="1"/>
  <c r="J38" i="1"/>
  <c r="I37" i="1"/>
  <c r="H36" i="1"/>
  <c r="G35" i="1"/>
  <c r="F34" i="1"/>
  <c r="E33" i="1"/>
  <c r="D32" i="1"/>
  <c r="C31" i="1"/>
  <c r="B30" i="1"/>
  <c r="K30" i="1"/>
  <c r="J26" i="1"/>
  <c r="I25" i="1"/>
  <c r="H24" i="1"/>
  <c r="G23" i="1"/>
  <c r="F22" i="1"/>
  <c r="E21" i="1"/>
  <c r="D20" i="1"/>
  <c r="C19" i="1"/>
  <c r="B18" i="1"/>
  <c r="K18" i="1"/>
  <c r="J14" i="1"/>
  <c r="I13" i="1"/>
  <c r="H12" i="1"/>
  <c r="G11" i="1"/>
  <c r="F10" i="1"/>
  <c r="E9" i="1"/>
  <c r="D8" i="1"/>
  <c r="C7" i="1"/>
  <c r="B6" i="1"/>
  <c r="K6" i="1"/>
  <c r="J2" i="1"/>
  <c r="C34" i="1"/>
  <c r="C22" i="1"/>
  <c r="H15" i="1"/>
  <c r="D11" i="1"/>
  <c r="J5" i="1"/>
  <c r="G2" i="1"/>
  <c r="I29" i="1"/>
  <c r="I17" i="1"/>
  <c r="F14" i="1"/>
  <c r="J51" i="1"/>
  <c r="I50" i="1"/>
  <c r="H49" i="1"/>
  <c r="G48" i="1"/>
  <c r="F47" i="1"/>
  <c r="E46" i="1"/>
  <c r="D45" i="1"/>
  <c r="C44" i="1"/>
  <c r="B43" i="1"/>
  <c r="K43" i="1"/>
  <c r="J39" i="1"/>
  <c r="I38" i="1"/>
  <c r="H37" i="1"/>
  <c r="G36" i="1"/>
  <c r="F35" i="1"/>
  <c r="E34" i="1"/>
  <c r="D33" i="1"/>
  <c r="C32" i="1"/>
  <c r="B31" i="1"/>
  <c r="K31" i="1"/>
  <c r="J27" i="1"/>
  <c r="I26" i="1"/>
  <c r="H25" i="1"/>
  <c r="G24" i="1"/>
  <c r="F23" i="1"/>
  <c r="E22" i="1"/>
  <c r="D21" i="1"/>
  <c r="C20" i="1"/>
  <c r="B19" i="1"/>
  <c r="K19" i="1"/>
  <c r="J15" i="1"/>
  <c r="I14" i="1"/>
  <c r="H13" i="1"/>
  <c r="G12" i="1"/>
  <c r="F11" i="1"/>
  <c r="E10" i="1"/>
  <c r="D9" i="1"/>
  <c r="C8" i="1"/>
  <c r="B7" i="1"/>
  <c r="K7" i="1"/>
  <c r="J3" i="1"/>
  <c r="I2" i="1"/>
  <c r="D35" i="1"/>
  <c r="D23" i="1"/>
  <c r="I16" i="1"/>
  <c r="F13" i="1"/>
  <c r="B9" i="1"/>
  <c r="K9" i="1"/>
  <c r="H3" i="1"/>
  <c r="F26" i="1"/>
  <c r="H16" i="1"/>
  <c r="D12" i="1"/>
  <c r="J6" i="1"/>
  <c r="F2" i="1"/>
  <c r="I51" i="1"/>
  <c r="H50" i="1"/>
  <c r="G49" i="1"/>
  <c r="F48" i="1"/>
  <c r="E47" i="1"/>
  <c r="D46" i="1"/>
  <c r="C45" i="1"/>
  <c r="B44" i="1"/>
  <c r="K44" i="1"/>
  <c r="J40" i="1"/>
  <c r="I39" i="1"/>
  <c r="H38" i="1"/>
  <c r="G37" i="1"/>
  <c r="F36" i="1"/>
  <c r="E35" i="1"/>
  <c r="D34" i="1"/>
  <c r="C33" i="1"/>
  <c r="B32" i="1"/>
  <c r="K32" i="1"/>
  <c r="J28" i="1"/>
  <c r="I27" i="1"/>
  <c r="H26" i="1"/>
  <c r="G25" i="1"/>
  <c r="F24" i="1"/>
  <c r="E23" i="1"/>
  <c r="D22" i="1"/>
  <c r="C21" i="1"/>
  <c r="B20" i="1"/>
  <c r="K20" i="1"/>
  <c r="J16" i="1"/>
  <c r="I15" i="1"/>
  <c r="H14" i="1"/>
  <c r="G13" i="1"/>
  <c r="F12" i="1"/>
  <c r="E11" i="1"/>
  <c r="D10" i="1"/>
  <c r="C9" i="1"/>
  <c r="B8" i="1"/>
  <c r="K8" i="1"/>
  <c r="J4" i="1"/>
  <c r="I3" i="1"/>
  <c r="H2" i="1"/>
  <c r="H51" i="1"/>
  <c r="F49" i="1"/>
  <c r="E48" i="1"/>
  <c r="C46" i="1"/>
  <c r="I40" i="1"/>
  <c r="G38" i="1"/>
  <c r="E36" i="1"/>
  <c r="I28" i="1"/>
  <c r="G26" i="1"/>
  <c r="E24" i="1"/>
  <c r="E12" i="1"/>
  <c r="H28" i="1"/>
  <c r="G15" i="1"/>
  <c r="B10" i="1"/>
  <c r="K10" i="1"/>
  <c r="G3" i="1"/>
  <c r="G50" i="1"/>
  <c r="D47" i="1"/>
  <c r="B45" i="1"/>
  <c r="K45" i="1"/>
  <c r="J41" i="1"/>
  <c r="H39" i="1"/>
  <c r="F37" i="1"/>
  <c r="B33" i="1"/>
  <c r="K33" i="1"/>
  <c r="J29" i="1"/>
  <c r="H27" i="1"/>
  <c r="F25" i="1"/>
  <c r="B21" i="1"/>
  <c r="K21" i="1"/>
  <c r="J17" i="1"/>
  <c r="G14" i="1"/>
  <c r="C10" i="1"/>
  <c r="I4" i="1"/>
  <c r="G27" i="1"/>
  <c r="C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REBUILT as a single chronological chain (previously two separate blocks: matches, then tournaments).
Every match and tournament entry is now merged into ONE time-ordered sequence using the Sort Key / Chrono Rank helper columns on 'Match Log' (J,K) and 'Tournament Log' (N,O). Each row here is 'whichever real-world event has the next rank,' pulled from either source sheet via INDEX/MATCH. ELO Before values are looked up from the most recent prior row in this SAME chronological sequence, so a tournament that happened before a later league match now correctly feeds into that match's starting ELO (previously it did not).
Tie-break rule for same-day events: matches are ordered before tournaments logged on the same date.
Also corrected: 7 dates in Match Log (rows 11,12,13,15,23,24) had day/month swapped (e.g. 'Jan 7' was really '1 July' in DD/MM entry) — fixed based on the surrounding chronological sequence. Worth double-checking against your actual game notes.</t>
        </r>
      </text>
    </comment>
  </commentList>
</comments>
</file>

<file path=xl/sharedStrings.xml><?xml version="1.0" encoding="utf-8"?>
<sst xmlns="http://schemas.openxmlformats.org/spreadsheetml/2006/main" count="238" uniqueCount="94">
  <si>
    <t>Rank</t>
  </si>
  <si>
    <t>Name</t>
  </si>
  <si>
    <t>ELO</t>
  </si>
  <si>
    <t>Peak ELO</t>
  </si>
  <si>
    <t>Games</t>
  </si>
  <si>
    <t>Wins</t>
  </si>
  <si>
    <t>Draws</t>
  </si>
  <si>
    <t>Losses</t>
  </si>
  <si>
    <t>Win %</t>
  </si>
  <si>
    <t>BP</t>
  </si>
  <si>
    <t>Tournaments
Played</t>
  </si>
  <si>
    <t>MATCH LOG — Record each game result here (one row per game)</t>
  </si>
  <si>
    <t>Date</t>
  </si>
  <si>
    <t>Player 1</t>
  </si>
  <si>
    <t>Player 2</t>
  </si>
  <si>
    <t>Result
(P1 perspective)</t>
  </si>
  <si>
    <t>BP P1</t>
  </si>
  <si>
    <t>BP P2</t>
  </si>
  <si>
    <t>P1 Faction</t>
  </si>
  <si>
    <t>P2 Faction</t>
  </si>
  <si>
    <t>Notes</t>
  </si>
  <si>
    <t>Sort Key
(auto)</t>
  </si>
  <si>
    <t>Chrono Rank
(auto)</t>
  </si>
  <si>
    <t>Andrew</t>
  </si>
  <si>
    <t>Colin</t>
  </si>
  <si>
    <t>Loss</t>
  </si>
  <si>
    <t>Necrons</t>
  </si>
  <si>
    <t>Death Guard</t>
  </si>
  <si>
    <t>Win</t>
  </si>
  <si>
    <t>Miles</t>
  </si>
  <si>
    <t>GSC</t>
  </si>
  <si>
    <t>John</t>
  </si>
  <si>
    <t>Blood Angels</t>
  </si>
  <si>
    <t>Brett</t>
  </si>
  <si>
    <t>Orks</t>
  </si>
  <si>
    <t>Gav</t>
  </si>
  <si>
    <t>Votaan</t>
  </si>
  <si>
    <t>Imperial Knights</t>
  </si>
  <si>
    <t xml:space="preserve">Andrew </t>
  </si>
  <si>
    <t xml:space="preserve">Necrons </t>
  </si>
  <si>
    <t>Allan</t>
  </si>
  <si>
    <t>Ad Mech</t>
  </si>
  <si>
    <t>Ryan</t>
  </si>
  <si>
    <t>Kev</t>
  </si>
  <si>
    <t>Tyranids</t>
  </si>
  <si>
    <t>Aeldari</t>
  </si>
  <si>
    <t>Draw</t>
  </si>
  <si>
    <t>Pete</t>
  </si>
  <si>
    <t>Deathwatch</t>
  </si>
  <si>
    <t xml:space="preserve">Emperors Children </t>
  </si>
  <si>
    <t>Salamanders</t>
  </si>
  <si>
    <t>TOURNAMENT LOG — One row per player per tournament</t>
  </si>
  <si>
    <t>Tournament</t>
  </si>
  <si>
    <t>Player</t>
  </si>
  <si>
    <t>Rounds
Played</t>
  </si>
  <si>
    <t>Player VP
Total</t>
  </si>
  <si>
    <t>Tournament
SoS (0.00–1.00)</t>
  </si>
  <si>
    <t>Phantom Opp
ELO (auto)</t>
  </si>
  <si>
    <t>Composite
Score (auto)</t>
  </si>
  <si>
    <t>Faction
Played</t>
  </si>
  <si>
    <t>ℹ  Phantom Opponent ELO = 800 + (SoS × 400).  SoS 0.50 → ELO 1000  |  SoS 0.75 → ELO 1100  |  SoS 1.00 → ELO 1200.  Composite Score = (Wins + 0.5×Draws) ÷ Rounds — treated as the ELO 'Actual' result against the phantom opponent.</t>
  </si>
  <si>
    <t>The Kelpie Cup #8</t>
  </si>
  <si>
    <t>Brewhammer GT9</t>
  </si>
  <si>
    <t>Guard</t>
  </si>
  <si>
    <t>GUEST LOG — One row per game vs an unregistered / one-off opponent</t>
  </si>
  <si>
    <t>League
Player</t>
  </si>
  <si>
    <t>Result
(Player perspective)</t>
  </si>
  <si>
    <t>Player BP</t>
  </si>
  <si>
    <t>Opponent BP</t>
  </si>
  <si>
    <t>Player
Faction</t>
  </si>
  <si>
    <t>Opponent
Faction</t>
  </si>
  <si>
    <t>Guest Opponent
Name</t>
  </si>
  <si>
    <t>Guest Opponent
Est. ELO</t>
  </si>
  <si>
    <t>ℹ  Guest = a one-off opponent you do NOT want added to the League Table. Guest Opponent Est. ELO is a manual estimate of their strength (leave blank to default to 1000, a neutral 'unknown player' rating). This affects YOUR rating only — the guest's own rating is not tracked or carried between games, even if you reuse the same guest name.</t>
  </si>
  <si>
    <t>Global
Rank</t>
  </si>
  <si>
    <t>Event
Type</t>
  </si>
  <si>
    <t>Match Log
Row (auto)</t>
  </si>
  <si>
    <t>Tournament Log
Row (auto)</t>
  </si>
  <si>
    <t>Player 2 /
Opponent</t>
  </si>
  <si>
    <t>ELO Before
P1</t>
  </si>
  <si>
    <t>Opponent ELO
(Before P2 / Phantom)</t>
  </si>
  <si>
    <t>Expected
P1</t>
  </si>
  <si>
    <t>Actual P1 /
Composite</t>
  </si>
  <si>
    <t>K-Factor</t>
  </si>
  <si>
    <t>ELO
Change</t>
  </si>
  <si>
    <t>ELO After
P1</t>
  </si>
  <si>
    <t>ELO After
P2</t>
  </si>
  <si>
    <t>Tournament
(if applicable)</t>
  </si>
  <si>
    <t>Guest Log
Row (auto)</t>
  </si>
  <si>
    <t>Current ELO</t>
  </si>
  <si>
    <t>Sort Key</t>
  </si>
  <si>
    <t>Avg BP</t>
  </si>
  <si>
    <t>08/13/2026</t>
  </si>
  <si>
    <t>Graeme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</si>
</sst>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"/>
    <numFmt numFmtId="166" formatCode="mm/dd/yyyy"/>
  </numFmts>
  <fonts count="15" x14ac:knownFonts="1">
    <font>
      <sz val="11"/>
      <color theme="1"/>
      <name val="Calibri"/>
      <family val="2"/>
      <charset val="1"/>
    </font>
    <font>
      <b/>
      <sz val="10"/>
      <color rgb="FFD4AF37"/>
      <name val="Arial"/>
      <charset val="1"/>
    </font>
    <font>
      <b/>
      <sz val="10"/>
      <color rgb="FFD4AF37"/>
      <name val="Arial"/>
      <family val="2"/>
      <charset val="1"/>
    </font>
    <font>
      <sz val="10"/>
      <name val="Arial"/>
      <charset val="1"/>
    </font>
    <font>
      <b/>
      <sz val="12"/>
      <color rgb="FFD4AF37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  <font>
      <i/>
      <sz val="9"/>
      <color rgb="FF595959"/>
      <name val="Cambria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2B2B2B"/>
        <bgColor rgb="FF444444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4AF37"/>
        <bgColor rgb="FFFFCC00"/>
      </patternFill>
    </fill>
    <fill>
      <patternFill patternType="solid">
        <fgColor rgb="FFFFFBCC"/>
        <bgColor rgb="FFFFFDE7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DE7"/>
      </patternFill>
    </fill>
    <fill>
      <patternFill patternType="solid">
        <fgColor rgb="FF4472C4"/>
        <bgColor rgb="FF0066CC"/>
      </patternFill>
    </fill>
    <fill>
      <patternFill patternType="solid">
        <fgColor rgb="FFFCE4D6"/>
        <bgColor rgb="FFFFFBCC"/>
      </patternFill>
    </fill>
    <fill>
      <patternFill patternType="solid">
        <fgColor rgb="FFFFFDE7"/>
        <bgColor rgb="FFFFFFFF"/>
      </patternFill>
    </fill>
  </fills>
  <borders count="5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/>
      <diagonal/>
    </border>
    <border>
      <left/>
      <right/>
      <top/>
      <bottom style="thin">
        <color rgb="FF44444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3" fillId="0" borderId="0" xfId="0" applyNumberFormat="1" applyFont="1"/>
    <xf numFmtId="0" fontId="3" fillId="0" borderId="0" xfId="0" applyFont="1"/>
    <xf numFmtId="166" fontId="6" fillId="4" borderId="1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center" vertical="center" wrapText="1"/>
    </xf>
    <xf numFmtId="164" fontId="3" fillId="8" borderId="4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16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64" fontId="0" fillId="8" borderId="0" xfId="0" applyNumberFormat="1" applyFill="1"/>
    <xf numFmtId="0" fontId="0" fillId="8" borderId="0" xfId="0" applyFill="1"/>
    <xf numFmtId="165" fontId="0" fillId="0" borderId="0" xfId="0" applyNumberFormat="1"/>
    <xf numFmtId="0" fontId="11" fillId="10" borderId="1" xfId="0" applyFont="1" applyFill="1" applyBorder="1" applyAlignment="1">
      <alignment horizontal="center" wrapText="1"/>
    </xf>
    <xf numFmtId="0" fontId="11" fillId="10" borderId="0" xfId="0" applyFont="1" applyFill="1" applyAlignment="1">
      <alignment horizontal="center" wrapText="1"/>
    </xf>
    <xf numFmtId="164" fontId="3" fillId="0" borderId="0" xfId="0" applyNumberFormat="1" applyFont="1"/>
    <xf numFmtId="0" fontId="12" fillId="0" borderId="0" xfId="0" applyFont="1"/>
    <xf numFmtId="0" fontId="3" fillId="0" borderId="0" xfId="0" applyFont="1" applyAlignment="1">
      <alignment vertical="center" wrapText="1"/>
    </xf>
    <xf numFmtId="166" fontId="3" fillId="0" borderId="0" xfId="0" applyNumberFormat="1" applyFont="1"/>
    <xf numFmtId="0" fontId="3" fillId="5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10" fontId="14" fillId="1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B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E7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D4AF37"/>
      <rgbColor rgb="FFFF6600"/>
      <rgbColor rgb="FF595959"/>
      <rgbColor rgb="FF969696"/>
      <rgbColor rgb="FF003366"/>
      <rgbColor rgb="FF00B050"/>
      <rgbColor rgb="FF003300"/>
      <rgbColor rgb="FF444444"/>
      <rgbColor rgb="FF993300"/>
      <rgbColor rgb="FF6D4C41"/>
      <rgbColor rgb="FF1F4E7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5.51171875" customWidth="1"/>
    <col min="2" max="2" width="10.0859375" customWidth="1"/>
    <col min="3" max="3" width="4.9765625" customWidth="1"/>
    <col min="4" max="4" width="9.81640625" customWidth="1"/>
    <col min="5" max="5" width="7.26171875" customWidth="1"/>
    <col min="6" max="6" width="5.37890625" customWidth="1"/>
    <col min="7" max="7" width="6.58984375" customWidth="1"/>
    <col min="8" max="8" width="6.9921875" customWidth="1"/>
    <col min="9" max="9" width="7.93359375" customWidth="1"/>
    <col min="10" max="10" width="7.12890625" customWidth="1"/>
    <col min="11" max="11" width="14.390625" customWidth="1"/>
  </cols>
  <sheetData>
    <row r="1" spans="1:11" ht="30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spans="1:11" ht="15" customHeight="1" x14ac:dyDescent="0.2">
      <c r="A2">
        <f>IF(ROW()-1&lt;=COUNTA('Player Data'!$A$2:$A$51),ROW()-1,"")</f>
        <v>1</v>
      </c>
      <c r="B2" t="str">
        <f>IFERROR(INDEX('Player Data'!$A$2:$A$51,MATCH(ROW()-1,'Player Data'!$L$2:$L$51,0)),"")</f>
        <v>John</v>
      </c>
      <c r="C2">
        <f>IFERROR(INDEX('Player Data'!$B$2:$B$51,MATCH(ROW()-1,'Player Data'!$L$2:$L$51,0)),"")</f>
        <v>1072</v>
      </c>
      <c r="D2">
        <f>IFERROR(INDEX('Player Data'!$C$2:$C$51,MATCH(ROW()-1,'Player Data'!$L$2:$L$51,0)),"")</f>
        <v>1072</v>
      </c>
      <c r="E2">
        <f>IFERROR(INDEX('Player Data'!$D$2:$D$51,MATCH(ROW()-1,'Player Data'!$L$2:$L$51,0)),"")</f>
        <v>11</v>
      </c>
      <c r="F2">
        <f>IFERROR(INDEX('Player Data'!$E$2:$E$51,MATCH(ROW()-1,'Player Data'!$L$2:$L$51,0)),"")</f>
        <v>7</v>
      </c>
      <c r="G2">
        <f>IFERROR(INDEX('Player Data'!$F$2:$F$51,MATCH(ROW()-1,'Player Data'!$L$2:$L$51,0)),"")</f>
        <v>1</v>
      </c>
      <c r="H2">
        <f>IFERROR(INDEX('Player Data'!$G$2:$G$51,MATCH(ROW()-1,'Player Data'!$L$2:$L$51,0)),"")</f>
        <v>3</v>
      </c>
      <c r="I2" s="4">
        <f>IFERROR(INDEX('Player Data'!$I$2:$I$51,MATCH(ROW()-1,'Player Data'!$L$2:$L$51,0)),"")</f>
        <v>0.63636363636363635</v>
      </c>
      <c r="J2">
        <f>IFERROR(INDEX('Player Data'!$H$2:$H$51,MATCH(ROW()-1,'Player Data'!$L$2:$L$51,0)),"")</f>
        <v>937</v>
      </c>
      <c r="K2" s="5">
        <f>IF(B2="","",COUNTIF('Tournament Log'!C:C,B2))</f>
        <v>1</v>
      </c>
    </row>
    <row r="3" spans="1:11" ht="15" customHeight="1" x14ac:dyDescent="0.2">
      <c r="A3">
        <f>IF(ROW()-1&lt;=COUNTA('Player Data'!$A$2:$A$51),ROW()-1,"")</f>
        <v>2</v>
      </c>
      <c r="B3" t="str">
        <f>IFERROR(INDEX('Player Data'!$A$2:$A$51,MATCH(ROW()-1,'Player Data'!$L$2:$L$51,0)),"")</f>
        <v>Gav</v>
      </c>
      <c r="C3">
        <f>IFERROR(INDEX('Player Data'!$B$2:$B$51,MATCH(ROW()-1,'Player Data'!$L$2:$L$51,0)),"")</f>
        <v>1019</v>
      </c>
      <c r="D3">
        <f>IFERROR(INDEX('Player Data'!$C$2:$C$51,MATCH(ROW()-1,'Player Data'!$L$2:$L$51,0)),"")</f>
        <v>1037</v>
      </c>
      <c r="E3">
        <f>IFERROR(INDEX('Player Data'!$D$2:$D$51,MATCH(ROW()-1,'Player Data'!$L$2:$L$51,0)),"")</f>
        <v>7</v>
      </c>
      <c r="F3">
        <f>IFERROR(INDEX('Player Data'!$E$2:$E$51,MATCH(ROW()-1,'Player Data'!$L$2:$L$51,0)),"")</f>
        <v>4</v>
      </c>
      <c r="G3">
        <f>IFERROR(INDEX('Player Data'!$F$2:$F$51,MATCH(ROW()-1,'Player Data'!$L$2:$L$51,0)),"")</f>
        <v>0</v>
      </c>
      <c r="H3">
        <f>IFERROR(INDEX('Player Data'!$G$2:$G$51,MATCH(ROW()-1,'Player Data'!$L$2:$L$51,0)),"")</f>
        <v>3</v>
      </c>
      <c r="I3" s="4">
        <f>IFERROR(INDEX('Player Data'!$I$2:$I$51,MATCH(ROW()-1,'Player Data'!$L$2:$L$51,0)),"")</f>
        <v>0.5714285714285714</v>
      </c>
      <c r="J3">
        <f>IFERROR(INDEX('Player Data'!$H$2:$H$51,MATCH(ROW()-1,'Player Data'!$L$2:$L$51,0)),"")</f>
        <v>539</v>
      </c>
      <c r="K3" s="5">
        <f>IF(B3="","",COUNTIF('Tournament Log'!C:C,B3))</f>
        <v>1</v>
      </c>
    </row>
    <row r="4" spans="1:11" ht="15" customHeight="1" x14ac:dyDescent="0.2">
      <c r="A4">
        <f>IF(ROW()-1&lt;=COUNTA('Player Data'!$A$2:$A$51),ROW()-1,"")</f>
        <v>3</v>
      </c>
      <c r="B4" t="str">
        <f>IFERROR(INDEX('Player Data'!$A$2:$A$51,MATCH(ROW()-1,'Player Data'!$L$2:$L$51,0)),"")</f>
        <v>Allan</v>
      </c>
      <c r="C4">
        <f>IFERROR(INDEX('Player Data'!$B$2:$B$51,MATCH(ROW()-1,'Player Data'!$L$2:$L$51,0)),"")</f>
        <v>1017</v>
      </c>
      <c r="D4">
        <f>IFERROR(INDEX('Player Data'!$C$2:$C$51,MATCH(ROW()-1,'Player Data'!$L$2:$L$51,0)),"")</f>
        <v>1017</v>
      </c>
      <c r="E4">
        <f>IFERROR(INDEX('Player Data'!$D$2:$D$51,MATCH(ROW()-1,'Player Data'!$L$2:$L$51,0)),"")</f>
        <v>2</v>
      </c>
      <c r="F4">
        <f>IFERROR(INDEX('Player Data'!$E$2:$E$51,MATCH(ROW()-1,'Player Data'!$L$2:$L$51,0)),"")</f>
        <v>2</v>
      </c>
      <c r="G4">
        <f>IFERROR(INDEX('Player Data'!$F$2:$F$51,MATCH(ROW()-1,'Player Data'!$L$2:$L$51,0)),"")</f>
        <v>0</v>
      </c>
      <c r="H4">
        <f>IFERROR(INDEX('Player Data'!$G$2:$G$51,MATCH(ROW()-1,'Player Data'!$L$2:$L$51,0)),"")</f>
        <v>0</v>
      </c>
      <c r="I4" s="4">
        <f>IFERROR(INDEX('Player Data'!$I$2:$I$51,MATCH(ROW()-1,'Player Data'!$L$2:$L$51,0)),"")</f>
        <v>1</v>
      </c>
      <c r="J4">
        <f>IFERROR(INDEX('Player Data'!$H$2:$H$51,MATCH(ROW()-1,'Player Data'!$L$2:$L$51,0)),"")</f>
        <v>187</v>
      </c>
      <c r="K4" s="5">
        <f>IF(B4="","",COUNTIF('Tournament Log'!C:C,B4))</f>
        <v>0</v>
      </c>
    </row>
    <row r="5" spans="1:11" ht="15" customHeight="1" x14ac:dyDescent="0.2">
      <c r="A5">
        <f>IF(ROW()-1&lt;=COUNTA('Player Data'!$A$2:$A$51),ROW()-1,"")</f>
        <v>4</v>
      </c>
      <c r="B5" t="str">
        <f>IFERROR(INDEX('Player Data'!$A$2:$A$51,MATCH(ROW()-1,'Player Data'!$L$2:$L$51,0)),"")</f>
        <v>Ryan</v>
      </c>
      <c r="C5">
        <f>IFERROR(INDEX('Player Data'!$B$2:$B$51,MATCH(ROW()-1,'Player Data'!$L$2:$L$51,0)),"")</f>
        <v>1016</v>
      </c>
      <c r="D5">
        <f>IFERROR(INDEX('Player Data'!$C$2:$C$51,MATCH(ROW()-1,'Player Data'!$L$2:$L$51,0)),"")</f>
        <v>1016</v>
      </c>
      <c r="E5">
        <f>IFERROR(INDEX('Player Data'!$D$2:$D$51,MATCH(ROW()-1,'Player Data'!$L$2:$L$51,0)),"")</f>
        <v>1</v>
      </c>
      <c r="F5">
        <f>IFERROR(INDEX('Player Data'!$E$2:$E$51,MATCH(ROW()-1,'Player Data'!$L$2:$L$51,0)),"")</f>
        <v>1</v>
      </c>
      <c r="G5">
        <f>IFERROR(INDEX('Player Data'!$F$2:$F$51,MATCH(ROW()-1,'Player Data'!$L$2:$L$51,0)),"")</f>
        <v>0</v>
      </c>
      <c r="H5">
        <f>IFERROR(INDEX('Player Data'!$G$2:$G$51,MATCH(ROW()-1,'Player Data'!$L$2:$L$51,0)),"")</f>
        <v>0</v>
      </c>
      <c r="I5" s="4">
        <f>IFERROR(INDEX('Player Data'!$I$2:$I$51,MATCH(ROW()-1,'Player Data'!$L$2:$L$51,0)),"")</f>
        <v>1</v>
      </c>
      <c r="J5">
        <f>IFERROR(INDEX('Player Data'!$H$2:$H$51,MATCH(ROW()-1,'Player Data'!$L$2:$L$51,0)),"")</f>
        <v>58</v>
      </c>
      <c r="K5" s="5">
        <f>IF(B5="","",COUNTIF('Tournament Log'!C:C,B5))</f>
        <v>0</v>
      </c>
    </row>
    <row r="6" spans="1:11" ht="15" customHeight="1" x14ac:dyDescent="0.2">
      <c r="A6">
        <f>IF(ROW()-1&lt;=COUNTA('Player Data'!$A$2:$A$51),ROW()-1,"")</f>
        <v>5</v>
      </c>
      <c r="B6" t="str">
        <f>IFERROR(INDEX('Player Data'!$A$2:$A$51,MATCH(ROW()-1,'Player Data'!$L$2:$L$51,0)),"")</f>
        <v>Pete</v>
      </c>
      <c r="C6">
        <f>IFERROR(INDEX('Player Data'!$B$2:$B$51,MATCH(ROW()-1,'Player Data'!$L$2:$L$51,0)),"")</f>
        <v>1015</v>
      </c>
      <c r="D6">
        <f>IFERROR(INDEX('Player Data'!$C$2:$C$51,MATCH(ROW()-1,'Player Data'!$L$2:$L$51,0)),"")</f>
        <v>1015</v>
      </c>
      <c r="E6">
        <f>IFERROR(INDEX('Player Data'!$D$2:$D$51,MATCH(ROW()-1,'Player Data'!$L$2:$L$51,0)),"")</f>
        <v>1</v>
      </c>
      <c r="F6">
        <f>IFERROR(INDEX('Player Data'!$E$2:$E$51,MATCH(ROW()-1,'Player Data'!$L$2:$L$51,0)),"")</f>
        <v>1</v>
      </c>
      <c r="G6">
        <f>IFERROR(INDEX('Player Data'!$F$2:$F$51,MATCH(ROW()-1,'Player Data'!$L$2:$L$51,0)),"")</f>
        <v>0</v>
      </c>
      <c r="H6">
        <f>IFERROR(INDEX('Player Data'!$G$2:$G$51,MATCH(ROW()-1,'Player Data'!$L$2:$L$51,0)),"")</f>
        <v>0</v>
      </c>
      <c r="I6" s="4">
        <f>IFERROR(INDEX('Player Data'!$I$2:$I$51,MATCH(ROW()-1,'Player Data'!$L$2:$L$51,0)),"")</f>
        <v>1</v>
      </c>
      <c r="J6">
        <f>IFERROR(INDEX('Player Data'!$H$2:$H$51,MATCH(ROW()-1,'Player Data'!$L$2:$L$51,0)),"")</f>
        <v>40</v>
      </c>
      <c r="K6" s="5">
        <f>IF(B6="","",COUNTIF('Tournament Log'!C:C,B6))</f>
        <v>0</v>
      </c>
    </row>
    <row r="7" spans="1:11" ht="15" customHeight="1" x14ac:dyDescent="0.2">
      <c r="A7">
        <f>IF(ROW()-1&lt;=COUNTA('Player Data'!$A$2:$A$51),ROW()-1,"")</f>
        <v>6</v>
      </c>
      <c r="B7" t="str">
        <f>IFERROR(INDEX('Player Data'!$A$2:$A$51,MATCH(ROW()-1,'Player Data'!$L$2:$L$51,0)),"")</f>
        <v>Miles</v>
      </c>
      <c r="C7">
        <f>IFERROR(INDEX('Player Data'!$B$2:$B$51,MATCH(ROW()-1,'Player Data'!$L$2:$L$51,0)),"")</f>
        <v>1012</v>
      </c>
      <c r="D7">
        <f>IFERROR(INDEX('Player Data'!$C$2:$C$51,MATCH(ROW()-1,'Player Data'!$L$2:$L$51,0)),"")</f>
        <v>1032</v>
      </c>
      <c r="E7">
        <f>IFERROR(INDEX('Player Data'!$D$2:$D$51,MATCH(ROW()-1,'Player Data'!$L$2:$L$51,0)),"")</f>
        <v>5</v>
      </c>
      <c r="F7">
        <f>IFERROR(INDEX('Player Data'!$E$2:$E$51,MATCH(ROW()-1,'Player Data'!$L$2:$L$51,0)),"")</f>
        <v>3</v>
      </c>
      <c r="G7">
        <f>IFERROR(INDEX('Player Data'!$F$2:$F$51,MATCH(ROW()-1,'Player Data'!$L$2:$L$51,0)),"")</f>
        <v>0</v>
      </c>
      <c r="H7">
        <f>IFERROR(INDEX('Player Data'!$G$2:$G$51,MATCH(ROW()-1,'Player Data'!$L$2:$L$51,0)),"")</f>
        <v>2</v>
      </c>
      <c r="I7" s="4">
        <f>IFERROR(INDEX('Player Data'!$I$2:$I$51,MATCH(ROW()-1,'Player Data'!$L$2:$L$51,0)),"")</f>
        <v>0.6</v>
      </c>
      <c r="J7">
        <f>IFERROR(INDEX('Player Data'!$H$2:$H$51,MATCH(ROW()-1,'Player Data'!$L$2:$L$51,0)),"")</f>
        <v>424</v>
      </c>
      <c r="K7" s="5">
        <f>IF(B7="","",COUNTIF('Tournament Log'!C:C,B7))</f>
        <v>0</v>
      </c>
    </row>
    <row r="8" spans="1:11" ht="15" customHeight="1" x14ac:dyDescent="0.2">
      <c r="A8">
        <f>IF(ROW()-1&lt;=COUNTA('Player Data'!$A$2:$A$51),ROW()-1,"")</f>
        <v>7</v>
      </c>
      <c r="B8" t="str">
        <f>IFERROR(INDEX('Player Data'!$A$2:$A$51,MATCH(ROW()-1,'Player Data'!$L$2:$L$51,0)),"")</f>
        <v>Andrew</v>
      </c>
      <c r="C8">
        <f>IFERROR(INDEX('Player Data'!$B$2:$B$51,MATCH(ROW()-1,'Player Data'!$L$2:$L$51,0)),"")</f>
        <v>1011</v>
      </c>
      <c r="D8">
        <f>IFERROR(INDEX('Player Data'!$C$2:$C$51,MATCH(ROW()-1,'Player Data'!$L$2:$L$51,0)),"")</f>
        <v>1011</v>
      </c>
      <c r="E8">
        <f>IFERROR(INDEX('Player Data'!$D$2:$D$51,MATCH(ROW()-1,'Player Data'!$L$2:$L$51,0)),"")</f>
        <v>13</v>
      </c>
      <c r="F8">
        <f>IFERROR(INDEX('Player Data'!$E$2:$E$51,MATCH(ROW()-1,'Player Data'!$L$2:$L$51,0)),"")</f>
        <v>6</v>
      </c>
      <c r="G8">
        <f>IFERROR(INDEX('Player Data'!$F$2:$F$51,MATCH(ROW()-1,'Player Data'!$L$2:$L$51,0)),"")</f>
        <v>0</v>
      </c>
      <c r="H8">
        <f>IFERROR(INDEX('Player Data'!$G$2:$G$51,MATCH(ROW()-1,'Player Data'!$L$2:$L$51,0)),"")</f>
        <v>7</v>
      </c>
      <c r="I8" s="4">
        <f>IFERROR(INDEX('Player Data'!$I$2:$I$51,MATCH(ROW()-1,'Player Data'!$L$2:$L$51,0)),"")</f>
        <v>0.46153846153846156</v>
      </c>
      <c r="J8">
        <f>IFERROR(INDEX('Player Data'!$H$2:$H$51,MATCH(ROW()-1,'Player Data'!$L$2:$L$51,0)),"")</f>
        <v>1053</v>
      </c>
      <c r="K8" s="5">
        <f>IF(B8="","",COUNTIF('Tournament Log'!C:C,B8))</f>
        <v>1</v>
      </c>
    </row>
    <row r="9" spans="1:11" ht="15" customHeight="1" x14ac:dyDescent="0.2">
      <c r="A9">
        <f>IF(ROW()-1&lt;=COUNTA('Player Data'!$A$2:$A$51),ROW()-1,"")</f>
        <v>8</v>
      </c>
      <c r="B9" t="str">
        <f>IFERROR(INDEX('Player Data'!$A$2:$A$51,MATCH(ROW()-1,'Player Data'!$L$2:$L$51,0)),"")</f>
        <v>Colin</v>
      </c>
      <c r="C9">
        <f>IFERROR(INDEX('Player Data'!$B$2:$B$51,MATCH(ROW()-1,'Player Data'!$L$2:$L$51,0)),"")</f>
        <v>985</v>
      </c>
      <c r="D9">
        <f>IFERROR(INDEX('Player Data'!$C$2:$C$51,MATCH(ROW()-1,'Player Data'!$L$2:$L$51,0)),"")</f>
        <v>1029</v>
      </c>
      <c r="E9">
        <f>IFERROR(INDEX('Player Data'!$D$2:$D$51,MATCH(ROW()-1,'Player Data'!$L$2:$L$51,0)),"")</f>
        <v>16</v>
      </c>
      <c r="F9">
        <f>IFERROR(INDEX('Player Data'!$E$2:$E$51,MATCH(ROW()-1,'Player Data'!$L$2:$L$51,0)),"")</f>
        <v>7</v>
      </c>
      <c r="G9">
        <f>IFERROR(INDEX('Player Data'!$F$2:$F$51,MATCH(ROW()-1,'Player Data'!$L$2:$L$51,0)),"")</f>
        <v>1</v>
      </c>
      <c r="H9">
        <f>IFERROR(INDEX('Player Data'!$G$2:$G$51,MATCH(ROW()-1,'Player Data'!$L$2:$L$51,0)),"")</f>
        <v>8</v>
      </c>
      <c r="I9" s="4">
        <f>IFERROR(INDEX('Player Data'!$I$2:$I$51,MATCH(ROW()-1,'Player Data'!$L$2:$L$51,0)),"")</f>
        <v>0.4375</v>
      </c>
      <c r="J9">
        <f>IFERROR(INDEX('Player Data'!$H$2:$H$51,MATCH(ROW()-1,'Player Data'!$L$2:$L$51,0)),"")</f>
        <v>1339</v>
      </c>
      <c r="K9" s="5">
        <f>IF(B9="","",COUNTIF('Tournament Log'!C:C,B9))</f>
        <v>0</v>
      </c>
    </row>
    <row r="10" spans="1:11" ht="15" customHeight="1" x14ac:dyDescent="0.2">
      <c r="A10">
        <f>IF(ROW()-1&lt;=COUNTA('Player Data'!$A$2:$A$51),ROW()-1,"")</f>
        <v>9</v>
      </c>
      <c r="B10" t="str">
        <f>IFERROR(INDEX('Player Data'!$A$2:$A$51,MATCH(ROW()-1,'Player Data'!$L$2:$L$51,0)),"")</f>
        <v>Brett</v>
      </c>
      <c r="C10">
        <f>IFERROR(INDEX('Player Data'!$B$2:$B$51,MATCH(ROW()-1,'Player Data'!$L$2:$L$51,0)),"")</f>
        <v>958</v>
      </c>
      <c r="D10">
        <f>IFERROR(INDEX('Player Data'!$C$2:$C$51,MATCH(ROW()-1,'Player Data'!$L$2:$L$51,0)),"")</f>
        <v>1000</v>
      </c>
      <c r="E10">
        <f>IFERROR(INDEX('Player Data'!$D$2:$D$51,MATCH(ROW()-1,'Player Data'!$L$2:$L$51,0)),"")</f>
        <v>5</v>
      </c>
      <c r="F10">
        <f>IFERROR(INDEX('Player Data'!$E$2:$E$51,MATCH(ROW()-1,'Player Data'!$L$2:$L$51,0)),"")</f>
        <v>1</v>
      </c>
      <c r="G10">
        <f>IFERROR(INDEX('Player Data'!$F$2:$F$51,MATCH(ROW()-1,'Player Data'!$L$2:$L$51,0)),"")</f>
        <v>0</v>
      </c>
      <c r="H10">
        <f>IFERROR(INDEX('Player Data'!$G$2:$G$51,MATCH(ROW()-1,'Player Data'!$L$2:$L$51,0)),"")</f>
        <v>4</v>
      </c>
      <c r="I10" s="4">
        <f>IFERROR(INDEX('Player Data'!$I$2:$I$51,MATCH(ROW()-1,'Player Data'!$L$2:$L$51,0)),"")</f>
        <v>0.2</v>
      </c>
      <c r="J10">
        <f>IFERROR(INDEX('Player Data'!$H$2:$H$51,MATCH(ROW()-1,'Player Data'!$L$2:$L$51,0)),"")</f>
        <v>347</v>
      </c>
      <c r="K10" s="5">
        <f>IF(B10="","",COUNTIF('Tournament Log'!C:C,B10))</f>
        <v>0</v>
      </c>
    </row>
    <row r="11" spans="1:11" ht="15" customHeight="1" x14ac:dyDescent="0.2">
      <c r="A11">
        <f>IF(ROW()-1&lt;=COUNTA('Player Data'!$A$2:$A$51),ROW()-1,"")</f>
        <v>10</v>
      </c>
      <c r="B11" t="str">
        <f>IFERROR(INDEX('Player Data'!$A$2:$A$51,MATCH(ROW()-1,'Player Data'!$L$2:$L$51,0)),"")</f>
        <v>Kev</v>
      </c>
      <c r="C11">
        <f>IFERROR(INDEX('Player Data'!$B$2:$B$51,MATCH(ROW()-1,'Player Data'!$L$2:$L$51,0)),"")</f>
        <v>957</v>
      </c>
      <c r="D11">
        <f>IFERROR(INDEX('Player Data'!$C$2:$C$51,MATCH(ROW()-1,'Player Data'!$L$2:$L$51,0)),"")</f>
        <v>1000</v>
      </c>
      <c r="E11">
        <f>IFERROR(INDEX('Player Data'!$D$2:$D$51,MATCH(ROW()-1,'Player Data'!$L$2:$L$51,0)),"")</f>
        <v>3</v>
      </c>
      <c r="F11">
        <f>IFERROR(INDEX('Player Data'!$E$2:$E$51,MATCH(ROW()-1,'Player Data'!$L$2:$L$51,0)),"")</f>
        <v>0</v>
      </c>
      <c r="G11">
        <f>IFERROR(INDEX('Player Data'!$F$2:$F$51,MATCH(ROW()-1,'Player Data'!$L$2:$L$51,0)),"")</f>
        <v>0</v>
      </c>
      <c r="H11">
        <f>IFERROR(INDEX('Player Data'!$G$2:$G$51,MATCH(ROW()-1,'Player Data'!$L$2:$L$51,0)),"")</f>
        <v>3</v>
      </c>
      <c r="I11" s="4">
        <f>IFERROR(INDEX('Player Data'!$I$2:$I$51,MATCH(ROW()-1,'Player Data'!$L$2:$L$51,0)),"")</f>
        <v>0</v>
      </c>
      <c r="J11">
        <f>IFERROR(INDEX('Player Data'!$H$2:$H$51,MATCH(ROW()-1,'Player Data'!$L$2:$L$51,0)),"")</f>
        <v>135</v>
      </c>
      <c r="K11" s="5">
        <f>IF(B11="","",COUNTIF('Tournament Log'!C:C,B11))</f>
        <v>0</v>
      </c>
    </row>
    <row r="12" spans="1:11" ht="15" customHeight="1" x14ac:dyDescent="0.2">
      <c r="A12" t="str">
        <f>IF(ROW()-1&lt;=COUNTA('Player Data'!$A$2:$A$51),ROW()-1,"")</f>
        <v/>
      </c>
      <c r="B12" t="str">
        <f>IFERROR(INDEX('Player Data'!$A$2:$A$51,MATCH(ROW()-1,'Player Data'!$L$2:$L$51,0)),"")</f>
        <v/>
      </c>
      <c r="C12" t="str">
        <f>IFERROR(INDEX('Player Data'!$B$2:$B$51,MATCH(ROW()-1,'Player Data'!$L$2:$L$51,0)),"")</f>
        <v/>
      </c>
      <c r="D12" t="str">
        <f>IFERROR(INDEX('Player Data'!$C$2:$C$51,MATCH(ROW()-1,'Player Data'!$L$2:$L$51,0)),"")</f>
        <v/>
      </c>
      <c r="E12" t="str">
        <f>IFERROR(INDEX('Player Data'!$D$2:$D$51,MATCH(ROW()-1,'Player Data'!$L$2:$L$51,0)),"")</f>
        <v/>
      </c>
      <c r="F12" t="str">
        <f>IFERROR(INDEX('Player Data'!$E$2:$E$51,MATCH(ROW()-1,'Player Data'!$L$2:$L$51,0)),"")</f>
        <v/>
      </c>
      <c r="G12" t="str">
        <f>IFERROR(INDEX('Player Data'!$F$2:$F$51,MATCH(ROW()-1,'Player Data'!$L$2:$L$51,0)),"")</f>
        <v/>
      </c>
      <c r="H12" t="str">
        <f>IFERROR(INDEX('Player Data'!$G$2:$G$51,MATCH(ROW()-1,'Player Data'!$L$2:$L$51,0)),"")</f>
        <v/>
      </c>
      <c r="I12" s="4" t="str">
        <f>IFERROR(INDEX('Player Data'!$I$2:$I$51,MATCH(ROW()-1,'Player Data'!$L$2:$L$51,0)),"")</f>
        <v/>
      </c>
      <c r="J12" t="str">
        <f>IFERROR(INDEX('Player Data'!$H$2:$H$51,MATCH(ROW()-1,'Player Data'!$L$2:$L$51,0)),"")</f>
        <v/>
      </c>
      <c r="K12" s="5" t="str">
        <f>IF(B12="","",COUNTIF('Tournament Log'!C:C,B12))</f>
        <v/>
      </c>
    </row>
    <row r="13" spans="1:11" ht="15" customHeight="1" x14ac:dyDescent="0.2">
      <c r="A13" t="str">
        <f>IF(ROW()-1&lt;=COUNTA('Player Data'!$A$2:$A$51),ROW()-1,"")</f>
        <v/>
      </c>
      <c r="B13" t="str">
        <f>IFERROR(INDEX('Player Data'!$A$2:$A$51,MATCH(ROW()-1,'Player Data'!$L$2:$L$51,0)),"")</f>
        <v/>
      </c>
      <c r="C13" t="str">
        <f>IFERROR(INDEX('Player Data'!$B$2:$B$51,MATCH(ROW()-1,'Player Data'!$L$2:$L$51,0)),"")</f>
        <v/>
      </c>
      <c r="D13" t="str">
        <f>IFERROR(INDEX('Player Data'!$C$2:$C$51,MATCH(ROW()-1,'Player Data'!$L$2:$L$51,0)),"")</f>
        <v/>
      </c>
      <c r="E13" t="str">
        <f>IFERROR(INDEX('Player Data'!$D$2:$D$51,MATCH(ROW()-1,'Player Data'!$L$2:$L$51,0)),"")</f>
        <v/>
      </c>
      <c r="F13" t="str">
        <f>IFERROR(INDEX('Player Data'!$E$2:$E$51,MATCH(ROW()-1,'Player Data'!$L$2:$L$51,0)),"")</f>
        <v/>
      </c>
      <c r="G13" t="str">
        <f>IFERROR(INDEX('Player Data'!$F$2:$F$51,MATCH(ROW()-1,'Player Data'!$L$2:$L$51,0)),"")</f>
        <v/>
      </c>
      <c r="H13" t="str">
        <f>IFERROR(INDEX('Player Data'!$G$2:$G$51,MATCH(ROW()-1,'Player Data'!$L$2:$L$51,0)),"")</f>
        <v/>
      </c>
      <c r="I13" s="4" t="str">
        <f>IFERROR(INDEX('Player Data'!$I$2:$I$51,MATCH(ROW()-1,'Player Data'!$L$2:$L$51,0)),"")</f>
        <v/>
      </c>
      <c r="J13" t="str">
        <f>IFERROR(INDEX('Player Data'!$H$2:$H$51,MATCH(ROW()-1,'Player Data'!$L$2:$L$51,0)),"")</f>
        <v/>
      </c>
      <c r="K13" s="5" t="str">
        <f>IF(B13="","",COUNTIF('Tournament Log'!C:C,B13))</f>
        <v/>
      </c>
    </row>
    <row r="14" spans="1:11" ht="15" customHeight="1" x14ac:dyDescent="0.2">
      <c r="A14" t="str">
        <f>IF(ROW()-1&lt;=COUNTA('Player Data'!$A$2:$A$51),ROW()-1,"")</f>
        <v/>
      </c>
      <c r="B14" t="str">
        <f>IFERROR(INDEX('Player Data'!$A$2:$A$51,MATCH(ROW()-1,'Player Data'!$L$2:$L$51,0)),"")</f>
        <v/>
      </c>
      <c r="C14" t="str">
        <f>IFERROR(INDEX('Player Data'!$B$2:$B$51,MATCH(ROW()-1,'Player Data'!$L$2:$L$51,0)),"")</f>
        <v/>
      </c>
      <c r="D14" t="str">
        <f>IFERROR(INDEX('Player Data'!$C$2:$C$51,MATCH(ROW()-1,'Player Data'!$L$2:$L$51,0)),"")</f>
        <v/>
      </c>
      <c r="E14" t="str">
        <f>IFERROR(INDEX('Player Data'!$D$2:$D$51,MATCH(ROW()-1,'Player Data'!$L$2:$L$51,0)),"")</f>
        <v/>
      </c>
      <c r="F14" t="str">
        <f>IFERROR(INDEX('Player Data'!$E$2:$E$51,MATCH(ROW()-1,'Player Data'!$L$2:$L$51,0)),"")</f>
        <v/>
      </c>
      <c r="G14" t="str">
        <f>IFERROR(INDEX('Player Data'!$F$2:$F$51,MATCH(ROW()-1,'Player Data'!$L$2:$L$51,0)),"")</f>
        <v/>
      </c>
      <c r="H14" t="str">
        <f>IFERROR(INDEX('Player Data'!$G$2:$G$51,MATCH(ROW()-1,'Player Data'!$L$2:$L$51,0)),"")</f>
        <v/>
      </c>
      <c r="I14" s="4" t="str">
        <f>IFERROR(INDEX('Player Data'!$I$2:$I$51,MATCH(ROW()-1,'Player Data'!$L$2:$L$51,0)),"")</f>
        <v/>
      </c>
      <c r="J14" t="str">
        <f>IFERROR(INDEX('Player Data'!$H$2:$H$51,MATCH(ROW()-1,'Player Data'!$L$2:$L$51,0)),"")</f>
        <v/>
      </c>
      <c r="K14" s="5" t="str">
        <f>IF(B14="","",COUNTIF('Tournament Log'!C:C,B14))</f>
        <v/>
      </c>
    </row>
    <row r="15" spans="1:11" ht="15" customHeight="1" x14ac:dyDescent="0.2">
      <c r="A15" t="str">
        <f>IF(ROW()-1&lt;=COUNTA('Player Data'!$A$2:$A$51),ROW()-1,"")</f>
        <v/>
      </c>
      <c r="B15" t="str">
        <f>IFERROR(INDEX('Player Data'!$A$2:$A$51,MATCH(ROW()-1,'Player Data'!$L$2:$L$51,0)),"")</f>
        <v/>
      </c>
      <c r="C15" t="str">
        <f>IFERROR(INDEX('Player Data'!$B$2:$B$51,MATCH(ROW()-1,'Player Data'!$L$2:$L$51,0)),"")</f>
        <v/>
      </c>
      <c r="D15" t="str">
        <f>IFERROR(INDEX('Player Data'!$C$2:$C$51,MATCH(ROW()-1,'Player Data'!$L$2:$L$51,0)),"")</f>
        <v/>
      </c>
      <c r="E15" t="str">
        <f>IFERROR(INDEX('Player Data'!$D$2:$D$51,MATCH(ROW()-1,'Player Data'!$L$2:$L$51,0)),"")</f>
        <v/>
      </c>
      <c r="F15" t="str">
        <f>IFERROR(INDEX('Player Data'!$E$2:$E$51,MATCH(ROW()-1,'Player Data'!$L$2:$L$51,0)),"")</f>
        <v/>
      </c>
      <c r="G15" t="str">
        <f>IFERROR(INDEX('Player Data'!$F$2:$F$51,MATCH(ROW()-1,'Player Data'!$L$2:$L$51,0)),"")</f>
        <v/>
      </c>
      <c r="H15" t="str">
        <f>IFERROR(INDEX('Player Data'!$G$2:$G$51,MATCH(ROW()-1,'Player Data'!$L$2:$L$51,0)),"")</f>
        <v/>
      </c>
      <c r="I15" s="4" t="str">
        <f>IFERROR(INDEX('Player Data'!$I$2:$I$51,MATCH(ROW()-1,'Player Data'!$L$2:$L$51,0)),"")</f>
        <v/>
      </c>
      <c r="J15" t="str">
        <f>IFERROR(INDEX('Player Data'!$H$2:$H$51,MATCH(ROW()-1,'Player Data'!$L$2:$L$51,0)),"")</f>
        <v/>
      </c>
      <c r="K15" s="5" t="str">
        <f>IF(B15="","",COUNTIF('Tournament Log'!C:C,B15))</f>
        <v/>
      </c>
    </row>
    <row r="16" spans="1:11" ht="15" customHeight="1" x14ac:dyDescent="0.2">
      <c r="A16" t="str">
        <f>IF(ROW()-1&lt;=COUNTA('Player Data'!$A$2:$A$51),ROW()-1,"")</f>
        <v/>
      </c>
      <c r="B16" t="str">
        <f>IFERROR(INDEX('Player Data'!$A$2:$A$51,MATCH(ROW()-1,'Player Data'!$L$2:$L$51,0)),"")</f>
        <v/>
      </c>
      <c r="C16" t="str">
        <f>IFERROR(INDEX('Player Data'!$B$2:$B$51,MATCH(ROW()-1,'Player Data'!$L$2:$L$51,0)),"")</f>
        <v/>
      </c>
      <c r="D16" t="str">
        <f>IFERROR(INDEX('Player Data'!$C$2:$C$51,MATCH(ROW()-1,'Player Data'!$L$2:$L$51,0)),"")</f>
        <v/>
      </c>
      <c r="E16" t="str">
        <f>IFERROR(INDEX('Player Data'!$D$2:$D$51,MATCH(ROW()-1,'Player Data'!$L$2:$L$51,0)),"")</f>
        <v/>
      </c>
      <c r="F16" t="str">
        <f>IFERROR(INDEX('Player Data'!$E$2:$E$51,MATCH(ROW()-1,'Player Data'!$L$2:$L$51,0)),"")</f>
        <v/>
      </c>
      <c r="G16" t="str">
        <f>IFERROR(INDEX('Player Data'!$F$2:$F$51,MATCH(ROW()-1,'Player Data'!$L$2:$L$51,0)),"")</f>
        <v/>
      </c>
      <c r="H16" t="str">
        <f>IFERROR(INDEX('Player Data'!$G$2:$G$51,MATCH(ROW()-1,'Player Data'!$L$2:$L$51,0)),"")</f>
        <v/>
      </c>
      <c r="I16" s="4" t="str">
        <f>IFERROR(INDEX('Player Data'!$I$2:$I$51,MATCH(ROW()-1,'Player Data'!$L$2:$L$51,0)),"")</f>
        <v/>
      </c>
      <c r="J16" t="str">
        <f>IFERROR(INDEX('Player Data'!$H$2:$H$51,MATCH(ROW()-1,'Player Data'!$L$2:$L$51,0)),"")</f>
        <v/>
      </c>
      <c r="K16" s="5" t="str">
        <f>IF(B16="","",COUNTIF('Tournament Log'!C:C,B16))</f>
        <v/>
      </c>
    </row>
    <row r="17" spans="1:11" ht="15" customHeight="1" x14ac:dyDescent="0.2">
      <c r="A17" t="str">
        <f>IF(ROW()-1&lt;=COUNTA('Player Data'!$A$2:$A$51),ROW()-1,"")</f>
        <v/>
      </c>
      <c r="B17" t="str">
        <f>IFERROR(INDEX('Player Data'!$A$2:$A$51,MATCH(ROW()-1,'Player Data'!$L$2:$L$51,0)),"")</f>
        <v/>
      </c>
      <c r="C17" t="str">
        <f>IFERROR(INDEX('Player Data'!$B$2:$B$51,MATCH(ROW()-1,'Player Data'!$L$2:$L$51,0)),"")</f>
        <v/>
      </c>
      <c r="D17" t="str">
        <f>IFERROR(INDEX('Player Data'!$C$2:$C$51,MATCH(ROW()-1,'Player Data'!$L$2:$L$51,0)),"")</f>
        <v/>
      </c>
      <c r="E17" t="str">
        <f>IFERROR(INDEX('Player Data'!$D$2:$D$51,MATCH(ROW()-1,'Player Data'!$L$2:$L$51,0)),"")</f>
        <v/>
      </c>
      <c r="F17" t="str">
        <f>IFERROR(INDEX('Player Data'!$E$2:$E$51,MATCH(ROW()-1,'Player Data'!$L$2:$L$51,0)),"")</f>
        <v/>
      </c>
      <c r="G17" t="str">
        <f>IFERROR(INDEX('Player Data'!$F$2:$F$51,MATCH(ROW()-1,'Player Data'!$L$2:$L$51,0)),"")</f>
        <v/>
      </c>
      <c r="H17" t="str">
        <f>IFERROR(INDEX('Player Data'!$G$2:$G$51,MATCH(ROW()-1,'Player Data'!$L$2:$L$51,0)),"")</f>
        <v/>
      </c>
      <c r="I17" s="4" t="str">
        <f>IFERROR(INDEX('Player Data'!$I$2:$I$51,MATCH(ROW()-1,'Player Data'!$L$2:$L$51,0)),"")</f>
        <v/>
      </c>
      <c r="J17" t="str">
        <f>IFERROR(INDEX('Player Data'!$H$2:$H$51,MATCH(ROW()-1,'Player Data'!$L$2:$L$51,0)),"")</f>
        <v/>
      </c>
      <c r="K17" s="5" t="str">
        <f>IF(B17="","",COUNTIF('Tournament Log'!C:C,B17))</f>
        <v/>
      </c>
    </row>
    <row r="18" spans="1:11" ht="15" customHeight="1" x14ac:dyDescent="0.2">
      <c r="A18" t="str">
        <f>IF(ROW()-1&lt;=COUNTA('Player Data'!$A$2:$A$51),ROW()-1,"")</f>
        <v/>
      </c>
      <c r="B18" t="str">
        <f>IFERROR(INDEX('Player Data'!$A$2:$A$51,MATCH(ROW()-1,'Player Data'!$L$2:$L$51,0)),"")</f>
        <v/>
      </c>
      <c r="C18" t="str">
        <f>IFERROR(INDEX('Player Data'!$B$2:$B$51,MATCH(ROW()-1,'Player Data'!$L$2:$L$51,0)),"")</f>
        <v/>
      </c>
      <c r="D18" t="str">
        <f>IFERROR(INDEX('Player Data'!$C$2:$C$51,MATCH(ROW()-1,'Player Data'!$L$2:$L$51,0)),"")</f>
        <v/>
      </c>
      <c r="E18" t="str">
        <f>IFERROR(INDEX('Player Data'!$D$2:$D$51,MATCH(ROW()-1,'Player Data'!$L$2:$L$51,0)),"")</f>
        <v/>
      </c>
      <c r="F18" t="str">
        <f>IFERROR(INDEX('Player Data'!$E$2:$E$51,MATCH(ROW()-1,'Player Data'!$L$2:$L$51,0)),"")</f>
        <v/>
      </c>
      <c r="G18" t="str">
        <f>IFERROR(INDEX('Player Data'!$F$2:$F$51,MATCH(ROW()-1,'Player Data'!$L$2:$L$51,0)),"")</f>
        <v/>
      </c>
      <c r="H18" t="str">
        <f>IFERROR(INDEX('Player Data'!$G$2:$G$51,MATCH(ROW()-1,'Player Data'!$L$2:$L$51,0)),"")</f>
        <v/>
      </c>
      <c r="I18" s="4" t="str">
        <f>IFERROR(INDEX('Player Data'!$I$2:$I$51,MATCH(ROW()-1,'Player Data'!$L$2:$L$51,0)),"")</f>
        <v/>
      </c>
      <c r="J18" t="str">
        <f>IFERROR(INDEX('Player Data'!$H$2:$H$51,MATCH(ROW()-1,'Player Data'!$L$2:$L$51,0)),"")</f>
        <v/>
      </c>
      <c r="K18" s="5" t="str">
        <f>IF(B18="","",COUNTIF('Tournament Log'!C:C,B18))</f>
        <v/>
      </c>
    </row>
    <row r="19" spans="1:11" ht="15" customHeight="1" x14ac:dyDescent="0.2">
      <c r="A19" t="str">
        <f>IF(ROW()-1&lt;=COUNTA('Player Data'!$A$2:$A$51),ROW()-1,"")</f>
        <v/>
      </c>
      <c r="B19" t="str">
        <f>IFERROR(INDEX('Player Data'!$A$2:$A$51,MATCH(ROW()-1,'Player Data'!$L$2:$L$51,0)),"")</f>
        <v/>
      </c>
      <c r="C19" t="str">
        <f>IFERROR(INDEX('Player Data'!$B$2:$B$51,MATCH(ROW()-1,'Player Data'!$L$2:$L$51,0)),"")</f>
        <v/>
      </c>
      <c r="D19" t="str">
        <f>IFERROR(INDEX('Player Data'!$C$2:$C$51,MATCH(ROW()-1,'Player Data'!$L$2:$L$51,0)),"")</f>
        <v/>
      </c>
      <c r="E19" t="str">
        <f>IFERROR(INDEX('Player Data'!$D$2:$D$51,MATCH(ROW()-1,'Player Data'!$L$2:$L$51,0)),"")</f>
        <v/>
      </c>
      <c r="F19" t="str">
        <f>IFERROR(INDEX('Player Data'!$E$2:$E$51,MATCH(ROW()-1,'Player Data'!$L$2:$L$51,0)),"")</f>
        <v/>
      </c>
      <c r="G19" t="str">
        <f>IFERROR(INDEX('Player Data'!$F$2:$F$51,MATCH(ROW()-1,'Player Data'!$L$2:$L$51,0)),"")</f>
        <v/>
      </c>
      <c r="H19" t="str">
        <f>IFERROR(INDEX('Player Data'!$G$2:$G$51,MATCH(ROW()-1,'Player Data'!$L$2:$L$51,0)),"")</f>
        <v/>
      </c>
      <c r="I19" s="4" t="str">
        <f>IFERROR(INDEX('Player Data'!$I$2:$I$51,MATCH(ROW()-1,'Player Data'!$L$2:$L$51,0)),"")</f>
        <v/>
      </c>
      <c r="J19" t="str">
        <f>IFERROR(INDEX('Player Data'!$H$2:$H$51,MATCH(ROW()-1,'Player Data'!$L$2:$L$51,0)),"")</f>
        <v/>
      </c>
      <c r="K19" s="5" t="str">
        <f>IF(B19="","",COUNTIF('Tournament Log'!C:C,B19))</f>
        <v/>
      </c>
    </row>
    <row r="20" spans="1:11" ht="15" customHeight="1" x14ac:dyDescent="0.2">
      <c r="A20" t="str">
        <f>IF(ROW()-1&lt;=COUNTA('Player Data'!$A$2:$A$51),ROW()-1,"")</f>
        <v/>
      </c>
      <c r="B20" t="str">
        <f>IFERROR(INDEX('Player Data'!$A$2:$A$51,MATCH(ROW()-1,'Player Data'!$L$2:$L$51,0)),"")</f>
        <v/>
      </c>
      <c r="C20" t="str">
        <f>IFERROR(INDEX('Player Data'!$B$2:$B$51,MATCH(ROW()-1,'Player Data'!$L$2:$L$51,0)),"")</f>
        <v/>
      </c>
      <c r="D20" t="str">
        <f>IFERROR(INDEX('Player Data'!$C$2:$C$51,MATCH(ROW()-1,'Player Data'!$L$2:$L$51,0)),"")</f>
        <v/>
      </c>
      <c r="E20" t="str">
        <f>IFERROR(INDEX('Player Data'!$D$2:$D$51,MATCH(ROW()-1,'Player Data'!$L$2:$L$51,0)),"")</f>
        <v/>
      </c>
      <c r="F20" t="str">
        <f>IFERROR(INDEX('Player Data'!$E$2:$E$51,MATCH(ROW()-1,'Player Data'!$L$2:$L$51,0)),"")</f>
        <v/>
      </c>
      <c r="G20" t="str">
        <f>IFERROR(INDEX('Player Data'!$F$2:$F$51,MATCH(ROW()-1,'Player Data'!$L$2:$L$51,0)),"")</f>
        <v/>
      </c>
      <c r="H20" t="str">
        <f>IFERROR(INDEX('Player Data'!$G$2:$G$51,MATCH(ROW()-1,'Player Data'!$L$2:$L$51,0)),"")</f>
        <v/>
      </c>
      <c r="I20" s="4" t="str">
        <f>IFERROR(INDEX('Player Data'!$I$2:$I$51,MATCH(ROW()-1,'Player Data'!$L$2:$L$51,0)),"")</f>
        <v/>
      </c>
      <c r="J20" t="str">
        <f>IFERROR(INDEX('Player Data'!$H$2:$H$51,MATCH(ROW()-1,'Player Data'!$L$2:$L$51,0)),"")</f>
        <v/>
      </c>
      <c r="K20" s="5" t="str">
        <f>IF(B20="","",COUNTIF('Tournament Log'!C:C,B20))</f>
        <v/>
      </c>
    </row>
    <row r="21" spans="1:11" ht="15" customHeight="1" x14ac:dyDescent="0.2">
      <c r="A21" t="str">
        <f>IF(ROW()-1&lt;=COUNTA('Player Data'!$A$2:$A$51),ROW()-1,"")</f>
        <v/>
      </c>
      <c r="B21" t="str">
        <f>IFERROR(INDEX('Player Data'!$A$2:$A$51,MATCH(ROW()-1,'Player Data'!$L$2:$L$51,0)),"")</f>
        <v/>
      </c>
      <c r="C21" t="str">
        <f>IFERROR(INDEX('Player Data'!$B$2:$B$51,MATCH(ROW()-1,'Player Data'!$L$2:$L$51,0)),"")</f>
        <v/>
      </c>
      <c r="D21" t="str">
        <f>IFERROR(INDEX('Player Data'!$C$2:$C$51,MATCH(ROW()-1,'Player Data'!$L$2:$L$51,0)),"")</f>
        <v/>
      </c>
      <c r="E21" t="str">
        <f>IFERROR(INDEX('Player Data'!$D$2:$D$51,MATCH(ROW()-1,'Player Data'!$L$2:$L$51,0)),"")</f>
        <v/>
      </c>
      <c r="F21" t="str">
        <f>IFERROR(INDEX('Player Data'!$E$2:$E$51,MATCH(ROW()-1,'Player Data'!$L$2:$L$51,0)),"")</f>
        <v/>
      </c>
      <c r="G21" t="str">
        <f>IFERROR(INDEX('Player Data'!$F$2:$F$51,MATCH(ROW()-1,'Player Data'!$L$2:$L$51,0)),"")</f>
        <v/>
      </c>
      <c r="H21" t="str">
        <f>IFERROR(INDEX('Player Data'!$G$2:$G$51,MATCH(ROW()-1,'Player Data'!$L$2:$L$51,0)),"")</f>
        <v/>
      </c>
      <c r="I21" s="4" t="str">
        <f>IFERROR(INDEX('Player Data'!$I$2:$I$51,MATCH(ROW()-1,'Player Data'!$L$2:$L$51,0)),"")</f>
        <v/>
      </c>
      <c r="J21" t="str">
        <f>IFERROR(INDEX('Player Data'!$H$2:$H$51,MATCH(ROW()-1,'Player Data'!$L$2:$L$51,0)),"")</f>
        <v/>
      </c>
      <c r="K21" s="5" t="str">
        <f>IF(B21="","",COUNTIF('Tournament Log'!C:C,B21))</f>
        <v/>
      </c>
    </row>
    <row r="22" spans="1:11" ht="15" customHeight="1" x14ac:dyDescent="0.2">
      <c r="A22" t="str">
        <f>IF(ROW()-1&lt;=COUNTA('Player Data'!$A$2:$A$51),ROW()-1,"")</f>
        <v/>
      </c>
      <c r="B22" t="str">
        <f>IFERROR(INDEX('Player Data'!$A$2:$A$51,MATCH(ROW()-1,'Player Data'!$L$2:$L$51,0)),"")</f>
        <v/>
      </c>
      <c r="C22" t="str">
        <f>IFERROR(INDEX('Player Data'!$B$2:$B$51,MATCH(ROW()-1,'Player Data'!$L$2:$L$51,0)),"")</f>
        <v/>
      </c>
      <c r="D22" t="str">
        <f>IFERROR(INDEX('Player Data'!$C$2:$C$51,MATCH(ROW()-1,'Player Data'!$L$2:$L$51,0)),"")</f>
        <v/>
      </c>
      <c r="E22" t="str">
        <f>IFERROR(INDEX('Player Data'!$D$2:$D$51,MATCH(ROW()-1,'Player Data'!$L$2:$L$51,0)),"")</f>
        <v/>
      </c>
      <c r="F22" t="str">
        <f>IFERROR(INDEX('Player Data'!$E$2:$E$51,MATCH(ROW()-1,'Player Data'!$L$2:$L$51,0)),"")</f>
        <v/>
      </c>
      <c r="G22" t="str">
        <f>IFERROR(INDEX('Player Data'!$F$2:$F$51,MATCH(ROW()-1,'Player Data'!$L$2:$L$51,0)),"")</f>
        <v/>
      </c>
      <c r="H22" t="str">
        <f>IFERROR(INDEX('Player Data'!$G$2:$G$51,MATCH(ROW()-1,'Player Data'!$L$2:$L$51,0)),"")</f>
        <v/>
      </c>
      <c r="I22" s="4" t="str">
        <f>IFERROR(INDEX('Player Data'!$I$2:$I$51,MATCH(ROW()-1,'Player Data'!$L$2:$L$51,0)),"")</f>
        <v/>
      </c>
      <c r="J22" t="str">
        <f>IFERROR(INDEX('Player Data'!$H$2:$H$51,MATCH(ROW()-1,'Player Data'!$L$2:$L$51,0)),"")</f>
        <v/>
      </c>
      <c r="K22" s="5" t="str">
        <f>IF(B22="","",COUNTIF('Tournament Log'!C:C,B22))</f>
        <v/>
      </c>
    </row>
    <row r="23" spans="1:11" ht="15" customHeight="1" x14ac:dyDescent="0.2">
      <c r="A23" t="str">
        <f>IF(ROW()-1&lt;=COUNTA('Player Data'!$A$2:$A$51),ROW()-1,"")</f>
        <v/>
      </c>
      <c r="B23" t="str">
        <f>IFERROR(INDEX('Player Data'!$A$2:$A$51,MATCH(ROW()-1,'Player Data'!$L$2:$L$51,0)),"")</f>
        <v/>
      </c>
      <c r="C23" t="str">
        <f>IFERROR(INDEX('Player Data'!$B$2:$B$51,MATCH(ROW()-1,'Player Data'!$L$2:$L$51,0)),"")</f>
        <v/>
      </c>
      <c r="D23" t="str">
        <f>IFERROR(INDEX('Player Data'!$C$2:$C$51,MATCH(ROW()-1,'Player Data'!$L$2:$L$51,0)),"")</f>
        <v/>
      </c>
      <c r="E23" t="str">
        <f>IFERROR(INDEX('Player Data'!$D$2:$D$51,MATCH(ROW()-1,'Player Data'!$L$2:$L$51,0)),"")</f>
        <v/>
      </c>
      <c r="F23" t="str">
        <f>IFERROR(INDEX('Player Data'!$E$2:$E$51,MATCH(ROW()-1,'Player Data'!$L$2:$L$51,0)),"")</f>
        <v/>
      </c>
      <c r="G23" t="str">
        <f>IFERROR(INDEX('Player Data'!$F$2:$F$51,MATCH(ROW()-1,'Player Data'!$L$2:$L$51,0)),"")</f>
        <v/>
      </c>
      <c r="H23" t="str">
        <f>IFERROR(INDEX('Player Data'!$G$2:$G$51,MATCH(ROW()-1,'Player Data'!$L$2:$L$51,0)),"")</f>
        <v/>
      </c>
      <c r="I23" s="4" t="str">
        <f>IFERROR(INDEX('Player Data'!$I$2:$I$51,MATCH(ROW()-1,'Player Data'!$L$2:$L$51,0)),"")</f>
        <v/>
      </c>
      <c r="J23" t="str">
        <f>IFERROR(INDEX('Player Data'!$H$2:$H$51,MATCH(ROW()-1,'Player Data'!$L$2:$L$51,0)),"")</f>
        <v/>
      </c>
      <c r="K23" s="5" t="str">
        <f>IF(B23="","",COUNTIF('Tournament Log'!C:C,B23))</f>
        <v/>
      </c>
    </row>
    <row r="24" spans="1:11" ht="15" customHeight="1" x14ac:dyDescent="0.2">
      <c r="A24" t="str">
        <f>IF(ROW()-1&lt;=COUNTA('Player Data'!$A$2:$A$51),ROW()-1,"")</f>
        <v/>
      </c>
      <c r="B24" t="str">
        <f>IFERROR(INDEX('Player Data'!$A$2:$A$51,MATCH(ROW()-1,'Player Data'!$L$2:$L$51,0)),"")</f>
        <v/>
      </c>
      <c r="C24" t="str">
        <f>IFERROR(INDEX('Player Data'!$B$2:$B$51,MATCH(ROW()-1,'Player Data'!$L$2:$L$51,0)),"")</f>
        <v/>
      </c>
      <c r="D24" t="str">
        <f>IFERROR(INDEX('Player Data'!$C$2:$C$51,MATCH(ROW()-1,'Player Data'!$L$2:$L$51,0)),"")</f>
        <v/>
      </c>
      <c r="E24" t="str">
        <f>IFERROR(INDEX('Player Data'!$D$2:$D$51,MATCH(ROW()-1,'Player Data'!$L$2:$L$51,0)),"")</f>
        <v/>
      </c>
      <c r="F24" t="str">
        <f>IFERROR(INDEX('Player Data'!$E$2:$E$51,MATCH(ROW()-1,'Player Data'!$L$2:$L$51,0)),"")</f>
        <v/>
      </c>
      <c r="G24" t="str">
        <f>IFERROR(INDEX('Player Data'!$F$2:$F$51,MATCH(ROW()-1,'Player Data'!$L$2:$L$51,0)),"")</f>
        <v/>
      </c>
      <c r="H24" t="str">
        <f>IFERROR(INDEX('Player Data'!$G$2:$G$51,MATCH(ROW()-1,'Player Data'!$L$2:$L$51,0)),"")</f>
        <v/>
      </c>
      <c r="I24" s="4" t="str">
        <f>IFERROR(INDEX('Player Data'!$I$2:$I$51,MATCH(ROW()-1,'Player Data'!$L$2:$L$51,0)),"")</f>
        <v/>
      </c>
      <c r="J24" t="str">
        <f>IFERROR(INDEX('Player Data'!$H$2:$H$51,MATCH(ROW()-1,'Player Data'!$L$2:$L$51,0)),"")</f>
        <v/>
      </c>
      <c r="K24" s="5" t="str">
        <f>IF(B24="","",COUNTIF('Tournament Log'!C:C,B24))</f>
        <v/>
      </c>
    </row>
    <row r="25" spans="1:11" ht="15" customHeight="1" x14ac:dyDescent="0.2">
      <c r="A25" t="str">
        <f>IF(ROW()-1&lt;=COUNTA('Player Data'!$A$2:$A$51),ROW()-1,"")</f>
        <v/>
      </c>
      <c r="B25" t="str">
        <f>IFERROR(INDEX('Player Data'!$A$2:$A$51,MATCH(ROW()-1,'Player Data'!$L$2:$L$51,0)),"")</f>
        <v/>
      </c>
      <c r="C25" t="str">
        <f>IFERROR(INDEX('Player Data'!$B$2:$B$51,MATCH(ROW()-1,'Player Data'!$L$2:$L$51,0)),"")</f>
        <v/>
      </c>
      <c r="D25" t="str">
        <f>IFERROR(INDEX('Player Data'!$C$2:$C$51,MATCH(ROW()-1,'Player Data'!$L$2:$L$51,0)),"")</f>
        <v/>
      </c>
      <c r="E25" t="str">
        <f>IFERROR(INDEX('Player Data'!$D$2:$D$51,MATCH(ROW()-1,'Player Data'!$L$2:$L$51,0)),"")</f>
        <v/>
      </c>
      <c r="F25" t="str">
        <f>IFERROR(INDEX('Player Data'!$E$2:$E$51,MATCH(ROW()-1,'Player Data'!$L$2:$L$51,0)),"")</f>
        <v/>
      </c>
      <c r="G25" t="str">
        <f>IFERROR(INDEX('Player Data'!$F$2:$F$51,MATCH(ROW()-1,'Player Data'!$L$2:$L$51,0)),"")</f>
        <v/>
      </c>
      <c r="H25" t="str">
        <f>IFERROR(INDEX('Player Data'!$G$2:$G$51,MATCH(ROW()-1,'Player Data'!$L$2:$L$51,0)),"")</f>
        <v/>
      </c>
      <c r="I25" s="4" t="str">
        <f>IFERROR(INDEX('Player Data'!$I$2:$I$51,MATCH(ROW()-1,'Player Data'!$L$2:$L$51,0)),"")</f>
        <v/>
      </c>
      <c r="J25" t="str">
        <f>IFERROR(INDEX('Player Data'!$H$2:$H$51,MATCH(ROW()-1,'Player Data'!$L$2:$L$51,0)),"")</f>
        <v/>
      </c>
      <c r="K25" s="5" t="str">
        <f>IF(B25="","",COUNTIF('Tournament Log'!C:C,B25))</f>
        <v/>
      </c>
    </row>
    <row r="26" spans="1:11" ht="15" customHeight="1" x14ac:dyDescent="0.2">
      <c r="A26" t="str">
        <f>IF(ROW()-1&lt;=COUNTA('Player Data'!$A$2:$A$51),ROW()-1,"")</f>
        <v/>
      </c>
      <c r="B26" t="str">
        <f>IFERROR(INDEX('Player Data'!$A$2:$A$51,MATCH(ROW()-1,'Player Data'!$L$2:$L$51,0)),"")</f>
        <v/>
      </c>
      <c r="C26" t="str">
        <f>IFERROR(INDEX('Player Data'!$B$2:$B$51,MATCH(ROW()-1,'Player Data'!$L$2:$L$51,0)),"")</f>
        <v/>
      </c>
      <c r="D26" t="str">
        <f>IFERROR(INDEX('Player Data'!$C$2:$C$51,MATCH(ROW()-1,'Player Data'!$L$2:$L$51,0)),"")</f>
        <v/>
      </c>
      <c r="E26" t="str">
        <f>IFERROR(INDEX('Player Data'!$D$2:$D$51,MATCH(ROW()-1,'Player Data'!$L$2:$L$51,0)),"")</f>
        <v/>
      </c>
      <c r="F26" t="str">
        <f>IFERROR(INDEX('Player Data'!$E$2:$E$51,MATCH(ROW()-1,'Player Data'!$L$2:$L$51,0)),"")</f>
        <v/>
      </c>
      <c r="G26" t="str">
        <f>IFERROR(INDEX('Player Data'!$F$2:$F$51,MATCH(ROW()-1,'Player Data'!$L$2:$L$51,0)),"")</f>
        <v/>
      </c>
      <c r="H26" t="str">
        <f>IFERROR(INDEX('Player Data'!$G$2:$G$51,MATCH(ROW()-1,'Player Data'!$L$2:$L$51,0)),"")</f>
        <v/>
      </c>
      <c r="I26" s="4" t="str">
        <f>IFERROR(INDEX('Player Data'!$I$2:$I$51,MATCH(ROW()-1,'Player Data'!$L$2:$L$51,0)),"")</f>
        <v/>
      </c>
      <c r="J26" t="str">
        <f>IFERROR(INDEX('Player Data'!$H$2:$H$51,MATCH(ROW()-1,'Player Data'!$L$2:$L$51,0)),"")</f>
        <v/>
      </c>
      <c r="K26" s="5" t="str">
        <f>IF(B26="","",COUNTIF('Tournament Log'!C:C,B26))</f>
        <v/>
      </c>
    </row>
    <row r="27" spans="1:11" ht="15" customHeight="1" x14ac:dyDescent="0.2">
      <c r="A27" t="str">
        <f>IF(ROW()-1&lt;=COUNTA('Player Data'!$A$2:$A$51),ROW()-1,"")</f>
        <v/>
      </c>
      <c r="B27" t="str">
        <f>IFERROR(INDEX('Player Data'!$A$2:$A$51,MATCH(ROW()-1,'Player Data'!$L$2:$L$51,0)),"")</f>
        <v/>
      </c>
      <c r="C27" t="str">
        <f>IFERROR(INDEX('Player Data'!$B$2:$B$51,MATCH(ROW()-1,'Player Data'!$L$2:$L$51,0)),"")</f>
        <v/>
      </c>
      <c r="D27" t="str">
        <f>IFERROR(INDEX('Player Data'!$C$2:$C$51,MATCH(ROW()-1,'Player Data'!$L$2:$L$51,0)),"")</f>
        <v/>
      </c>
      <c r="E27" t="str">
        <f>IFERROR(INDEX('Player Data'!$D$2:$D$51,MATCH(ROW()-1,'Player Data'!$L$2:$L$51,0)),"")</f>
        <v/>
      </c>
      <c r="F27" t="str">
        <f>IFERROR(INDEX('Player Data'!$E$2:$E$51,MATCH(ROW()-1,'Player Data'!$L$2:$L$51,0)),"")</f>
        <v/>
      </c>
      <c r="G27" t="str">
        <f>IFERROR(INDEX('Player Data'!$F$2:$F$51,MATCH(ROW()-1,'Player Data'!$L$2:$L$51,0)),"")</f>
        <v/>
      </c>
      <c r="H27" t="str">
        <f>IFERROR(INDEX('Player Data'!$G$2:$G$51,MATCH(ROW()-1,'Player Data'!$L$2:$L$51,0)),"")</f>
        <v/>
      </c>
      <c r="I27" s="4" t="str">
        <f>IFERROR(INDEX('Player Data'!$I$2:$I$51,MATCH(ROW()-1,'Player Data'!$L$2:$L$51,0)),"")</f>
        <v/>
      </c>
      <c r="J27" t="str">
        <f>IFERROR(INDEX('Player Data'!$H$2:$H$51,MATCH(ROW()-1,'Player Data'!$L$2:$L$51,0)),"")</f>
        <v/>
      </c>
      <c r="K27" s="5" t="str">
        <f>IF(B27="","",COUNTIF('Tournament Log'!C:C,B27))</f>
        <v/>
      </c>
    </row>
    <row r="28" spans="1:11" ht="15" customHeight="1" x14ac:dyDescent="0.2">
      <c r="A28" t="str">
        <f>IF(ROW()-1&lt;=COUNTA('Player Data'!$A$2:$A$51),ROW()-1,"")</f>
        <v/>
      </c>
      <c r="B28" t="str">
        <f>IFERROR(INDEX('Player Data'!$A$2:$A$51,MATCH(ROW()-1,'Player Data'!$L$2:$L$51,0)),"")</f>
        <v/>
      </c>
      <c r="C28" t="str">
        <f>IFERROR(INDEX('Player Data'!$B$2:$B$51,MATCH(ROW()-1,'Player Data'!$L$2:$L$51,0)),"")</f>
        <v/>
      </c>
      <c r="D28" t="str">
        <f>IFERROR(INDEX('Player Data'!$C$2:$C$51,MATCH(ROW()-1,'Player Data'!$L$2:$L$51,0)),"")</f>
        <v/>
      </c>
      <c r="E28" t="str">
        <f>IFERROR(INDEX('Player Data'!$D$2:$D$51,MATCH(ROW()-1,'Player Data'!$L$2:$L$51,0)),"")</f>
        <v/>
      </c>
      <c r="F28" t="str">
        <f>IFERROR(INDEX('Player Data'!$E$2:$E$51,MATCH(ROW()-1,'Player Data'!$L$2:$L$51,0)),"")</f>
        <v/>
      </c>
      <c r="G28" t="str">
        <f>IFERROR(INDEX('Player Data'!$F$2:$F$51,MATCH(ROW()-1,'Player Data'!$L$2:$L$51,0)),"")</f>
        <v/>
      </c>
      <c r="H28" t="str">
        <f>IFERROR(INDEX('Player Data'!$G$2:$G$51,MATCH(ROW()-1,'Player Data'!$L$2:$L$51,0)),"")</f>
        <v/>
      </c>
      <c r="I28" s="4" t="str">
        <f>IFERROR(INDEX('Player Data'!$I$2:$I$51,MATCH(ROW()-1,'Player Data'!$L$2:$L$51,0)),"")</f>
        <v/>
      </c>
      <c r="J28" t="str">
        <f>IFERROR(INDEX('Player Data'!$H$2:$H$51,MATCH(ROW()-1,'Player Data'!$L$2:$L$51,0)),"")</f>
        <v/>
      </c>
      <c r="K28" s="5" t="str">
        <f>IF(B28="","",COUNTIF('Tournament Log'!C:C,B28))</f>
        <v/>
      </c>
    </row>
    <row r="29" spans="1:11" ht="15" customHeight="1" x14ac:dyDescent="0.2">
      <c r="A29" t="str">
        <f>IF(ROW()-1&lt;=COUNTA('Player Data'!$A$2:$A$51),ROW()-1,"")</f>
        <v/>
      </c>
      <c r="B29" t="str">
        <f>IFERROR(INDEX('Player Data'!$A$2:$A$51,MATCH(ROW()-1,'Player Data'!$L$2:$L$51,0)),"")</f>
        <v/>
      </c>
      <c r="C29" t="str">
        <f>IFERROR(INDEX('Player Data'!$B$2:$B$51,MATCH(ROW()-1,'Player Data'!$L$2:$L$51,0)),"")</f>
        <v/>
      </c>
      <c r="D29" t="str">
        <f>IFERROR(INDEX('Player Data'!$C$2:$C$51,MATCH(ROW()-1,'Player Data'!$L$2:$L$51,0)),"")</f>
        <v/>
      </c>
      <c r="E29" t="str">
        <f>IFERROR(INDEX('Player Data'!$D$2:$D$51,MATCH(ROW()-1,'Player Data'!$L$2:$L$51,0)),"")</f>
        <v/>
      </c>
      <c r="F29" t="str">
        <f>IFERROR(INDEX('Player Data'!$E$2:$E$51,MATCH(ROW()-1,'Player Data'!$L$2:$L$51,0)),"")</f>
        <v/>
      </c>
      <c r="G29" t="str">
        <f>IFERROR(INDEX('Player Data'!$F$2:$F$51,MATCH(ROW()-1,'Player Data'!$L$2:$L$51,0)),"")</f>
        <v/>
      </c>
      <c r="H29" t="str">
        <f>IFERROR(INDEX('Player Data'!$G$2:$G$51,MATCH(ROW()-1,'Player Data'!$L$2:$L$51,0)),"")</f>
        <v/>
      </c>
      <c r="I29" s="4" t="str">
        <f>IFERROR(INDEX('Player Data'!$I$2:$I$51,MATCH(ROW()-1,'Player Data'!$L$2:$L$51,0)),"")</f>
        <v/>
      </c>
      <c r="J29" t="str">
        <f>IFERROR(INDEX('Player Data'!$H$2:$H$51,MATCH(ROW()-1,'Player Data'!$L$2:$L$51,0)),"")</f>
        <v/>
      </c>
      <c r="K29" s="5" t="str">
        <f>IF(B29="","",COUNTIF('Tournament Log'!C:C,B29))</f>
        <v/>
      </c>
    </row>
    <row r="30" spans="1:11" ht="15" customHeight="1" x14ac:dyDescent="0.2">
      <c r="A30" t="str">
        <f>IF(ROW()-1&lt;=COUNTA('Player Data'!$A$2:$A$51),ROW()-1,"")</f>
        <v/>
      </c>
      <c r="B30" t="str">
        <f>IFERROR(INDEX('Player Data'!$A$2:$A$51,MATCH(ROW()-1,'Player Data'!$L$2:$L$51,0)),"")</f>
        <v/>
      </c>
      <c r="C30" t="str">
        <f>IFERROR(INDEX('Player Data'!$B$2:$B$51,MATCH(ROW()-1,'Player Data'!$L$2:$L$51,0)),"")</f>
        <v/>
      </c>
      <c r="D30" t="str">
        <f>IFERROR(INDEX('Player Data'!$C$2:$C$51,MATCH(ROW()-1,'Player Data'!$L$2:$L$51,0)),"")</f>
        <v/>
      </c>
      <c r="E30" t="str">
        <f>IFERROR(INDEX('Player Data'!$D$2:$D$51,MATCH(ROW()-1,'Player Data'!$L$2:$L$51,0)),"")</f>
        <v/>
      </c>
      <c r="F30" t="str">
        <f>IFERROR(INDEX('Player Data'!$E$2:$E$51,MATCH(ROW()-1,'Player Data'!$L$2:$L$51,0)),"")</f>
        <v/>
      </c>
      <c r="G30" t="str">
        <f>IFERROR(INDEX('Player Data'!$F$2:$F$51,MATCH(ROW()-1,'Player Data'!$L$2:$L$51,0)),"")</f>
        <v/>
      </c>
      <c r="H30" t="str">
        <f>IFERROR(INDEX('Player Data'!$G$2:$G$51,MATCH(ROW()-1,'Player Data'!$L$2:$L$51,0)),"")</f>
        <v/>
      </c>
      <c r="I30" s="4" t="str">
        <f>IFERROR(INDEX('Player Data'!$I$2:$I$51,MATCH(ROW()-1,'Player Data'!$L$2:$L$51,0)),"")</f>
        <v/>
      </c>
      <c r="J30" t="str">
        <f>IFERROR(INDEX('Player Data'!$H$2:$H$51,MATCH(ROW()-1,'Player Data'!$L$2:$L$51,0)),"")</f>
        <v/>
      </c>
      <c r="K30" s="5" t="str">
        <f>IF(B30="","",COUNTIF('Tournament Log'!C:C,B30))</f>
        <v/>
      </c>
    </row>
    <row r="31" spans="1:11" ht="15" customHeight="1" x14ac:dyDescent="0.2">
      <c r="A31" t="str">
        <f>IF(ROW()-1&lt;=COUNTA('Player Data'!$A$2:$A$51),ROW()-1,"")</f>
        <v/>
      </c>
      <c r="B31" t="str">
        <f>IFERROR(INDEX('Player Data'!$A$2:$A$51,MATCH(ROW()-1,'Player Data'!$L$2:$L$51,0)),"")</f>
        <v/>
      </c>
      <c r="C31" t="str">
        <f>IFERROR(INDEX('Player Data'!$B$2:$B$51,MATCH(ROW()-1,'Player Data'!$L$2:$L$51,0)),"")</f>
        <v/>
      </c>
      <c r="D31" t="str">
        <f>IFERROR(INDEX('Player Data'!$C$2:$C$51,MATCH(ROW()-1,'Player Data'!$L$2:$L$51,0)),"")</f>
        <v/>
      </c>
      <c r="E31" t="str">
        <f>IFERROR(INDEX('Player Data'!$D$2:$D$51,MATCH(ROW()-1,'Player Data'!$L$2:$L$51,0)),"")</f>
        <v/>
      </c>
      <c r="F31" t="str">
        <f>IFERROR(INDEX('Player Data'!$E$2:$E$51,MATCH(ROW()-1,'Player Data'!$L$2:$L$51,0)),"")</f>
        <v/>
      </c>
      <c r="G31" t="str">
        <f>IFERROR(INDEX('Player Data'!$F$2:$F$51,MATCH(ROW()-1,'Player Data'!$L$2:$L$51,0)),"")</f>
        <v/>
      </c>
      <c r="H31" t="str">
        <f>IFERROR(INDEX('Player Data'!$G$2:$G$51,MATCH(ROW()-1,'Player Data'!$L$2:$L$51,0)),"")</f>
        <v/>
      </c>
      <c r="I31" s="4" t="str">
        <f>IFERROR(INDEX('Player Data'!$I$2:$I$51,MATCH(ROW()-1,'Player Data'!$L$2:$L$51,0)),"")</f>
        <v/>
      </c>
      <c r="J31" t="str">
        <f>IFERROR(INDEX('Player Data'!$H$2:$H$51,MATCH(ROW()-1,'Player Data'!$L$2:$L$51,0)),"")</f>
        <v/>
      </c>
      <c r="K31" s="5" t="str">
        <f>IF(B31="","",COUNTIF('Tournament Log'!C:C,B31))</f>
        <v/>
      </c>
    </row>
    <row r="32" spans="1:11" ht="15" customHeight="1" x14ac:dyDescent="0.2">
      <c r="A32" t="str">
        <f>IF(ROW()-1&lt;=COUNTA('Player Data'!$A$2:$A$51),ROW()-1,"")</f>
        <v/>
      </c>
      <c r="B32" t="str">
        <f>IFERROR(INDEX('Player Data'!$A$2:$A$51,MATCH(ROW()-1,'Player Data'!$L$2:$L$51,0)),"")</f>
        <v/>
      </c>
      <c r="C32" t="str">
        <f>IFERROR(INDEX('Player Data'!$B$2:$B$51,MATCH(ROW()-1,'Player Data'!$L$2:$L$51,0)),"")</f>
        <v/>
      </c>
      <c r="D32" t="str">
        <f>IFERROR(INDEX('Player Data'!$C$2:$C$51,MATCH(ROW()-1,'Player Data'!$L$2:$L$51,0)),"")</f>
        <v/>
      </c>
      <c r="E32" t="str">
        <f>IFERROR(INDEX('Player Data'!$D$2:$D$51,MATCH(ROW()-1,'Player Data'!$L$2:$L$51,0)),"")</f>
        <v/>
      </c>
      <c r="F32" t="str">
        <f>IFERROR(INDEX('Player Data'!$E$2:$E$51,MATCH(ROW()-1,'Player Data'!$L$2:$L$51,0)),"")</f>
        <v/>
      </c>
      <c r="G32" t="str">
        <f>IFERROR(INDEX('Player Data'!$F$2:$F$51,MATCH(ROW()-1,'Player Data'!$L$2:$L$51,0)),"")</f>
        <v/>
      </c>
      <c r="H32" t="str">
        <f>IFERROR(INDEX('Player Data'!$G$2:$G$51,MATCH(ROW()-1,'Player Data'!$L$2:$L$51,0)),"")</f>
        <v/>
      </c>
      <c r="I32" s="4" t="str">
        <f>IFERROR(INDEX('Player Data'!$I$2:$I$51,MATCH(ROW()-1,'Player Data'!$L$2:$L$51,0)),"")</f>
        <v/>
      </c>
      <c r="J32" t="str">
        <f>IFERROR(INDEX('Player Data'!$H$2:$H$51,MATCH(ROW()-1,'Player Data'!$L$2:$L$51,0)),"")</f>
        <v/>
      </c>
      <c r="K32" s="5" t="str">
        <f>IF(B32="","",COUNTIF('Tournament Log'!C:C,B32))</f>
        <v/>
      </c>
    </row>
    <row r="33" spans="1:11" ht="15" customHeight="1" x14ac:dyDescent="0.2">
      <c r="A33" t="str">
        <f>IF(ROW()-1&lt;=COUNTA('Player Data'!$A$2:$A$51),ROW()-1,"")</f>
        <v/>
      </c>
      <c r="B33" t="str">
        <f>IFERROR(INDEX('Player Data'!$A$2:$A$51,MATCH(ROW()-1,'Player Data'!$L$2:$L$51,0)),"")</f>
        <v/>
      </c>
      <c r="C33" t="str">
        <f>IFERROR(INDEX('Player Data'!$B$2:$B$51,MATCH(ROW()-1,'Player Data'!$L$2:$L$51,0)),"")</f>
        <v/>
      </c>
      <c r="D33" t="str">
        <f>IFERROR(INDEX('Player Data'!$C$2:$C$51,MATCH(ROW()-1,'Player Data'!$L$2:$L$51,0)),"")</f>
        <v/>
      </c>
      <c r="E33" t="str">
        <f>IFERROR(INDEX('Player Data'!$D$2:$D$51,MATCH(ROW()-1,'Player Data'!$L$2:$L$51,0)),"")</f>
        <v/>
      </c>
      <c r="F33" t="str">
        <f>IFERROR(INDEX('Player Data'!$E$2:$E$51,MATCH(ROW()-1,'Player Data'!$L$2:$L$51,0)),"")</f>
        <v/>
      </c>
      <c r="G33" t="str">
        <f>IFERROR(INDEX('Player Data'!$F$2:$F$51,MATCH(ROW()-1,'Player Data'!$L$2:$L$51,0)),"")</f>
        <v/>
      </c>
      <c r="H33" t="str">
        <f>IFERROR(INDEX('Player Data'!$G$2:$G$51,MATCH(ROW()-1,'Player Data'!$L$2:$L$51,0)),"")</f>
        <v/>
      </c>
      <c r="I33" s="4" t="str">
        <f>IFERROR(INDEX('Player Data'!$I$2:$I$51,MATCH(ROW()-1,'Player Data'!$L$2:$L$51,0)),"")</f>
        <v/>
      </c>
      <c r="J33" t="str">
        <f>IFERROR(INDEX('Player Data'!$H$2:$H$51,MATCH(ROW()-1,'Player Data'!$L$2:$L$51,0)),"")</f>
        <v/>
      </c>
      <c r="K33" s="5" t="str">
        <f>IF(B33="","",COUNTIF('Tournament Log'!C:C,B33))</f>
        <v/>
      </c>
    </row>
    <row r="34" spans="1:11" ht="15" customHeight="1" x14ac:dyDescent="0.2">
      <c r="A34" t="str">
        <f>IF(ROW()-1&lt;=COUNTA('Player Data'!$A$2:$A$51),ROW()-1,"")</f>
        <v/>
      </c>
      <c r="B34" t="str">
        <f>IFERROR(INDEX('Player Data'!$A$2:$A$51,MATCH(ROW()-1,'Player Data'!$L$2:$L$51,0)),"")</f>
        <v/>
      </c>
      <c r="C34" t="str">
        <f>IFERROR(INDEX('Player Data'!$B$2:$B$51,MATCH(ROW()-1,'Player Data'!$L$2:$L$51,0)),"")</f>
        <v/>
      </c>
      <c r="D34" t="str">
        <f>IFERROR(INDEX('Player Data'!$C$2:$C$51,MATCH(ROW()-1,'Player Data'!$L$2:$L$51,0)),"")</f>
        <v/>
      </c>
      <c r="E34" t="str">
        <f>IFERROR(INDEX('Player Data'!$D$2:$D$51,MATCH(ROW()-1,'Player Data'!$L$2:$L$51,0)),"")</f>
        <v/>
      </c>
      <c r="F34" t="str">
        <f>IFERROR(INDEX('Player Data'!$E$2:$E$51,MATCH(ROW()-1,'Player Data'!$L$2:$L$51,0)),"")</f>
        <v/>
      </c>
      <c r="G34" t="str">
        <f>IFERROR(INDEX('Player Data'!$F$2:$F$51,MATCH(ROW()-1,'Player Data'!$L$2:$L$51,0)),"")</f>
        <v/>
      </c>
      <c r="H34" t="str">
        <f>IFERROR(INDEX('Player Data'!$G$2:$G$51,MATCH(ROW()-1,'Player Data'!$L$2:$L$51,0)),"")</f>
        <v/>
      </c>
      <c r="I34" s="4" t="str">
        <f>IFERROR(INDEX('Player Data'!$I$2:$I$51,MATCH(ROW()-1,'Player Data'!$L$2:$L$51,0)),"")</f>
        <v/>
      </c>
      <c r="J34" t="str">
        <f>IFERROR(INDEX('Player Data'!$H$2:$H$51,MATCH(ROW()-1,'Player Data'!$L$2:$L$51,0)),"")</f>
        <v/>
      </c>
      <c r="K34" s="5" t="str">
        <f>IF(B34="","",COUNTIF('Tournament Log'!C:C,B34))</f>
        <v/>
      </c>
    </row>
    <row r="35" spans="1:11" ht="15" customHeight="1" x14ac:dyDescent="0.2">
      <c r="A35" t="str">
        <f>IF(ROW()-1&lt;=COUNTA('Player Data'!$A$2:$A$51),ROW()-1,"")</f>
        <v/>
      </c>
      <c r="B35" t="str">
        <f>IFERROR(INDEX('Player Data'!$A$2:$A$51,MATCH(ROW()-1,'Player Data'!$L$2:$L$51,0)),"")</f>
        <v/>
      </c>
      <c r="C35" t="str">
        <f>IFERROR(INDEX('Player Data'!$B$2:$B$51,MATCH(ROW()-1,'Player Data'!$L$2:$L$51,0)),"")</f>
        <v/>
      </c>
      <c r="D35" t="str">
        <f>IFERROR(INDEX('Player Data'!$C$2:$C$51,MATCH(ROW()-1,'Player Data'!$L$2:$L$51,0)),"")</f>
        <v/>
      </c>
      <c r="E35" t="str">
        <f>IFERROR(INDEX('Player Data'!$D$2:$D$51,MATCH(ROW()-1,'Player Data'!$L$2:$L$51,0)),"")</f>
        <v/>
      </c>
      <c r="F35" t="str">
        <f>IFERROR(INDEX('Player Data'!$E$2:$E$51,MATCH(ROW()-1,'Player Data'!$L$2:$L$51,0)),"")</f>
        <v/>
      </c>
      <c r="G35" t="str">
        <f>IFERROR(INDEX('Player Data'!$F$2:$F$51,MATCH(ROW()-1,'Player Data'!$L$2:$L$51,0)),"")</f>
        <v/>
      </c>
      <c r="H35" t="str">
        <f>IFERROR(INDEX('Player Data'!$G$2:$G$51,MATCH(ROW()-1,'Player Data'!$L$2:$L$51,0)),"")</f>
        <v/>
      </c>
      <c r="I35" s="4" t="str">
        <f>IFERROR(INDEX('Player Data'!$I$2:$I$51,MATCH(ROW()-1,'Player Data'!$L$2:$L$51,0)),"")</f>
        <v/>
      </c>
      <c r="J35" t="str">
        <f>IFERROR(INDEX('Player Data'!$H$2:$H$51,MATCH(ROW()-1,'Player Data'!$L$2:$L$51,0)),"")</f>
        <v/>
      </c>
      <c r="K35" s="5" t="str">
        <f>IF(B35="","",COUNTIF('Tournament Log'!C:C,B35))</f>
        <v/>
      </c>
    </row>
    <row r="36" spans="1:11" ht="15" customHeight="1" x14ac:dyDescent="0.2">
      <c r="A36" t="str">
        <f>IF(ROW()-1&lt;=COUNTA('Player Data'!$A$2:$A$51),ROW()-1,"")</f>
        <v/>
      </c>
      <c r="B36" t="str">
        <f>IFERROR(INDEX('Player Data'!$A$2:$A$51,MATCH(ROW()-1,'Player Data'!$L$2:$L$51,0)),"")</f>
        <v/>
      </c>
      <c r="C36" t="str">
        <f>IFERROR(INDEX('Player Data'!$B$2:$B$51,MATCH(ROW()-1,'Player Data'!$L$2:$L$51,0)),"")</f>
        <v/>
      </c>
      <c r="D36" t="str">
        <f>IFERROR(INDEX('Player Data'!$C$2:$C$51,MATCH(ROW()-1,'Player Data'!$L$2:$L$51,0)),"")</f>
        <v/>
      </c>
      <c r="E36" t="str">
        <f>IFERROR(INDEX('Player Data'!$D$2:$D$51,MATCH(ROW()-1,'Player Data'!$L$2:$L$51,0)),"")</f>
        <v/>
      </c>
      <c r="F36" t="str">
        <f>IFERROR(INDEX('Player Data'!$E$2:$E$51,MATCH(ROW()-1,'Player Data'!$L$2:$L$51,0)),"")</f>
        <v/>
      </c>
      <c r="G36" t="str">
        <f>IFERROR(INDEX('Player Data'!$F$2:$F$51,MATCH(ROW()-1,'Player Data'!$L$2:$L$51,0)),"")</f>
        <v/>
      </c>
      <c r="H36" t="str">
        <f>IFERROR(INDEX('Player Data'!$G$2:$G$51,MATCH(ROW()-1,'Player Data'!$L$2:$L$51,0)),"")</f>
        <v/>
      </c>
      <c r="I36" s="4" t="str">
        <f>IFERROR(INDEX('Player Data'!$I$2:$I$51,MATCH(ROW()-1,'Player Data'!$L$2:$L$51,0)),"")</f>
        <v/>
      </c>
      <c r="J36" t="str">
        <f>IFERROR(INDEX('Player Data'!$H$2:$H$51,MATCH(ROW()-1,'Player Data'!$L$2:$L$51,0)),"")</f>
        <v/>
      </c>
      <c r="K36" s="5" t="str">
        <f>IF(B36="","",COUNTIF('Tournament Log'!C:C,B36))</f>
        <v/>
      </c>
    </row>
    <row r="37" spans="1:11" ht="15" customHeight="1" x14ac:dyDescent="0.2">
      <c r="A37" t="str">
        <f>IF(ROW()-1&lt;=COUNTA('Player Data'!$A$2:$A$51),ROW()-1,"")</f>
        <v/>
      </c>
      <c r="B37" t="str">
        <f>IFERROR(INDEX('Player Data'!$A$2:$A$51,MATCH(ROW()-1,'Player Data'!$L$2:$L$51,0)),"")</f>
        <v/>
      </c>
      <c r="C37" t="str">
        <f>IFERROR(INDEX('Player Data'!$B$2:$B$51,MATCH(ROW()-1,'Player Data'!$L$2:$L$51,0)),"")</f>
        <v/>
      </c>
      <c r="D37" t="str">
        <f>IFERROR(INDEX('Player Data'!$C$2:$C$51,MATCH(ROW()-1,'Player Data'!$L$2:$L$51,0)),"")</f>
        <v/>
      </c>
      <c r="E37" t="str">
        <f>IFERROR(INDEX('Player Data'!$D$2:$D$51,MATCH(ROW()-1,'Player Data'!$L$2:$L$51,0)),"")</f>
        <v/>
      </c>
      <c r="F37" t="str">
        <f>IFERROR(INDEX('Player Data'!$E$2:$E$51,MATCH(ROW()-1,'Player Data'!$L$2:$L$51,0)),"")</f>
        <v/>
      </c>
      <c r="G37" t="str">
        <f>IFERROR(INDEX('Player Data'!$F$2:$F$51,MATCH(ROW()-1,'Player Data'!$L$2:$L$51,0)),"")</f>
        <v/>
      </c>
      <c r="H37" t="str">
        <f>IFERROR(INDEX('Player Data'!$G$2:$G$51,MATCH(ROW()-1,'Player Data'!$L$2:$L$51,0)),"")</f>
        <v/>
      </c>
      <c r="I37" s="4" t="str">
        <f>IFERROR(INDEX('Player Data'!$I$2:$I$51,MATCH(ROW()-1,'Player Data'!$L$2:$L$51,0)),"")</f>
        <v/>
      </c>
      <c r="J37" t="str">
        <f>IFERROR(INDEX('Player Data'!$H$2:$H$51,MATCH(ROW()-1,'Player Data'!$L$2:$L$51,0)),"")</f>
        <v/>
      </c>
      <c r="K37" s="5" t="str">
        <f>IF(B37="","",COUNTIF('Tournament Log'!C:C,B37))</f>
        <v/>
      </c>
    </row>
    <row r="38" spans="1:11" ht="15" customHeight="1" x14ac:dyDescent="0.2">
      <c r="A38" t="str">
        <f>IF(ROW()-1&lt;=COUNTA('Player Data'!$A$2:$A$51),ROW()-1,"")</f>
        <v/>
      </c>
      <c r="B38" t="str">
        <f>IFERROR(INDEX('Player Data'!$A$2:$A$51,MATCH(ROW()-1,'Player Data'!$L$2:$L$51,0)),"")</f>
        <v/>
      </c>
      <c r="C38" t="str">
        <f>IFERROR(INDEX('Player Data'!$B$2:$B$51,MATCH(ROW()-1,'Player Data'!$L$2:$L$51,0)),"")</f>
        <v/>
      </c>
      <c r="D38" t="str">
        <f>IFERROR(INDEX('Player Data'!$C$2:$C$51,MATCH(ROW()-1,'Player Data'!$L$2:$L$51,0)),"")</f>
        <v/>
      </c>
      <c r="E38" t="str">
        <f>IFERROR(INDEX('Player Data'!$D$2:$D$51,MATCH(ROW()-1,'Player Data'!$L$2:$L$51,0)),"")</f>
        <v/>
      </c>
      <c r="F38" t="str">
        <f>IFERROR(INDEX('Player Data'!$E$2:$E$51,MATCH(ROW()-1,'Player Data'!$L$2:$L$51,0)),"")</f>
        <v/>
      </c>
      <c r="G38" t="str">
        <f>IFERROR(INDEX('Player Data'!$F$2:$F$51,MATCH(ROW()-1,'Player Data'!$L$2:$L$51,0)),"")</f>
        <v/>
      </c>
      <c r="H38" t="str">
        <f>IFERROR(INDEX('Player Data'!$G$2:$G$51,MATCH(ROW()-1,'Player Data'!$L$2:$L$51,0)),"")</f>
        <v/>
      </c>
      <c r="I38" s="4" t="str">
        <f>IFERROR(INDEX('Player Data'!$I$2:$I$51,MATCH(ROW()-1,'Player Data'!$L$2:$L$51,0)),"")</f>
        <v/>
      </c>
      <c r="J38" t="str">
        <f>IFERROR(INDEX('Player Data'!$H$2:$H$51,MATCH(ROW()-1,'Player Data'!$L$2:$L$51,0)),"")</f>
        <v/>
      </c>
      <c r="K38" s="5" t="str">
        <f>IF(B38="","",COUNTIF('Tournament Log'!C:C,B38))</f>
        <v/>
      </c>
    </row>
    <row r="39" spans="1:11" ht="15" customHeight="1" x14ac:dyDescent="0.2">
      <c r="A39" t="str">
        <f>IF(ROW()-1&lt;=COUNTA('Player Data'!$A$2:$A$51),ROW()-1,"")</f>
        <v/>
      </c>
      <c r="B39" t="str">
        <f>IFERROR(INDEX('Player Data'!$A$2:$A$51,MATCH(ROW()-1,'Player Data'!$L$2:$L$51,0)),"")</f>
        <v/>
      </c>
      <c r="C39" t="str">
        <f>IFERROR(INDEX('Player Data'!$B$2:$B$51,MATCH(ROW()-1,'Player Data'!$L$2:$L$51,0)),"")</f>
        <v/>
      </c>
      <c r="D39" t="str">
        <f>IFERROR(INDEX('Player Data'!$C$2:$C$51,MATCH(ROW()-1,'Player Data'!$L$2:$L$51,0)),"")</f>
        <v/>
      </c>
      <c r="E39" t="str">
        <f>IFERROR(INDEX('Player Data'!$D$2:$D$51,MATCH(ROW()-1,'Player Data'!$L$2:$L$51,0)),"")</f>
        <v/>
      </c>
      <c r="F39" t="str">
        <f>IFERROR(INDEX('Player Data'!$E$2:$E$51,MATCH(ROW()-1,'Player Data'!$L$2:$L$51,0)),"")</f>
        <v/>
      </c>
      <c r="G39" t="str">
        <f>IFERROR(INDEX('Player Data'!$F$2:$F$51,MATCH(ROW()-1,'Player Data'!$L$2:$L$51,0)),"")</f>
        <v/>
      </c>
      <c r="H39" t="str">
        <f>IFERROR(INDEX('Player Data'!$G$2:$G$51,MATCH(ROW()-1,'Player Data'!$L$2:$L$51,0)),"")</f>
        <v/>
      </c>
      <c r="I39" s="4" t="str">
        <f>IFERROR(INDEX('Player Data'!$I$2:$I$51,MATCH(ROW()-1,'Player Data'!$L$2:$L$51,0)),"")</f>
        <v/>
      </c>
      <c r="J39" t="str">
        <f>IFERROR(INDEX('Player Data'!$H$2:$H$51,MATCH(ROW()-1,'Player Data'!$L$2:$L$51,0)),"")</f>
        <v/>
      </c>
      <c r="K39" s="5" t="str">
        <f>IF(B39="","",COUNTIF('Tournament Log'!C:C,B39))</f>
        <v/>
      </c>
    </row>
    <row r="40" spans="1:11" ht="15" customHeight="1" x14ac:dyDescent="0.2">
      <c r="A40" t="str">
        <f>IF(ROW()-1&lt;=COUNTA('Player Data'!$A$2:$A$51),ROW()-1,"")</f>
        <v/>
      </c>
      <c r="B40" t="str">
        <f>IFERROR(INDEX('Player Data'!$A$2:$A$51,MATCH(ROW()-1,'Player Data'!$L$2:$L$51,0)),"")</f>
        <v/>
      </c>
      <c r="C40" t="str">
        <f>IFERROR(INDEX('Player Data'!$B$2:$B$51,MATCH(ROW()-1,'Player Data'!$L$2:$L$51,0)),"")</f>
        <v/>
      </c>
      <c r="D40" t="str">
        <f>IFERROR(INDEX('Player Data'!$C$2:$C$51,MATCH(ROW()-1,'Player Data'!$L$2:$L$51,0)),"")</f>
        <v/>
      </c>
      <c r="E40" t="str">
        <f>IFERROR(INDEX('Player Data'!$D$2:$D$51,MATCH(ROW()-1,'Player Data'!$L$2:$L$51,0)),"")</f>
        <v/>
      </c>
      <c r="F40" t="str">
        <f>IFERROR(INDEX('Player Data'!$E$2:$E$51,MATCH(ROW()-1,'Player Data'!$L$2:$L$51,0)),"")</f>
        <v/>
      </c>
      <c r="G40" t="str">
        <f>IFERROR(INDEX('Player Data'!$F$2:$F$51,MATCH(ROW()-1,'Player Data'!$L$2:$L$51,0)),"")</f>
        <v/>
      </c>
      <c r="H40" t="str">
        <f>IFERROR(INDEX('Player Data'!$G$2:$G$51,MATCH(ROW()-1,'Player Data'!$L$2:$L$51,0)),"")</f>
        <v/>
      </c>
      <c r="I40" t="str">
        <f>IFERROR(INDEX('Player Data'!$I$2:$I$51,MATCH(ROW()-1,'Player Data'!$L$2:$L$51,0)),"")</f>
        <v/>
      </c>
      <c r="J40" t="str">
        <f>IFERROR(INDEX('Player Data'!$H$2:$H$51,MATCH(ROW()-1,'Player Data'!$L$2:$L$51,0)),"")</f>
        <v/>
      </c>
      <c r="K40" s="5" t="str">
        <f>IF(B40="","",COUNTIF('Tournament Log'!C:C,B40))</f>
        <v/>
      </c>
    </row>
    <row r="41" spans="1:11" ht="15" customHeight="1" x14ac:dyDescent="0.2">
      <c r="A41" t="str">
        <f>IF(ROW()-1&lt;=COUNTA('Player Data'!$A$2:$A$51),ROW()-1,"")</f>
        <v/>
      </c>
      <c r="B41" t="str">
        <f>IFERROR(INDEX('Player Data'!$A$2:$A$51,MATCH(ROW()-1,'Player Data'!$L$2:$L$51,0)),"")</f>
        <v/>
      </c>
      <c r="C41" t="str">
        <f>IFERROR(INDEX('Player Data'!$B$2:$B$51,MATCH(ROW()-1,'Player Data'!$L$2:$L$51,0)),"")</f>
        <v/>
      </c>
      <c r="D41" t="str">
        <f>IFERROR(INDEX('Player Data'!$C$2:$C$51,MATCH(ROW()-1,'Player Data'!$L$2:$L$51,0)),"")</f>
        <v/>
      </c>
      <c r="E41" t="str">
        <f>IFERROR(INDEX('Player Data'!$D$2:$D$51,MATCH(ROW()-1,'Player Data'!$L$2:$L$51,0)),"")</f>
        <v/>
      </c>
      <c r="F41" t="str">
        <f>IFERROR(INDEX('Player Data'!$E$2:$E$51,MATCH(ROW()-1,'Player Data'!$L$2:$L$51,0)),"")</f>
        <v/>
      </c>
      <c r="G41" t="str">
        <f>IFERROR(INDEX('Player Data'!$F$2:$F$51,MATCH(ROW()-1,'Player Data'!$L$2:$L$51,0)),"")</f>
        <v/>
      </c>
      <c r="H41" t="str">
        <f>IFERROR(INDEX('Player Data'!$G$2:$G$51,MATCH(ROW()-1,'Player Data'!$L$2:$L$51,0)),"")</f>
        <v/>
      </c>
      <c r="I41" t="str">
        <f>IFERROR(INDEX('Player Data'!$I$2:$I$51,MATCH(ROW()-1,'Player Data'!$L$2:$L$51,0)),"")</f>
        <v/>
      </c>
      <c r="J41" t="str">
        <f>IFERROR(INDEX('Player Data'!$H$2:$H$51,MATCH(ROW()-1,'Player Data'!$L$2:$L$51,0)),"")</f>
        <v/>
      </c>
      <c r="K41" s="5" t="str">
        <f>IF(B41="","",COUNTIF('Tournament Log'!C:C,B41))</f>
        <v/>
      </c>
    </row>
    <row r="42" spans="1:11" ht="15" customHeight="1" x14ac:dyDescent="0.2">
      <c r="A42" t="str">
        <f>IF(ROW()-1&lt;=COUNTA('Player Data'!$A$2:$A$51),ROW()-1,"")</f>
        <v/>
      </c>
      <c r="B42" t="str">
        <f>IFERROR(INDEX('Player Data'!$A$2:$A$51,MATCH(ROW()-1,'Player Data'!$L$2:$L$51,0)),"")</f>
        <v/>
      </c>
      <c r="C42" t="str">
        <f>IFERROR(INDEX('Player Data'!$B$2:$B$51,MATCH(ROW()-1,'Player Data'!$L$2:$L$51,0)),"")</f>
        <v/>
      </c>
      <c r="D42" t="str">
        <f>IFERROR(INDEX('Player Data'!$C$2:$C$51,MATCH(ROW()-1,'Player Data'!$L$2:$L$51,0)),"")</f>
        <v/>
      </c>
      <c r="E42" t="str">
        <f>IFERROR(INDEX('Player Data'!$D$2:$D$51,MATCH(ROW()-1,'Player Data'!$L$2:$L$51,0)),"")</f>
        <v/>
      </c>
      <c r="F42" t="str">
        <f>IFERROR(INDEX('Player Data'!$E$2:$E$51,MATCH(ROW()-1,'Player Data'!$L$2:$L$51,0)),"")</f>
        <v/>
      </c>
      <c r="G42" t="str">
        <f>IFERROR(INDEX('Player Data'!$F$2:$F$51,MATCH(ROW()-1,'Player Data'!$L$2:$L$51,0)),"")</f>
        <v/>
      </c>
      <c r="H42" t="str">
        <f>IFERROR(INDEX('Player Data'!$G$2:$G$51,MATCH(ROW()-1,'Player Data'!$L$2:$L$51,0)),"")</f>
        <v/>
      </c>
      <c r="I42" t="str">
        <f>IFERROR(INDEX('Player Data'!$I$2:$I$51,MATCH(ROW()-1,'Player Data'!$L$2:$L$51,0)),"")</f>
        <v/>
      </c>
      <c r="J42" t="str">
        <f>IFERROR(INDEX('Player Data'!$H$2:$H$51,MATCH(ROW()-1,'Player Data'!$L$2:$L$51,0)),"")</f>
        <v/>
      </c>
      <c r="K42" s="5" t="str">
        <f>IF(B42="","",COUNTIF('Tournament Log'!C:C,B42))</f>
        <v/>
      </c>
    </row>
    <row r="43" spans="1:11" ht="15" customHeight="1" x14ac:dyDescent="0.2">
      <c r="A43" t="str">
        <f>IF(ROW()-1&lt;=COUNTA('Player Data'!$A$2:$A$51),ROW()-1,"")</f>
        <v/>
      </c>
      <c r="B43" t="str">
        <f>IFERROR(INDEX('Player Data'!$A$2:$A$51,MATCH(ROW()-1,'Player Data'!$L$2:$L$51,0)),"")</f>
        <v/>
      </c>
      <c r="C43" t="str">
        <f>IFERROR(INDEX('Player Data'!$B$2:$B$51,MATCH(ROW()-1,'Player Data'!$L$2:$L$51,0)),"")</f>
        <v/>
      </c>
      <c r="D43" t="str">
        <f>IFERROR(INDEX('Player Data'!$C$2:$C$51,MATCH(ROW()-1,'Player Data'!$L$2:$L$51,0)),"")</f>
        <v/>
      </c>
      <c r="E43" t="str">
        <f>IFERROR(INDEX('Player Data'!$D$2:$D$51,MATCH(ROW()-1,'Player Data'!$L$2:$L$51,0)),"")</f>
        <v/>
      </c>
      <c r="F43" t="str">
        <f>IFERROR(INDEX('Player Data'!$E$2:$E$51,MATCH(ROW()-1,'Player Data'!$L$2:$L$51,0)),"")</f>
        <v/>
      </c>
      <c r="G43" t="str">
        <f>IFERROR(INDEX('Player Data'!$F$2:$F$51,MATCH(ROW()-1,'Player Data'!$L$2:$L$51,0)),"")</f>
        <v/>
      </c>
      <c r="H43" t="str">
        <f>IFERROR(INDEX('Player Data'!$G$2:$G$51,MATCH(ROW()-1,'Player Data'!$L$2:$L$51,0)),"")</f>
        <v/>
      </c>
      <c r="I43" t="str">
        <f>IFERROR(INDEX('Player Data'!$I$2:$I$51,MATCH(ROW()-1,'Player Data'!$L$2:$L$51,0)),"")</f>
        <v/>
      </c>
      <c r="J43" t="str">
        <f>IFERROR(INDEX('Player Data'!$H$2:$H$51,MATCH(ROW()-1,'Player Data'!$L$2:$L$51,0)),"")</f>
        <v/>
      </c>
      <c r="K43" s="5" t="str">
        <f>IF(B43="","",COUNTIF('Tournament Log'!C:C,B43))</f>
        <v/>
      </c>
    </row>
    <row r="44" spans="1:11" ht="15" customHeight="1" x14ac:dyDescent="0.2">
      <c r="A44" t="str">
        <f>IF(ROW()-1&lt;=COUNTA('Player Data'!$A$2:$A$51),ROW()-1,"")</f>
        <v/>
      </c>
      <c r="B44" t="str">
        <f>IFERROR(INDEX('Player Data'!$A$2:$A$51,MATCH(ROW()-1,'Player Data'!$L$2:$L$51,0)),"")</f>
        <v/>
      </c>
      <c r="C44" t="str">
        <f>IFERROR(INDEX('Player Data'!$B$2:$B$51,MATCH(ROW()-1,'Player Data'!$L$2:$L$51,0)),"")</f>
        <v/>
      </c>
      <c r="D44" t="str">
        <f>IFERROR(INDEX('Player Data'!$C$2:$C$51,MATCH(ROW()-1,'Player Data'!$L$2:$L$51,0)),"")</f>
        <v/>
      </c>
      <c r="E44" t="str">
        <f>IFERROR(INDEX('Player Data'!$D$2:$D$51,MATCH(ROW()-1,'Player Data'!$L$2:$L$51,0)),"")</f>
        <v/>
      </c>
      <c r="F44" t="str">
        <f>IFERROR(INDEX('Player Data'!$E$2:$E$51,MATCH(ROW()-1,'Player Data'!$L$2:$L$51,0)),"")</f>
        <v/>
      </c>
      <c r="G44" t="str">
        <f>IFERROR(INDEX('Player Data'!$F$2:$F$51,MATCH(ROW()-1,'Player Data'!$L$2:$L$51,0)),"")</f>
        <v/>
      </c>
      <c r="H44" t="str">
        <f>IFERROR(INDEX('Player Data'!$G$2:$G$51,MATCH(ROW()-1,'Player Data'!$L$2:$L$51,0)),"")</f>
        <v/>
      </c>
      <c r="I44" t="str">
        <f>IFERROR(INDEX('Player Data'!$I$2:$I$51,MATCH(ROW()-1,'Player Data'!$L$2:$L$51,0)),"")</f>
        <v/>
      </c>
      <c r="J44" t="str">
        <f>IFERROR(INDEX('Player Data'!$H$2:$H$51,MATCH(ROW()-1,'Player Data'!$L$2:$L$51,0)),"")</f>
        <v/>
      </c>
      <c r="K44" s="5" t="str">
        <f>IF(B44="","",COUNTIF('Tournament Log'!C:C,B44))</f>
        <v/>
      </c>
    </row>
    <row r="45" spans="1:11" ht="15" customHeight="1" x14ac:dyDescent="0.2">
      <c r="A45" t="str">
        <f>IF(ROW()-1&lt;=COUNTA('Player Data'!$A$2:$A$51),ROW()-1,"")</f>
        <v/>
      </c>
      <c r="B45" t="str">
        <f>IFERROR(INDEX('Player Data'!$A$2:$A$51,MATCH(ROW()-1,'Player Data'!$L$2:$L$51,0)),"")</f>
        <v/>
      </c>
      <c r="C45" t="str">
        <f>IFERROR(INDEX('Player Data'!$B$2:$B$51,MATCH(ROW()-1,'Player Data'!$L$2:$L$51,0)),"")</f>
        <v/>
      </c>
      <c r="D45" t="str">
        <f>IFERROR(INDEX('Player Data'!$C$2:$C$51,MATCH(ROW()-1,'Player Data'!$L$2:$L$51,0)),"")</f>
        <v/>
      </c>
      <c r="E45" t="str">
        <f>IFERROR(INDEX('Player Data'!$D$2:$D$51,MATCH(ROW()-1,'Player Data'!$L$2:$L$51,0)),"")</f>
        <v/>
      </c>
      <c r="F45" t="str">
        <f>IFERROR(INDEX('Player Data'!$E$2:$E$51,MATCH(ROW()-1,'Player Data'!$L$2:$L$51,0)),"")</f>
        <v/>
      </c>
      <c r="G45" t="str">
        <f>IFERROR(INDEX('Player Data'!$F$2:$F$51,MATCH(ROW()-1,'Player Data'!$L$2:$L$51,0)),"")</f>
        <v/>
      </c>
      <c r="H45" t="str">
        <f>IFERROR(INDEX('Player Data'!$G$2:$G$51,MATCH(ROW()-1,'Player Data'!$L$2:$L$51,0)),"")</f>
        <v/>
      </c>
      <c r="I45" t="str">
        <f>IFERROR(INDEX('Player Data'!$I$2:$I$51,MATCH(ROW()-1,'Player Data'!$L$2:$L$51,0)),"")</f>
        <v/>
      </c>
      <c r="J45" t="str">
        <f>IFERROR(INDEX('Player Data'!$H$2:$H$51,MATCH(ROW()-1,'Player Data'!$L$2:$L$51,0)),"")</f>
        <v/>
      </c>
      <c r="K45" s="5" t="str">
        <f>IF(B45="","",COUNTIF('Tournament Log'!C:C,B45))</f>
        <v/>
      </c>
    </row>
    <row r="46" spans="1:11" ht="15" customHeight="1" x14ac:dyDescent="0.2">
      <c r="A46" t="str">
        <f>IF(ROW()-1&lt;=COUNTA('Player Data'!$A$2:$A$51),ROW()-1,"")</f>
        <v/>
      </c>
      <c r="B46" t="str">
        <f>IFERROR(INDEX('Player Data'!$A$2:$A$51,MATCH(ROW()-1,'Player Data'!$L$2:$L$51,0)),"")</f>
        <v/>
      </c>
      <c r="C46" t="str">
        <f>IFERROR(INDEX('Player Data'!$B$2:$B$51,MATCH(ROW()-1,'Player Data'!$L$2:$L$51,0)),"")</f>
        <v/>
      </c>
      <c r="D46" t="str">
        <f>IFERROR(INDEX('Player Data'!$C$2:$C$51,MATCH(ROW()-1,'Player Data'!$L$2:$L$51,0)),"")</f>
        <v/>
      </c>
      <c r="E46" t="str">
        <f>IFERROR(INDEX('Player Data'!$D$2:$D$51,MATCH(ROW()-1,'Player Data'!$L$2:$L$51,0)),"")</f>
        <v/>
      </c>
      <c r="F46" t="str">
        <f>IFERROR(INDEX('Player Data'!$E$2:$E$51,MATCH(ROW()-1,'Player Data'!$L$2:$L$51,0)),"")</f>
        <v/>
      </c>
      <c r="G46" t="str">
        <f>IFERROR(INDEX('Player Data'!$F$2:$F$51,MATCH(ROW()-1,'Player Data'!$L$2:$L$51,0)),"")</f>
        <v/>
      </c>
      <c r="H46" t="str">
        <f>IFERROR(INDEX('Player Data'!$G$2:$G$51,MATCH(ROW()-1,'Player Data'!$L$2:$L$51,0)),"")</f>
        <v/>
      </c>
      <c r="I46" t="str">
        <f>IFERROR(INDEX('Player Data'!$I$2:$I$51,MATCH(ROW()-1,'Player Data'!$L$2:$L$51,0)),"")</f>
        <v/>
      </c>
      <c r="J46" t="str">
        <f>IFERROR(INDEX('Player Data'!$H$2:$H$51,MATCH(ROW()-1,'Player Data'!$L$2:$L$51,0)),"")</f>
        <v/>
      </c>
      <c r="K46" s="5" t="str">
        <f>IF(B46="","",COUNTIF('Tournament Log'!C:C,B46))</f>
        <v/>
      </c>
    </row>
    <row r="47" spans="1:11" ht="15" customHeight="1" x14ac:dyDescent="0.2">
      <c r="A47" t="str">
        <f>IF(ROW()-1&lt;=COUNTA('Player Data'!$A$2:$A$51),ROW()-1,"")</f>
        <v/>
      </c>
      <c r="B47" t="str">
        <f>IFERROR(INDEX('Player Data'!$A$2:$A$51,MATCH(ROW()-1,'Player Data'!$L$2:$L$51,0)),"")</f>
        <v/>
      </c>
      <c r="C47" t="str">
        <f>IFERROR(INDEX('Player Data'!$B$2:$B$51,MATCH(ROW()-1,'Player Data'!$L$2:$L$51,0)),"")</f>
        <v/>
      </c>
      <c r="D47" t="str">
        <f>IFERROR(INDEX('Player Data'!$C$2:$C$51,MATCH(ROW()-1,'Player Data'!$L$2:$L$51,0)),"")</f>
        <v/>
      </c>
      <c r="E47" t="str">
        <f>IFERROR(INDEX('Player Data'!$D$2:$D$51,MATCH(ROW()-1,'Player Data'!$L$2:$L$51,0)),"")</f>
        <v/>
      </c>
      <c r="F47" t="str">
        <f>IFERROR(INDEX('Player Data'!$E$2:$E$51,MATCH(ROW()-1,'Player Data'!$L$2:$L$51,0)),"")</f>
        <v/>
      </c>
      <c r="G47" t="str">
        <f>IFERROR(INDEX('Player Data'!$F$2:$F$51,MATCH(ROW()-1,'Player Data'!$L$2:$L$51,0)),"")</f>
        <v/>
      </c>
      <c r="H47" t="str">
        <f>IFERROR(INDEX('Player Data'!$G$2:$G$51,MATCH(ROW()-1,'Player Data'!$L$2:$L$51,0)),"")</f>
        <v/>
      </c>
      <c r="I47" t="str">
        <f>IFERROR(INDEX('Player Data'!$I$2:$I$51,MATCH(ROW()-1,'Player Data'!$L$2:$L$51,0)),"")</f>
        <v/>
      </c>
      <c r="J47" t="str">
        <f>IFERROR(INDEX('Player Data'!$H$2:$H$51,MATCH(ROW()-1,'Player Data'!$L$2:$L$51,0)),"")</f>
        <v/>
      </c>
      <c r="K47" s="5" t="str">
        <f>IF(B47="","",COUNTIF('Tournament Log'!C:C,B47))</f>
        <v/>
      </c>
    </row>
    <row r="48" spans="1:11" ht="15" customHeight="1" x14ac:dyDescent="0.2">
      <c r="A48" t="str">
        <f>IF(ROW()-1&lt;=COUNTA('Player Data'!$A$2:$A$51),ROW()-1,"")</f>
        <v/>
      </c>
      <c r="B48" t="str">
        <f>IFERROR(INDEX('Player Data'!$A$2:$A$51,MATCH(ROW()-1,'Player Data'!$L$2:$L$51,0)),"")</f>
        <v/>
      </c>
      <c r="C48" t="str">
        <f>IFERROR(INDEX('Player Data'!$B$2:$B$51,MATCH(ROW()-1,'Player Data'!$L$2:$L$51,0)),"")</f>
        <v/>
      </c>
      <c r="D48" t="str">
        <f>IFERROR(INDEX('Player Data'!$C$2:$C$51,MATCH(ROW()-1,'Player Data'!$L$2:$L$51,0)),"")</f>
        <v/>
      </c>
      <c r="E48" t="str">
        <f>IFERROR(INDEX('Player Data'!$D$2:$D$51,MATCH(ROW()-1,'Player Data'!$L$2:$L$51,0)),"")</f>
        <v/>
      </c>
      <c r="F48" t="str">
        <f>IFERROR(INDEX('Player Data'!$E$2:$E$51,MATCH(ROW()-1,'Player Data'!$L$2:$L$51,0)),"")</f>
        <v/>
      </c>
      <c r="G48" t="str">
        <f>IFERROR(INDEX('Player Data'!$F$2:$F$51,MATCH(ROW()-1,'Player Data'!$L$2:$L$51,0)),"")</f>
        <v/>
      </c>
      <c r="H48" t="str">
        <f>IFERROR(INDEX('Player Data'!$G$2:$G$51,MATCH(ROW()-1,'Player Data'!$L$2:$L$51,0)),"")</f>
        <v/>
      </c>
      <c r="I48" t="str">
        <f>IFERROR(INDEX('Player Data'!$I$2:$I$51,MATCH(ROW()-1,'Player Data'!$L$2:$L$51,0)),"")</f>
        <v/>
      </c>
      <c r="J48" t="str">
        <f>IFERROR(INDEX('Player Data'!$H$2:$H$51,MATCH(ROW()-1,'Player Data'!$L$2:$L$51,0)),"")</f>
        <v/>
      </c>
      <c r="K48" s="5" t="str">
        <f>IF(B48="","",COUNTIF('Tournament Log'!C:C,B48))</f>
        <v/>
      </c>
    </row>
    <row r="49" spans="1:11" ht="15" customHeight="1" x14ac:dyDescent="0.2">
      <c r="A49" t="str">
        <f>IF(ROW()-1&lt;=COUNTA('Player Data'!$A$2:$A$51),ROW()-1,"")</f>
        <v/>
      </c>
      <c r="B49" t="str">
        <f>IFERROR(INDEX('Player Data'!$A$2:$A$51,MATCH(ROW()-1,'Player Data'!$L$2:$L$51,0)),"")</f>
        <v/>
      </c>
      <c r="C49" t="str">
        <f>IFERROR(INDEX('Player Data'!$B$2:$B$51,MATCH(ROW()-1,'Player Data'!$L$2:$L$51,0)),"")</f>
        <v/>
      </c>
      <c r="D49" t="str">
        <f>IFERROR(INDEX('Player Data'!$C$2:$C$51,MATCH(ROW()-1,'Player Data'!$L$2:$L$51,0)),"")</f>
        <v/>
      </c>
      <c r="E49" t="str">
        <f>IFERROR(INDEX('Player Data'!$D$2:$D$51,MATCH(ROW()-1,'Player Data'!$L$2:$L$51,0)),"")</f>
        <v/>
      </c>
      <c r="F49" t="str">
        <f>IFERROR(INDEX('Player Data'!$E$2:$E$51,MATCH(ROW()-1,'Player Data'!$L$2:$L$51,0)),"")</f>
        <v/>
      </c>
      <c r="G49" t="str">
        <f>IFERROR(INDEX('Player Data'!$F$2:$F$51,MATCH(ROW()-1,'Player Data'!$L$2:$L$51,0)),"")</f>
        <v/>
      </c>
      <c r="H49" t="str">
        <f>IFERROR(INDEX('Player Data'!$G$2:$G$51,MATCH(ROW()-1,'Player Data'!$L$2:$L$51,0)),"")</f>
        <v/>
      </c>
      <c r="I49" t="str">
        <f>IFERROR(INDEX('Player Data'!$I$2:$I$51,MATCH(ROW()-1,'Player Data'!$L$2:$L$51,0)),"")</f>
        <v/>
      </c>
      <c r="J49" t="str">
        <f>IFERROR(INDEX('Player Data'!$H$2:$H$51,MATCH(ROW()-1,'Player Data'!$L$2:$L$51,0)),"")</f>
        <v/>
      </c>
      <c r="K49" s="5" t="str">
        <f>IF(B49="","",COUNTIF('Tournament Log'!C:C,B49))</f>
        <v/>
      </c>
    </row>
    <row r="50" spans="1:11" ht="15" customHeight="1" x14ac:dyDescent="0.2">
      <c r="A50" t="str">
        <f>IF(ROW()-1&lt;=COUNTA('Player Data'!$A$2:$A$51),ROW()-1,"")</f>
        <v/>
      </c>
      <c r="B50" t="str">
        <f>IFERROR(INDEX('Player Data'!$A$2:$A$51,MATCH(ROW()-1,'Player Data'!$L$2:$L$51,0)),"")</f>
        <v/>
      </c>
      <c r="C50" t="str">
        <f>IFERROR(INDEX('Player Data'!$B$2:$B$51,MATCH(ROW()-1,'Player Data'!$L$2:$L$51,0)),"")</f>
        <v/>
      </c>
      <c r="D50" t="str">
        <f>IFERROR(INDEX('Player Data'!$C$2:$C$51,MATCH(ROW()-1,'Player Data'!$L$2:$L$51,0)),"")</f>
        <v/>
      </c>
      <c r="E50" t="str">
        <f>IFERROR(INDEX('Player Data'!$D$2:$D$51,MATCH(ROW()-1,'Player Data'!$L$2:$L$51,0)),"")</f>
        <v/>
      </c>
      <c r="F50" t="str">
        <f>IFERROR(INDEX('Player Data'!$E$2:$E$51,MATCH(ROW()-1,'Player Data'!$L$2:$L$51,0)),"")</f>
        <v/>
      </c>
      <c r="G50" t="str">
        <f>IFERROR(INDEX('Player Data'!$F$2:$F$51,MATCH(ROW()-1,'Player Data'!$L$2:$L$51,0)),"")</f>
        <v/>
      </c>
      <c r="H50" t="str">
        <f>IFERROR(INDEX('Player Data'!$G$2:$G$51,MATCH(ROW()-1,'Player Data'!$L$2:$L$51,0)),"")</f>
        <v/>
      </c>
      <c r="I50" t="str">
        <f>IFERROR(INDEX('Player Data'!$I$2:$I$51,MATCH(ROW()-1,'Player Data'!$L$2:$L$51,0)),"")</f>
        <v/>
      </c>
      <c r="J50" t="str">
        <f>IFERROR(INDEX('Player Data'!$H$2:$H$51,MATCH(ROW()-1,'Player Data'!$L$2:$L$51,0)),"")</f>
        <v/>
      </c>
      <c r="K50" s="5" t="str">
        <f>IF(B50="","",COUNTIF('Tournament Log'!C:C,B50))</f>
        <v/>
      </c>
    </row>
    <row r="51" spans="1:11" ht="15" customHeight="1" x14ac:dyDescent="0.2">
      <c r="A51" t="str">
        <f>IF(ROW()-1&lt;=COUNTA('Player Data'!$A$2:$A$51),ROW()-1,"")</f>
        <v/>
      </c>
      <c r="B51" t="str">
        <f>IFERROR(INDEX('Player Data'!$A$2:$A$51,MATCH(ROW()-1,'Player Data'!$L$2:$L$51,0)),"")</f>
        <v/>
      </c>
      <c r="C51" t="str">
        <f>IFERROR(INDEX('Player Data'!$B$2:$B$51,MATCH(ROW()-1,'Player Data'!$L$2:$L$51,0)),"")</f>
        <v/>
      </c>
      <c r="D51" t="str">
        <f>IFERROR(INDEX('Player Data'!$C$2:$C$51,MATCH(ROW()-1,'Player Data'!$L$2:$L$51,0)),"")</f>
        <v/>
      </c>
      <c r="E51" t="str">
        <f>IFERROR(INDEX('Player Data'!$D$2:$D$51,MATCH(ROW()-1,'Player Data'!$L$2:$L$51,0)),"")</f>
        <v/>
      </c>
      <c r="F51" t="str">
        <f>IFERROR(INDEX('Player Data'!$E$2:$E$51,MATCH(ROW()-1,'Player Data'!$L$2:$L$51,0)),"")</f>
        <v/>
      </c>
      <c r="G51" t="str">
        <f>IFERROR(INDEX('Player Data'!$F$2:$F$51,MATCH(ROW()-1,'Player Data'!$L$2:$L$51,0)),"")</f>
        <v/>
      </c>
      <c r="H51" t="str">
        <f>IFERROR(INDEX('Player Data'!$G$2:$G$51,MATCH(ROW()-1,'Player Data'!$L$2:$L$51,0)),"")</f>
        <v/>
      </c>
      <c r="I51" t="str">
        <f>IFERROR(INDEX('Player Data'!$I$2:$I$51,MATCH(ROW()-1,'Player Data'!$L$2:$L$51,0)),"")</f>
        <v/>
      </c>
      <c r="J51" t="str">
        <f>IFERROR(INDEX('Player Data'!$H$2:$H$51,MATCH(ROW()-1,'Player Data'!$L$2:$L$51,0)),"")</f>
        <v/>
      </c>
      <c r="K51" s="5" t="str">
        <f>IF(B51="","",COUNTIF('Tournament Log'!C:C,B51))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K501"/>
  <sheetViews>
    <sheetView zoomScaleNormal="100" workbookViewId="0">
      <pane ySplit="2" topLeftCell="A13" activePane="bottomLeft" state="frozen"/>
      <selection pane="bottomLeft" activeCell="I28" sqref="I28"/>
    </sheetView>
  </sheetViews>
  <sheetFormatPr defaultColWidth="8.7421875" defaultRowHeight="15" x14ac:dyDescent="0.2"/>
  <cols>
    <col min="1" max="1" width="10.0859375" customWidth="1"/>
    <col min="2" max="2" width="11.97265625" customWidth="1"/>
    <col min="3" max="3" width="16.0078125" customWidth="1"/>
    <col min="4" max="6" width="18.0234375" customWidth="1"/>
    <col min="7" max="8" width="20.04296875" customWidth="1"/>
    <col min="9" max="9" width="29.99609375" customWidth="1"/>
  </cols>
  <sheetData>
    <row r="1" spans="1:11" ht="27.75" customHeight="1" x14ac:dyDescent="0.2">
      <c r="A1" s="47" t="s">
        <v>11</v>
      </c>
      <c r="B1" s="47"/>
      <c r="C1" s="47"/>
      <c r="D1" s="47"/>
      <c r="E1" s="47"/>
      <c r="F1" s="47"/>
      <c r="G1" s="47"/>
      <c r="H1" s="47"/>
      <c r="I1" s="47"/>
    </row>
    <row r="2" spans="1:11" ht="30" customHeight="1" x14ac:dyDescent="0.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 t="s">
        <v>21</v>
      </c>
      <c r="K2" s="7" t="s">
        <v>22</v>
      </c>
    </row>
    <row r="3" spans="1:11" ht="15" customHeight="1" x14ac:dyDescent="0.2">
      <c r="A3" s="8">
        <v>46190</v>
      </c>
      <c r="B3" s="9" t="s">
        <v>23</v>
      </c>
      <c r="C3" s="9" t="s">
        <v>24</v>
      </c>
      <c r="D3" s="10" t="s">
        <v>25</v>
      </c>
      <c r="E3" s="10">
        <v>65</v>
      </c>
      <c r="F3" s="10">
        <v>97</v>
      </c>
      <c r="G3" s="10" t="s">
        <v>26</v>
      </c>
      <c r="H3" s="9" t="s">
        <v>27</v>
      </c>
      <c r="I3" s="10"/>
      <c r="J3" s="11">
        <f t="shared" ref="J3:J66" si="0">IF(A3="","",A3+ROW()/10000000)</f>
        <v>46190.000000300002</v>
      </c>
      <c r="K3" s="12">
        <f>IF(J3="","",COUNTIF($J$3:$J$501,"&lt;"&amp;J3)+COUNTIF('Tournament Log'!$N$4:$N$203,"&lt;"&amp;J3)+COUNTIF('Guest Log'!$K$4:$K$203,"&lt;"&amp;J3)+1)</f>
        <v>1</v>
      </c>
    </row>
    <row r="4" spans="1:11" ht="15" customHeight="1" x14ac:dyDescent="0.2">
      <c r="A4" s="8">
        <v>46193</v>
      </c>
      <c r="B4" s="9" t="s">
        <v>23</v>
      </c>
      <c r="C4" s="9" t="s">
        <v>24</v>
      </c>
      <c r="D4" s="10" t="s">
        <v>28</v>
      </c>
      <c r="E4" s="10">
        <v>91</v>
      </c>
      <c r="F4" s="10">
        <v>80</v>
      </c>
      <c r="G4" s="10" t="s">
        <v>26</v>
      </c>
      <c r="H4" s="9" t="s">
        <v>27</v>
      </c>
      <c r="I4" s="10"/>
      <c r="J4" s="11">
        <f t="shared" si="0"/>
        <v>46193.000000400003</v>
      </c>
      <c r="K4" s="12">
        <f>IF(J4="","",COUNTIF($J$3:$J$501,"&lt;"&amp;J4)+COUNTIF('Tournament Log'!$N$4:$N$203,"&lt;"&amp;J4)+COUNTIF('Guest Log'!$K$4:$K$203,"&lt;"&amp;J4)+1)</f>
        <v>2</v>
      </c>
    </row>
    <row r="5" spans="1:11" ht="15" customHeight="1" x14ac:dyDescent="0.2">
      <c r="A5" s="8">
        <v>46193</v>
      </c>
      <c r="B5" s="9" t="s">
        <v>23</v>
      </c>
      <c r="C5" s="9" t="s">
        <v>29</v>
      </c>
      <c r="D5" s="10" t="s">
        <v>25</v>
      </c>
      <c r="E5" s="10">
        <v>77</v>
      </c>
      <c r="F5" s="10">
        <v>88</v>
      </c>
      <c r="G5" s="10" t="s">
        <v>26</v>
      </c>
      <c r="H5" s="9" t="s">
        <v>30</v>
      </c>
      <c r="I5" s="10"/>
      <c r="J5" s="11">
        <f t="shared" si="0"/>
        <v>46193.000000499997</v>
      </c>
      <c r="K5" s="12">
        <f>IF(J5="","",COUNTIF($J$3:$J$501,"&lt;"&amp;J5)+COUNTIF('Tournament Log'!$N$4:$N$203,"&lt;"&amp;J5)+COUNTIF('Guest Log'!$K$4:$K$203,"&lt;"&amp;J5)+1)</f>
        <v>3</v>
      </c>
    </row>
    <row r="6" spans="1:11" ht="15" customHeight="1" x14ac:dyDescent="0.2">
      <c r="A6" s="8">
        <v>46193</v>
      </c>
      <c r="B6" s="9" t="s">
        <v>31</v>
      </c>
      <c r="C6" s="9" t="s">
        <v>24</v>
      </c>
      <c r="D6" s="10" t="s">
        <v>28</v>
      </c>
      <c r="E6" s="10">
        <v>91</v>
      </c>
      <c r="F6" s="10">
        <v>69</v>
      </c>
      <c r="G6" s="10" t="s">
        <v>32</v>
      </c>
      <c r="H6" s="9" t="s">
        <v>27</v>
      </c>
      <c r="I6" s="10"/>
      <c r="J6" s="11">
        <f t="shared" si="0"/>
        <v>46193.000000599997</v>
      </c>
      <c r="K6" s="12">
        <f>IF(J6="","",COUNTIF($J$3:$J$501,"&lt;"&amp;J6)+COUNTIF('Tournament Log'!$N$4:$N$203,"&lt;"&amp;J6)+COUNTIF('Guest Log'!$K$4:$K$203,"&lt;"&amp;J6)+1)</f>
        <v>4</v>
      </c>
    </row>
    <row r="7" spans="1:11" ht="15" customHeight="1" x14ac:dyDescent="0.2">
      <c r="A7" s="13">
        <v>46195</v>
      </c>
      <c r="B7" s="9" t="s">
        <v>33</v>
      </c>
      <c r="C7" s="9" t="s">
        <v>24</v>
      </c>
      <c r="D7" s="10" t="s">
        <v>25</v>
      </c>
      <c r="E7" s="10">
        <v>69</v>
      </c>
      <c r="F7" s="10">
        <v>70</v>
      </c>
      <c r="G7" s="10" t="s">
        <v>34</v>
      </c>
      <c r="H7" s="9" t="s">
        <v>27</v>
      </c>
      <c r="I7" s="10"/>
      <c r="J7" s="11">
        <f t="shared" si="0"/>
        <v>46195.000000699998</v>
      </c>
      <c r="K7" s="12">
        <f>IF(J7="","",COUNTIF($J$3:$J$501,"&lt;"&amp;J7)+COUNTIF('Tournament Log'!$N$4:$N$203,"&lt;"&amp;J7)+COUNTIF('Guest Log'!$K$4:$K$203,"&lt;"&amp;J7)+1)</f>
        <v>5</v>
      </c>
    </row>
    <row r="8" spans="1:11" ht="15" customHeight="1" x14ac:dyDescent="0.2">
      <c r="A8" s="13">
        <v>46196</v>
      </c>
      <c r="B8" s="9" t="s">
        <v>23</v>
      </c>
      <c r="C8" s="9" t="s">
        <v>24</v>
      </c>
      <c r="D8" s="10" t="s">
        <v>25</v>
      </c>
      <c r="E8" s="10">
        <v>77</v>
      </c>
      <c r="F8" s="10">
        <v>85</v>
      </c>
      <c r="G8" s="10" t="s">
        <v>26</v>
      </c>
      <c r="H8" s="9" t="s">
        <v>27</v>
      </c>
      <c r="I8" s="10"/>
      <c r="J8" s="11">
        <f t="shared" si="0"/>
        <v>46196.000000799999</v>
      </c>
      <c r="K8" s="12">
        <f>IF(J8="","",COUNTIF($J$3:$J$501,"&lt;"&amp;J8)+COUNTIF('Tournament Log'!$N$4:$N$203,"&lt;"&amp;J8)+COUNTIF('Guest Log'!$K$4:$K$203,"&lt;"&amp;J8)+1)</f>
        <v>6</v>
      </c>
    </row>
    <row r="9" spans="1:11" ht="15" customHeight="1" x14ac:dyDescent="0.2">
      <c r="A9" s="13">
        <v>46202</v>
      </c>
      <c r="B9" s="9" t="s">
        <v>35</v>
      </c>
      <c r="C9" s="9" t="s">
        <v>33</v>
      </c>
      <c r="D9" s="10" t="s">
        <v>28</v>
      </c>
      <c r="E9" s="10">
        <v>93</v>
      </c>
      <c r="F9" s="10">
        <v>37</v>
      </c>
      <c r="G9" s="10" t="s">
        <v>36</v>
      </c>
      <c r="H9" s="9" t="s">
        <v>34</v>
      </c>
      <c r="I9" s="10"/>
      <c r="J9" s="11">
        <f t="shared" si="0"/>
        <v>46202.0000009</v>
      </c>
      <c r="K9" s="12">
        <f>IF(J9="","",COUNTIF($J$3:$J$501,"&lt;"&amp;J9)+COUNTIF('Tournament Log'!$N$4:$N$203,"&lt;"&amp;J9)+COUNTIF('Guest Log'!$K$4:$K$203,"&lt;"&amp;J9)+1)</f>
        <v>10</v>
      </c>
    </row>
    <row r="10" spans="1:11" ht="15" customHeight="1" x14ac:dyDescent="0.2">
      <c r="A10" s="13">
        <v>46203</v>
      </c>
      <c r="B10" s="9" t="s">
        <v>23</v>
      </c>
      <c r="C10" s="9" t="s">
        <v>24</v>
      </c>
      <c r="D10" s="10" t="s">
        <v>25</v>
      </c>
      <c r="E10" s="10">
        <v>59</v>
      </c>
      <c r="F10" s="10">
        <v>86</v>
      </c>
      <c r="G10" s="10" t="s">
        <v>26</v>
      </c>
      <c r="H10" s="9" t="s">
        <v>27</v>
      </c>
      <c r="I10" s="10"/>
      <c r="J10" s="11">
        <f t="shared" si="0"/>
        <v>46203.000001</v>
      </c>
      <c r="K10" s="12">
        <f>IF(J10="","",COUNTIF($J$3:$J$501,"&lt;"&amp;J10)+COUNTIF('Tournament Log'!$N$4:$N$203,"&lt;"&amp;J10)+COUNTIF('Guest Log'!$K$4:$K$203,"&lt;"&amp;J10)+1)</f>
        <v>11</v>
      </c>
    </row>
    <row r="11" spans="1:11" ht="15" customHeight="1" x14ac:dyDescent="0.2">
      <c r="A11" s="13">
        <v>46204</v>
      </c>
      <c r="B11" s="9" t="s">
        <v>31</v>
      </c>
      <c r="C11" s="9" t="s">
        <v>24</v>
      </c>
      <c r="D11" s="10" t="s">
        <v>28</v>
      </c>
      <c r="E11" s="10">
        <v>97</v>
      </c>
      <c r="F11" s="10">
        <v>78</v>
      </c>
      <c r="G11" s="10" t="s">
        <v>32</v>
      </c>
      <c r="H11" s="9" t="s">
        <v>27</v>
      </c>
      <c r="I11" s="10"/>
      <c r="J11" s="11">
        <f t="shared" si="0"/>
        <v>46204.000001100001</v>
      </c>
      <c r="K11" s="12">
        <f>IF(J11="","",COUNTIF($J$3:$J$501,"&lt;"&amp;J11)+COUNTIF('Tournament Log'!$N$4:$N$203,"&lt;"&amp;J11)+COUNTIF('Guest Log'!$K$4:$K$203,"&lt;"&amp;J11)+1)</f>
        <v>12</v>
      </c>
    </row>
    <row r="12" spans="1:11" ht="15" customHeight="1" x14ac:dyDescent="0.2">
      <c r="A12" s="13">
        <v>46205</v>
      </c>
      <c r="B12" s="9" t="s">
        <v>23</v>
      </c>
      <c r="C12" s="9" t="s">
        <v>33</v>
      </c>
      <c r="D12" s="10" t="s">
        <v>28</v>
      </c>
      <c r="E12" s="10">
        <v>86</v>
      </c>
      <c r="F12" s="10">
        <v>69</v>
      </c>
      <c r="G12" s="10" t="s">
        <v>26</v>
      </c>
      <c r="H12" s="9" t="s">
        <v>34</v>
      </c>
      <c r="I12" s="10"/>
      <c r="J12" s="11">
        <f t="shared" si="0"/>
        <v>46205.000001200002</v>
      </c>
      <c r="K12" s="12">
        <f>IF(J12="","",COUNTIF($J$3:$J$501,"&lt;"&amp;J12)+COUNTIF('Tournament Log'!$N$4:$N$203,"&lt;"&amp;J12)+COUNTIF('Guest Log'!$K$4:$K$203,"&lt;"&amp;J12)+1)</f>
        <v>13</v>
      </c>
    </row>
    <row r="13" spans="1:11" ht="15" customHeight="1" x14ac:dyDescent="0.2">
      <c r="A13" s="13">
        <v>46209</v>
      </c>
      <c r="B13" s="9" t="s">
        <v>24</v>
      </c>
      <c r="C13" s="9" t="s">
        <v>29</v>
      </c>
      <c r="D13" s="10" t="s">
        <v>25</v>
      </c>
      <c r="E13" s="10">
        <v>90</v>
      </c>
      <c r="F13" s="10">
        <v>94</v>
      </c>
      <c r="G13" s="10" t="s">
        <v>27</v>
      </c>
      <c r="H13" s="9" t="s">
        <v>37</v>
      </c>
      <c r="I13" s="10"/>
      <c r="J13" s="11">
        <f t="shared" si="0"/>
        <v>46209.000001300003</v>
      </c>
      <c r="K13" s="12">
        <f>IF(J13="","",COUNTIF($J$3:$J$501,"&lt;"&amp;J13)+COUNTIF('Tournament Log'!$N$4:$N$203,"&lt;"&amp;J13)+COUNTIF('Guest Log'!$K$4:$K$203,"&lt;"&amp;J13)+1)</f>
        <v>14</v>
      </c>
    </row>
    <row r="14" spans="1:11" ht="15" customHeight="1" x14ac:dyDescent="0.2">
      <c r="A14" s="14">
        <v>46210</v>
      </c>
      <c r="B14" s="9" t="s">
        <v>23</v>
      </c>
      <c r="C14" s="9" t="s">
        <v>24</v>
      </c>
      <c r="D14" s="10" t="s">
        <v>25</v>
      </c>
      <c r="E14" s="10">
        <v>74</v>
      </c>
      <c r="F14" s="10">
        <v>81</v>
      </c>
      <c r="G14" s="10" t="s">
        <v>26</v>
      </c>
      <c r="H14" s="9" t="s">
        <v>27</v>
      </c>
      <c r="I14" s="10"/>
      <c r="J14" s="11">
        <f t="shared" si="0"/>
        <v>46210.000001400003</v>
      </c>
      <c r="K14" s="12">
        <f>IF(J14="","",COUNTIF($J$3:$J$501,"&lt;"&amp;J14)+COUNTIF('Tournament Log'!$N$4:$N$203,"&lt;"&amp;J14)+COUNTIF('Guest Log'!$K$4:$K$203,"&lt;"&amp;J14)+1)</f>
        <v>15</v>
      </c>
    </row>
    <row r="15" spans="1:11" ht="15" customHeight="1" x14ac:dyDescent="0.2">
      <c r="A15" s="13">
        <v>46212</v>
      </c>
      <c r="B15" s="9" t="s">
        <v>31</v>
      </c>
      <c r="C15" s="9" t="s">
        <v>38</v>
      </c>
      <c r="D15" s="10" t="s">
        <v>28</v>
      </c>
      <c r="E15" s="10">
        <v>95</v>
      </c>
      <c r="F15" s="10">
        <v>75</v>
      </c>
      <c r="G15" s="10" t="s">
        <v>32</v>
      </c>
      <c r="H15" s="9" t="s">
        <v>39</v>
      </c>
      <c r="I15" s="10"/>
      <c r="J15" s="11">
        <f t="shared" si="0"/>
        <v>46212.000001499997</v>
      </c>
      <c r="K15" s="12">
        <f>IF(J15="","",COUNTIF($J$3:$J$501,"&lt;"&amp;J15)+COUNTIF('Tournament Log'!$N$4:$N$203,"&lt;"&amp;J15)+COUNTIF('Guest Log'!$K$4:$K$203,"&lt;"&amp;J15)+1)</f>
        <v>16</v>
      </c>
    </row>
    <row r="16" spans="1:11" ht="15" customHeight="1" x14ac:dyDescent="0.2">
      <c r="A16" s="13">
        <v>46221</v>
      </c>
      <c r="B16" s="9" t="s">
        <v>40</v>
      </c>
      <c r="C16" s="9" t="s">
        <v>24</v>
      </c>
      <c r="D16" s="10" t="s">
        <v>28</v>
      </c>
      <c r="E16" s="10">
        <v>87</v>
      </c>
      <c r="F16" s="10">
        <v>81</v>
      </c>
      <c r="G16" s="10" t="s">
        <v>41</v>
      </c>
      <c r="H16" s="9" t="s">
        <v>27</v>
      </c>
      <c r="I16" s="10"/>
      <c r="J16" s="11">
        <f t="shared" si="0"/>
        <v>46221.000001599998</v>
      </c>
      <c r="K16" s="12">
        <f>IF(J16="","",COUNTIF($J$3:$J$501,"&lt;"&amp;J16)+COUNTIF('Tournament Log'!$N$4:$N$203,"&lt;"&amp;J16)+COUNTIF('Guest Log'!$K$4:$K$203,"&lt;"&amp;J16)+1)</f>
        <v>17</v>
      </c>
    </row>
    <row r="17" spans="1:11" ht="15" customHeight="1" x14ac:dyDescent="0.2">
      <c r="A17" s="13">
        <v>46223</v>
      </c>
      <c r="B17" s="9" t="s">
        <v>33</v>
      </c>
      <c r="C17" s="9" t="s">
        <v>24</v>
      </c>
      <c r="D17" s="10" t="s">
        <v>28</v>
      </c>
      <c r="E17" s="10">
        <v>90</v>
      </c>
      <c r="F17" s="10">
        <v>66</v>
      </c>
      <c r="G17" s="10" t="s">
        <v>34</v>
      </c>
      <c r="H17" s="9" t="s">
        <v>27</v>
      </c>
      <c r="I17" s="10"/>
      <c r="J17" s="11">
        <f t="shared" si="0"/>
        <v>46223.000001699998</v>
      </c>
      <c r="K17" s="12">
        <f>IF(J17="","",COUNTIF($J$3:$J$501,"&lt;"&amp;J17)+COUNTIF('Tournament Log'!$N$4:$N$203,"&lt;"&amp;J17)+COUNTIF('Guest Log'!$K$4:$K$203,"&lt;"&amp;J17)+1)</f>
        <v>18</v>
      </c>
    </row>
    <row r="18" spans="1:11" ht="15" customHeight="1" x14ac:dyDescent="0.2">
      <c r="A18" s="13">
        <v>46224</v>
      </c>
      <c r="B18" s="9" t="s">
        <v>23</v>
      </c>
      <c r="C18" s="9" t="s">
        <v>24</v>
      </c>
      <c r="D18" s="10" t="s">
        <v>28</v>
      </c>
      <c r="E18" s="10">
        <v>100</v>
      </c>
      <c r="F18" s="10">
        <v>95</v>
      </c>
      <c r="G18" s="10" t="s">
        <v>26</v>
      </c>
      <c r="H18" s="9" t="s">
        <v>27</v>
      </c>
      <c r="I18" s="10"/>
      <c r="J18" s="11">
        <f t="shared" si="0"/>
        <v>46224.000001799999</v>
      </c>
      <c r="K18" s="12">
        <f>IF(J18="","",COUNTIF($J$3:$J$501,"&lt;"&amp;J18)+COUNTIF('Tournament Log'!$N$4:$N$203,"&lt;"&amp;J18)+COUNTIF('Guest Log'!$K$4:$K$203,"&lt;"&amp;J18)+1)</f>
        <v>19</v>
      </c>
    </row>
    <row r="19" spans="1:11" ht="15" customHeight="1" x14ac:dyDescent="0.2">
      <c r="A19" s="13">
        <v>46225</v>
      </c>
      <c r="B19" s="9" t="s">
        <v>42</v>
      </c>
      <c r="C19" s="9" t="s">
        <v>43</v>
      </c>
      <c r="D19" s="10" t="s">
        <v>28</v>
      </c>
      <c r="E19" s="10">
        <v>58</v>
      </c>
      <c r="F19" s="10">
        <v>37</v>
      </c>
      <c r="G19" s="10" t="s">
        <v>44</v>
      </c>
      <c r="H19" s="9" t="s">
        <v>45</v>
      </c>
      <c r="I19" s="10"/>
      <c r="J19" s="11">
        <f t="shared" si="0"/>
        <v>46225.0000019</v>
      </c>
      <c r="K19" s="12">
        <f>IF(J19="","",COUNTIF($J$3:$J$501,"&lt;"&amp;J19)+COUNTIF('Tournament Log'!$N$4:$N$203,"&lt;"&amp;J19)+COUNTIF('Guest Log'!$K$4:$K$203,"&lt;"&amp;J19)+1)</f>
        <v>20</v>
      </c>
    </row>
    <row r="20" spans="1:11" ht="15" customHeight="1" x14ac:dyDescent="0.2">
      <c r="A20" s="13">
        <v>46225</v>
      </c>
      <c r="B20" s="9" t="s">
        <v>31</v>
      </c>
      <c r="C20" s="9" t="s">
        <v>24</v>
      </c>
      <c r="D20" s="10" t="s">
        <v>46</v>
      </c>
      <c r="E20" s="10">
        <v>97</v>
      </c>
      <c r="F20" s="10">
        <v>97</v>
      </c>
      <c r="G20" s="10" t="s">
        <v>32</v>
      </c>
      <c r="H20" s="9" t="s">
        <v>27</v>
      </c>
      <c r="I20" s="10"/>
      <c r="J20" s="11">
        <f t="shared" si="0"/>
        <v>46225.000002000001</v>
      </c>
      <c r="K20" s="12">
        <f>IF(J20="","",COUNTIF($J$3:$J$501,"&lt;"&amp;J20)+COUNTIF('Tournament Log'!$N$4:$N$203,"&lt;"&amp;J20)+COUNTIF('Guest Log'!$K$4:$K$203,"&lt;"&amp;J20)+1)</f>
        <v>21</v>
      </c>
    </row>
    <row r="21" spans="1:11" ht="15" customHeight="1" x14ac:dyDescent="0.2">
      <c r="A21" s="13">
        <v>46227</v>
      </c>
      <c r="B21" s="9" t="s">
        <v>47</v>
      </c>
      <c r="C21" s="9" t="s">
        <v>43</v>
      </c>
      <c r="D21" s="10" t="s">
        <v>28</v>
      </c>
      <c r="E21" s="10">
        <v>40</v>
      </c>
      <c r="F21" s="10">
        <v>32</v>
      </c>
      <c r="G21" s="10" t="s">
        <v>48</v>
      </c>
      <c r="H21" s="9" t="s">
        <v>45</v>
      </c>
      <c r="I21" s="10"/>
      <c r="J21" s="11">
        <f t="shared" si="0"/>
        <v>46227.000002100001</v>
      </c>
      <c r="K21" s="12">
        <f>IF(J21="","",COUNTIF($J$3:$J$501,"&lt;"&amp;J21)+COUNTIF('Tournament Log'!$N$4:$N$203,"&lt;"&amp;J21)+COUNTIF('Guest Log'!$K$4:$K$203,"&lt;"&amp;J21)+1)</f>
        <v>22</v>
      </c>
    </row>
    <row r="22" spans="1:11" ht="15" customHeight="1" x14ac:dyDescent="0.2">
      <c r="A22" s="13">
        <v>46231</v>
      </c>
      <c r="B22" s="9" t="s">
        <v>23</v>
      </c>
      <c r="C22" s="9" t="s">
        <v>29</v>
      </c>
      <c r="D22" s="10" t="s">
        <v>28</v>
      </c>
      <c r="E22" s="10">
        <v>95</v>
      </c>
      <c r="F22" s="10">
        <v>87</v>
      </c>
      <c r="G22" s="10" t="s">
        <v>26</v>
      </c>
      <c r="H22" s="9" t="s">
        <v>30</v>
      </c>
      <c r="I22" s="10"/>
      <c r="J22" s="11">
        <f t="shared" si="0"/>
        <v>46231.000002200002</v>
      </c>
      <c r="K22" s="12">
        <f>IF(J22="","",COUNTIF($J$3:$J$501,"&lt;"&amp;J22)+COUNTIF('Tournament Log'!$N$4:$N$203,"&lt;"&amp;J22)+COUNTIF('Guest Log'!$K$4:$K$203,"&lt;"&amp;J22)+1)</f>
        <v>23</v>
      </c>
    </row>
    <row r="23" spans="1:11" ht="15" customHeight="1" x14ac:dyDescent="0.2">
      <c r="A23" s="13">
        <v>46237</v>
      </c>
      <c r="B23" s="9" t="s">
        <v>23</v>
      </c>
      <c r="C23" s="9" t="s">
        <v>24</v>
      </c>
      <c r="D23" s="10" t="s">
        <v>28</v>
      </c>
      <c r="E23" s="10">
        <v>87</v>
      </c>
      <c r="F23" s="10">
        <v>73</v>
      </c>
      <c r="G23" s="10" t="s">
        <v>26</v>
      </c>
      <c r="H23" s="9" t="s">
        <v>27</v>
      </c>
      <c r="I23" s="10"/>
      <c r="J23" s="11">
        <f t="shared" si="0"/>
        <v>46237.000002300003</v>
      </c>
      <c r="K23" s="12">
        <f>IF(J23="","",COUNTIF($J$3:$J$501,"&lt;"&amp;J23)+COUNTIF('Tournament Log'!$N$4:$N$203,"&lt;"&amp;J23)+COUNTIF('Guest Log'!$K$4:$K$203,"&lt;"&amp;J23)+1)</f>
        <v>24</v>
      </c>
    </row>
    <row r="24" spans="1:11" ht="15" customHeight="1" x14ac:dyDescent="0.2">
      <c r="A24" s="13">
        <v>46239</v>
      </c>
      <c r="B24" s="9" t="s">
        <v>31</v>
      </c>
      <c r="C24" s="9" t="s">
        <v>43</v>
      </c>
      <c r="D24" s="10" t="s">
        <v>28</v>
      </c>
      <c r="E24" s="10">
        <v>96</v>
      </c>
      <c r="F24" s="10">
        <v>66</v>
      </c>
      <c r="G24" s="10" t="s">
        <v>32</v>
      </c>
      <c r="H24" s="9" t="s">
        <v>45</v>
      </c>
      <c r="I24" s="10"/>
      <c r="J24" s="11">
        <f t="shared" si="0"/>
        <v>46239.000002399996</v>
      </c>
      <c r="K24" s="12">
        <f>IF(J24="","",COUNTIF($J$3:$J$501,"&lt;"&amp;J24)+COUNTIF('Tournament Log'!$N$4:$N$203,"&lt;"&amp;J24)+COUNTIF('Guest Log'!$K$4:$K$203,"&lt;"&amp;J24)+1)</f>
        <v>25</v>
      </c>
    </row>
    <row r="25" spans="1:11" ht="15" customHeight="1" x14ac:dyDescent="0.2">
      <c r="A25" s="14">
        <v>46273</v>
      </c>
      <c r="B25" s="9" t="s">
        <v>24</v>
      </c>
      <c r="C25" s="9" t="s">
        <v>29</v>
      </c>
      <c r="D25" s="10" t="s">
        <v>28</v>
      </c>
      <c r="E25" s="10">
        <v>92</v>
      </c>
      <c r="F25" s="10">
        <v>62</v>
      </c>
      <c r="G25" s="10" t="s">
        <v>27</v>
      </c>
      <c r="H25" s="9" t="s">
        <v>49</v>
      </c>
      <c r="I25" s="10"/>
      <c r="J25" s="11">
        <f t="shared" si="0"/>
        <v>46273.000002499997</v>
      </c>
      <c r="K25" s="12">
        <f>IF(J25="","",COUNTIF($J$3:$J$501,"&lt;"&amp;J25)+COUNTIF('Tournament Log'!$N$4:$N$203,"&lt;"&amp;J25)+COUNTIF('Guest Log'!$K$4:$K$203,"&lt;"&amp;J25)+1)</f>
        <v>26</v>
      </c>
    </row>
    <row r="26" spans="1:11" ht="15" customHeight="1" x14ac:dyDescent="0.2">
      <c r="A26" s="14">
        <v>46334</v>
      </c>
      <c r="B26" s="9" t="s">
        <v>24</v>
      </c>
      <c r="C26" s="9" t="s">
        <v>38</v>
      </c>
      <c r="D26" s="10" t="s">
        <v>28</v>
      </c>
      <c r="E26" s="10">
        <v>99</v>
      </c>
      <c r="F26" s="10">
        <v>55</v>
      </c>
      <c r="G26" s="10" t="s">
        <v>27</v>
      </c>
      <c r="H26" s="9" t="s">
        <v>39</v>
      </c>
      <c r="I26" s="10"/>
      <c r="J26" s="11">
        <f t="shared" si="0"/>
        <v>46334.000002599998</v>
      </c>
      <c r="K26" s="12">
        <f>IF(J26="","",COUNTIF($J$3:$J$501,"&lt;"&amp;J26)+COUNTIF('Tournament Log'!$N$4:$N$203,"&lt;"&amp;J26)+COUNTIF('Guest Log'!$K$4:$K$203,"&lt;"&amp;J26)+1)</f>
        <v>27</v>
      </c>
    </row>
    <row r="27" spans="1:11" ht="15" customHeight="1" x14ac:dyDescent="0.2">
      <c r="A27" s="14">
        <v>46334</v>
      </c>
      <c r="B27" s="9" t="s">
        <v>35</v>
      </c>
      <c r="C27" s="9" t="s">
        <v>29</v>
      </c>
      <c r="D27" s="10" t="s">
        <v>25</v>
      </c>
      <c r="E27" s="10">
        <v>73</v>
      </c>
      <c r="F27" s="10">
        <v>93</v>
      </c>
      <c r="G27" s="10" t="s">
        <v>50</v>
      </c>
      <c r="H27" s="9" t="s">
        <v>49</v>
      </c>
      <c r="I27" s="10"/>
      <c r="J27" s="11">
        <f t="shared" si="0"/>
        <v>46334.000002699999</v>
      </c>
      <c r="K27" s="12">
        <f>IF(J27="","",COUNTIF($J$3:$J$501,"&lt;"&amp;J27)+COUNTIF('Tournament Log'!$N$4:$N$203,"&lt;"&amp;J27)+COUNTIF('Guest Log'!$K$4:$K$203,"&lt;"&amp;J27)+1)</f>
        <v>28</v>
      </c>
    </row>
    <row r="28" spans="1:11" ht="15" customHeight="1" x14ac:dyDescent="0.2">
      <c r="A28" s="14">
        <v>46364</v>
      </c>
      <c r="B28" s="9" t="s">
        <v>31</v>
      </c>
      <c r="C28" s="9" t="s">
        <v>33</v>
      </c>
      <c r="D28" s="10" t="s">
        <v>28</v>
      </c>
      <c r="E28" s="10">
        <v>83</v>
      </c>
      <c r="F28" s="10">
        <v>82</v>
      </c>
      <c r="G28" s="10" t="s">
        <v>32</v>
      </c>
      <c r="H28" s="9" t="s">
        <v>34</v>
      </c>
      <c r="I28" s="10"/>
      <c r="J28" s="11">
        <f t="shared" si="0"/>
        <v>46364.000002799999</v>
      </c>
      <c r="K28" s="12">
        <f>IF(J28="","",COUNTIF($J$3:$J$501,"&lt;"&amp;J28)+COUNTIF('Tournament Log'!$N$4:$N$203,"&lt;"&amp;J28)+COUNTIF('Guest Log'!$K$4:$K$203,"&lt;"&amp;J28)+1)</f>
        <v>29</v>
      </c>
    </row>
    <row r="29" spans="1:11" ht="15" customHeight="1" x14ac:dyDescent="0.2">
      <c r="A29" s="9"/>
      <c r="B29" s="9"/>
      <c r="C29" s="9"/>
      <c r="D29" s="10"/>
      <c r="E29" s="10"/>
      <c r="F29" s="10"/>
      <c r="G29" s="10"/>
      <c r="H29" s="9"/>
      <c r="I29" s="10"/>
      <c r="J29" s="12" t="str">
        <f t="shared" si="0"/>
        <v/>
      </c>
      <c r="K29" s="12" t="str">
        <f>IF(J29="","",COUNTIF($J$3:$J$501,"&lt;"&amp;J29)+COUNTIF('Tournament Log'!$N$4:$N$203,"&lt;"&amp;J29)+COUNTIF('Guest Log'!$K$4:$K$203,"&lt;"&amp;J29)+1)</f>
        <v/>
      </c>
    </row>
    <row r="30" spans="1:11" ht="15" customHeight="1" x14ac:dyDescent="0.2">
      <c r="A30" s="9"/>
      <c r="B30" s="9"/>
      <c r="C30" s="9"/>
      <c r="D30" s="10"/>
      <c r="E30" s="10"/>
      <c r="F30" s="10"/>
      <c r="G30" s="10"/>
      <c r="H30" s="9"/>
      <c r="I30" s="10"/>
      <c r="J30" s="12" t="str">
        <f t="shared" si="0"/>
        <v/>
      </c>
      <c r="K30" s="12" t="str">
        <f>IF(J30="","",COUNTIF($J$3:$J$501,"&lt;"&amp;J30)+COUNTIF('Tournament Log'!$N$4:$N$203,"&lt;"&amp;J30)+COUNTIF('Guest Log'!$K$4:$K$203,"&lt;"&amp;J30)+1)</f>
        <v/>
      </c>
    </row>
    <row r="31" spans="1:11" ht="15" customHeight="1" x14ac:dyDescent="0.2">
      <c r="A31" s="9"/>
      <c r="B31" s="9"/>
      <c r="C31" s="9"/>
      <c r="D31" s="10"/>
      <c r="E31" s="10"/>
      <c r="F31" s="10"/>
      <c r="G31" s="10"/>
      <c r="H31" s="9"/>
      <c r="I31" s="10"/>
      <c r="J31" s="12" t="str">
        <f t="shared" si="0"/>
        <v/>
      </c>
      <c r="K31" s="12" t="str">
        <f>IF(J31="","",COUNTIF($J$3:$J$501,"&lt;"&amp;J31)+COUNTIF('Tournament Log'!$N$4:$N$203,"&lt;"&amp;J31)+COUNTIF('Guest Log'!$K$4:$K$203,"&lt;"&amp;J31)+1)</f>
        <v/>
      </c>
    </row>
    <row r="32" spans="1:11" ht="15" customHeight="1" x14ac:dyDescent="0.2">
      <c r="A32" s="9"/>
      <c r="B32" s="9"/>
      <c r="C32" s="9"/>
      <c r="D32" s="10"/>
      <c r="E32" s="10"/>
      <c r="F32" s="10"/>
      <c r="G32" s="10"/>
      <c r="H32" s="9"/>
      <c r="I32" s="10"/>
      <c r="J32" s="12" t="str">
        <f t="shared" si="0"/>
        <v/>
      </c>
      <c r="K32" s="12" t="str">
        <f>IF(J32="","",COUNTIF($J$3:$J$501,"&lt;"&amp;J32)+COUNTIF('Tournament Log'!$N$4:$N$203,"&lt;"&amp;J32)+COUNTIF('Guest Log'!$K$4:$K$203,"&lt;"&amp;J32)+1)</f>
        <v/>
      </c>
    </row>
    <row r="33" spans="1:11" ht="15" customHeight="1" x14ac:dyDescent="0.2">
      <c r="A33" s="9"/>
      <c r="B33" s="9"/>
      <c r="C33" s="9"/>
      <c r="D33" s="10"/>
      <c r="E33" s="10"/>
      <c r="F33" s="10"/>
      <c r="G33" s="10"/>
      <c r="H33" s="9"/>
      <c r="I33" s="10"/>
      <c r="J33" s="12" t="str">
        <f t="shared" si="0"/>
        <v/>
      </c>
      <c r="K33" s="12" t="str">
        <f>IF(J33="","",COUNTIF($J$3:$J$501,"&lt;"&amp;J33)+COUNTIF('Tournament Log'!$N$4:$N$203,"&lt;"&amp;J33)+COUNTIF('Guest Log'!$K$4:$K$203,"&lt;"&amp;J33)+1)</f>
        <v/>
      </c>
    </row>
    <row r="34" spans="1:11" ht="15" customHeight="1" x14ac:dyDescent="0.2">
      <c r="A34" s="9"/>
      <c r="B34" s="9"/>
      <c r="C34" s="9"/>
      <c r="D34" s="10"/>
      <c r="E34" s="10"/>
      <c r="F34" s="10"/>
      <c r="G34" s="10"/>
      <c r="H34" s="9"/>
      <c r="I34" s="10"/>
      <c r="J34" s="12" t="str">
        <f t="shared" si="0"/>
        <v/>
      </c>
      <c r="K34" s="12" t="str">
        <f>IF(J34="","",COUNTIF($J$3:$J$501,"&lt;"&amp;J34)+COUNTIF('Tournament Log'!$N$4:$N$203,"&lt;"&amp;J34)+COUNTIF('Guest Log'!$K$4:$K$203,"&lt;"&amp;J34)+1)</f>
        <v/>
      </c>
    </row>
    <row r="35" spans="1:11" ht="15" customHeight="1" x14ac:dyDescent="0.2">
      <c r="A35" s="9"/>
      <c r="B35" s="9"/>
      <c r="C35" s="9"/>
      <c r="D35" s="10"/>
      <c r="E35" s="10"/>
      <c r="F35" s="10"/>
      <c r="G35" s="10"/>
      <c r="H35" s="9"/>
      <c r="I35" s="10"/>
      <c r="J35" s="12" t="str">
        <f t="shared" si="0"/>
        <v/>
      </c>
      <c r="K35" s="12" t="str">
        <f>IF(J35="","",COUNTIF($J$3:$J$501,"&lt;"&amp;J35)+COUNTIF('Tournament Log'!$N$4:$N$203,"&lt;"&amp;J35)+COUNTIF('Guest Log'!$K$4:$K$203,"&lt;"&amp;J35)+1)</f>
        <v/>
      </c>
    </row>
    <row r="36" spans="1:11" ht="15" customHeight="1" x14ac:dyDescent="0.2">
      <c r="A36" s="9"/>
      <c r="B36" s="9"/>
      <c r="C36" s="9"/>
      <c r="D36" s="10"/>
      <c r="E36" s="10"/>
      <c r="F36" s="10"/>
      <c r="G36" s="10"/>
      <c r="H36" s="9"/>
      <c r="I36" s="10"/>
      <c r="J36" s="12" t="str">
        <f t="shared" si="0"/>
        <v/>
      </c>
      <c r="K36" s="12" t="str">
        <f>IF(J36="","",COUNTIF($J$3:$J$501,"&lt;"&amp;J36)+COUNTIF('Tournament Log'!$N$4:$N$203,"&lt;"&amp;J36)+COUNTIF('Guest Log'!$K$4:$K$203,"&lt;"&amp;J36)+1)</f>
        <v/>
      </c>
    </row>
    <row r="37" spans="1:11" ht="15" customHeight="1" x14ac:dyDescent="0.2">
      <c r="A37" s="9"/>
      <c r="B37" s="9"/>
      <c r="C37" s="9"/>
      <c r="D37" s="10"/>
      <c r="E37" s="10"/>
      <c r="F37" s="10"/>
      <c r="G37" s="10"/>
      <c r="H37" s="9"/>
      <c r="I37" s="10"/>
      <c r="J37" s="12" t="str">
        <f t="shared" si="0"/>
        <v/>
      </c>
      <c r="K37" s="12" t="str">
        <f>IF(J37="","",COUNTIF($J$3:$J$501,"&lt;"&amp;J37)+COUNTIF('Tournament Log'!$N$4:$N$203,"&lt;"&amp;J37)+COUNTIF('Guest Log'!$K$4:$K$203,"&lt;"&amp;J37)+1)</f>
        <v/>
      </c>
    </row>
    <row r="38" spans="1:11" ht="15" customHeight="1" x14ac:dyDescent="0.2">
      <c r="A38" s="9"/>
      <c r="B38" s="9"/>
      <c r="C38" s="9"/>
      <c r="D38" s="10"/>
      <c r="E38" s="10"/>
      <c r="F38" s="10"/>
      <c r="G38" s="10"/>
      <c r="H38" s="9"/>
      <c r="I38" s="10"/>
      <c r="J38" s="12" t="str">
        <f t="shared" si="0"/>
        <v/>
      </c>
      <c r="K38" s="12" t="str">
        <f>IF(J38="","",COUNTIF($J$3:$J$501,"&lt;"&amp;J38)+COUNTIF('Tournament Log'!$N$4:$N$203,"&lt;"&amp;J38)+COUNTIF('Guest Log'!$K$4:$K$203,"&lt;"&amp;J38)+1)</f>
        <v/>
      </c>
    </row>
    <row r="39" spans="1:11" ht="15" customHeight="1" x14ac:dyDescent="0.2">
      <c r="A39" s="9"/>
      <c r="B39" s="9"/>
      <c r="C39" s="9"/>
      <c r="D39" s="10"/>
      <c r="E39" s="10"/>
      <c r="F39" s="10"/>
      <c r="G39" s="10"/>
      <c r="H39" s="9"/>
      <c r="I39" s="10"/>
      <c r="J39" s="12" t="str">
        <f t="shared" si="0"/>
        <v/>
      </c>
      <c r="K39" s="12" t="str">
        <f>IF(J39="","",COUNTIF($J$3:$J$501,"&lt;"&amp;J39)+COUNTIF('Tournament Log'!$N$4:$N$203,"&lt;"&amp;J39)+COUNTIF('Guest Log'!$K$4:$K$203,"&lt;"&amp;J39)+1)</f>
        <v/>
      </c>
    </row>
    <row r="40" spans="1:11" ht="15" customHeight="1" x14ac:dyDescent="0.2">
      <c r="A40" s="9"/>
      <c r="B40" s="9"/>
      <c r="C40" s="9"/>
      <c r="D40" s="10"/>
      <c r="E40" s="10"/>
      <c r="F40" s="10"/>
      <c r="G40" s="10"/>
      <c r="H40" s="9"/>
      <c r="I40" s="10"/>
      <c r="J40" s="12" t="str">
        <f t="shared" si="0"/>
        <v/>
      </c>
      <c r="K40" s="12" t="str">
        <f>IF(J40="","",COUNTIF($J$3:$J$501,"&lt;"&amp;J40)+COUNTIF('Tournament Log'!$N$4:$N$203,"&lt;"&amp;J40)+COUNTIF('Guest Log'!$K$4:$K$203,"&lt;"&amp;J40)+1)</f>
        <v/>
      </c>
    </row>
    <row r="41" spans="1:11" ht="15" customHeight="1" x14ac:dyDescent="0.2">
      <c r="A41" s="9"/>
      <c r="B41" s="9"/>
      <c r="C41" s="9"/>
      <c r="D41" s="10"/>
      <c r="E41" s="10"/>
      <c r="F41" s="10"/>
      <c r="G41" s="10"/>
      <c r="H41" s="9"/>
      <c r="I41" s="10"/>
      <c r="J41" s="12" t="str">
        <f t="shared" si="0"/>
        <v/>
      </c>
      <c r="K41" s="12" t="str">
        <f>IF(J41="","",COUNTIF($J$3:$J$501,"&lt;"&amp;J41)+COUNTIF('Tournament Log'!$N$4:$N$203,"&lt;"&amp;J41)+COUNTIF('Guest Log'!$K$4:$K$203,"&lt;"&amp;J41)+1)</f>
        <v/>
      </c>
    </row>
    <row r="42" spans="1:11" ht="15" customHeight="1" x14ac:dyDescent="0.2">
      <c r="A42" s="9"/>
      <c r="B42" s="9"/>
      <c r="C42" s="9"/>
      <c r="D42" s="10"/>
      <c r="E42" s="10"/>
      <c r="F42" s="10"/>
      <c r="G42" s="10"/>
      <c r="H42" s="9"/>
      <c r="I42" s="10"/>
      <c r="J42" s="12" t="str">
        <f t="shared" si="0"/>
        <v/>
      </c>
      <c r="K42" s="12" t="str">
        <f>IF(J42="","",COUNTIF($J$3:$J$501,"&lt;"&amp;J42)+COUNTIF('Tournament Log'!$N$4:$N$203,"&lt;"&amp;J42)+COUNTIF('Guest Log'!$K$4:$K$203,"&lt;"&amp;J42)+1)</f>
        <v/>
      </c>
    </row>
    <row r="43" spans="1:11" ht="15" customHeight="1" x14ac:dyDescent="0.2">
      <c r="A43" s="9"/>
      <c r="B43" s="9"/>
      <c r="C43" s="9"/>
      <c r="D43" s="10"/>
      <c r="E43" s="10"/>
      <c r="F43" s="10"/>
      <c r="G43" s="10"/>
      <c r="H43" s="9"/>
      <c r="I43" s="10"/>
      <c r="J43" s="12" t="str">
        <f t="shared" si="0"/>
        <v/>
      </c>
      <c r="K43" s="12" t="str">
        <f>IF(J43="","",COUNTIF($J$3:$J$501,"&lt;"&amp;J43)+COUNTIF('Tournament Log'!$N$4:$N$203,"&lt;"&amp;J43)+COUNTIF('Guest Log'!$K$4:$K$203,"&lt;"&amp;J43)+1)</f>
        <v/>
      </c>
    </row>
    <row r="44" spans="1:11" ht="15" customHeight="1" x14ac:dyDescent="0.2">
      <c r="A44" s="9"/>
      <c r="B44" s="9"/>
      <c r="C44" s="9"/>
      <c r="D44" s="10"/>
      <c r="E44" s="10"/>
      <c r="F44" s="10"/>
      <c r="G44" s="10"/>
      <c r="H44" s="9"/>
      <c r="I44" s="10"/>
      <c r="J44" s="12" t="str">
        <f t="shared" si="0"/>
        <v/>
      </c>
      <c r="K44" s="12" t="str">
        <f>IF(J44="","",COUNTIF($J$3:$J$501,"&lt;"&amp;J44)+COUNTIF('Tournament Log'!$N$4:$N$203,"&lt;"&amp;J44)+COUNTIF('Guest Log'!$K$4:$K$203,"&lt;"&amp;J44)+1)</f>
        <v/>
      </c>
    </row>
    <row r="45" spans="1:11" ht="15" customHeight="1" x14ac:dyDescent="0.2">
      <c r="A45" s="9"/>
      <c r="B45" s="9"/>
      <c r="C45" s="9"/>
      <c r="D45" s="10"/>
      <c r="E45" s="10"/>
      <c r="F45" s="10"/>
      <c r="G45" s="10"/>
      <c r="H45" s="9"/>
      <c r="I45" s="10"/>
      <c r="J45" s="12" t="str">
        <f t="shared" si="0"/>
        <v/>
      </c>
      <c r="K45" s="12" t="str">
        <f>IF(J45="","",COUNTIF($J$3:$J$501,"&lt;"&amp;J45)+COUNTIF('Tournament Log'!$N$4:$N$203,"&lt;"&amp;J45)+COUNTIF('Guest Log'!$K$4:$K$203,"&lt;"&amp;J45)+1)</f>
        <v/>
      </c>
    </row>
    <row r="46" spans="1:11" ht="15" customHeight="1" x14ac:dyDescent="0.2">
      <c r="A46" s="9"/>
      <c r="B46" s="9"/>
      <c r="C46" s="9"/>
      <c r="D46" s="10"/>
      <c r="E46" s="10"/>
      <c r="F46" s="10"/>
      <c r="G46" s="10"/>
      <c r="H46" s="9"/>
      <c r="I46" s="10"/>
      <c r="J46" s="12" t="str">
        <f t="shared" si="0"/>
        <v/>
      </c>
      <c r="K46" s="12" t="str">
        <f>IF(J46="","",COUNTIF($J$3:$J$501,"&lt;"&amp;J46)+COUNTIF('Tournament Log'!$N$4:$N$203,"&lt;"&amp;J46)+COUNTIF('Guest Log'!$K$4:$K$203,"&lt;"&amp;J46)+1)</f>
        <v/>
      </c>
    </row>
    <row r="47" spans="1:11" ht="15" customHeight="1" x14ac:dyDescent="0.2">
      <c r="A47" s="9"/>
      <c r="B47" s="9"/>
      <c r="C47" s="9"/>
      <c r="D47" s="10"/>
      <c r="E47" s="10"/>
      <c r="F47" s="10"/>
      <c r="G47" s="10"/>
      <c r="H47" s="9"/>
      <c r="I47" s="10"/>
      <c r="J47" s="12" t="str">
        <f t="shared" si="0"/>
        <v/>
      </c>
      <c r="K47" s="12" t="str">
        <f>IF(J47="","",COUNTIF($J$3:$J$501,"&lt;"&amp;J47)+COUNTIF('Tournament Log'!$N$4:$N$203,"&lt;"&amp;J47)+COUNTIF('Guest Log'!$K$4:$K$203,"&lt;"&amp;J47)+1)</f>
        <v/>
      </c>
    </row>
    <row r="48" spans="1:11" ht="15" customHeight="1" x14ac:dyDescent="0.2">
      <c r="A48" s="9"/>
      <c r="B48" s="9"/>
      <c r="C48" s="9"/>
      <c r="D48" s="10"/>
      <c r="E48" s="10"/>
      <c r="F48" s="10"/>
      <c r="G48" s="10"/>
      <c r="H48" s="9"/>
      <c r="I48" s="10"/>
      <c r="J48" s="12" t="str">
        <f t="shared" si="0"/>
        <v/>
      </c>
      <c r="K48" s="12" t="str">
        <f>IF(J48="","",COUNTIF($J$3:$J$501,"&lt;"&amp;J48)+COUNTIF('Tournament Log'!$N$4:$N$203,"&lt;"&amp;J48)+COUNTIF('Guest Log'!$K$4:$K$203,"&lt;"&amp;J48)+1)</f>
        <v/>
      </c>
    </row>
    <row r="49" spans="1:11" ht="15" customHeight="1" x14ac:dyDescent="0.2">
      <c r="A49" s="9"/>
      <c r="B49" s="9"/>
      <c r="C49" s="9"/>
      <c r="D49" s="10"/>
      <c r="E49" s="10"/>
      <c r="F49" s="10"/>
      <c r="G49" s="10"/>
      <c r="H49" s="9"/>
      <c r="I49" s="10"/>
      <c r="J49" s="12" t="str">
        <f t="shared" si="0"/>
        <v/>
      </c>
      <c r="K49" s="12" t="str">
        <f>IF(J49="","",COUNTIF($J$3:$J$501,"&lt;"&amp;J49)+COUNTIF('Tournament Log'!$N$4:$N$203,"&lt;"&amp;J49)+COUNTIF('Guest Log'!$K$4:$K$203,"&lt;"&amp;J49)+1)</f>
        <v/>
      </c>
    </row>
    <row r="50" spans="1:11" ht="15" customHeight="1" x14ac:dyDescent="0.2">
      <c r="A50" s="9"/>
      <c r="B50" s="9"/>
      <c r="C50" s="9"/>
      <c r="D50" s="10"/>
      <c r="E50" s="10"/>
      <c r="F50" s="10"/>
      <c r="G50" s="10"/>
      <c r="H50" s="9"/>
      <c r="I50" s="10"/>
      <c r="J50" s="12" t="str">
        <f t="shared" si="0"/>
        <v/>
      </c>
      <c r="K50" s="12" t="str">
        <f>IF(J50="","",COUNTIF($J$3:$J$501,"&lt;"&amp;J50)+COUNTIF('Tournament Log'!$N$4:$N$203,"&lt;"&amp;J50)+COUNTIF('Guest Log'!$K$4:$K$203,"&lt;"&amp;J50)+1)</f>
        <v/>
      </c>
    </row>
    <row r="51" spans="1:11" ht="15" customHeight="1" x14ac:dyDescent="0.2">
      <c r="A51" s="9"/>
      <c r="B51" s="9"/>
      <c r="C51" s="9"/>
      <c r="D51" s="10"/>
      <c r="E51" s="10"/>
      <c r="F51" s="10"/>
      <c r="G51" s="10"/>
      <c r="H51" s="9"/>
      <c r="I51" s="10"/>
      <c r="J51" s="12" t="str">
        <f t="shared" si="0"/>
        <v/>
      </c>
      <c r="K51" s="12" t="str">
        <f>IF(J51="","",COUNTIF($J$3:$J$501,"&lt;"&amp;J51)+COUNTIF('Tournament Log'!$N$4:$N$203,"&lt;"&amp;J51)+COUNTIF('Guest Log'!$K$4:$K$203,"&lt;"&amp;J51)+1)</f>
        <v/>
      </c>
    </row>
    <row r="52" spans="1:11" ht="15" customHeight="1" x14ac:dyDescent="0.2">
      <c r="A52" s="9"/>
      <c r="B52" s="9"/>
      <c r="C52" s="9"/>
      <c r="D52" s="10"/>
      <c r="E52" s="10"/>
      <c r="F52" s="10"/>
      <c r="G52" s="10"/>
      <c r="H52" s="9"/>
      <c r="I52" s="10"/>
      <c r="J52" s="12" t="str">
        <f t="shared" si="0"/>
        <v/>
      </c>
      <c r="K52" s="12" t="str">
        <f>IF(J52="","",COUNTIF($J$3:$J$501,"&lt;"&amp;J52)+COUNTIF('Tournament Log'!$N$4:$N$203,"&lt;"&amp;J52)+COUNTIF('Guest Log'!$K$4:$K$203,"&lt;"&amp;J52)+1)</f>
        <v/>
      </c>
    </row>
    <row r="53" spans="1:11" ht="15" customHeight="1" x14ac:dyDescent="0.2">
      <c r="A53" s="9"/>
      <c r="B53" s="9"/>
      <c r="C53" s="9"/>
      <c r="D53" s="10"/>
      <c r="E53" s="10"/>
      <c r="F53" s="10"/>
      <c r="G53" s="10"/>
      <c r="H53" s="9"/>
      <c r="I53" s="10"/>
      <c r="J53" s="12" t="str">
        <f t="shared" si="0"/>
        <v/>
      </c>
      <c r="K53" s="12" t="str">
        <f>IF(J53="","",COUNTIF($J$3:$J$501,"&lt;"&amp;J53)+COUNTIF('Tournament Log'!$N$4:$N$203,"&lt;"&amp;J53)+COUNTIF('Guest Log'!$K$4:$K$203,"&lt;"&amp;J53)+1)</f>
        <v/>
      </c>
    </row>
    <row r="54" spans="1:11" ht="15" customHeight="1" x14ac:dyDescent="0.2">
      <c r="A54" s="9"/>
      <c r="B54" s="9"/>
      <c r="C54" s="9"/>
      <c r="D54" s="10"/>
      <c r="E54" s="10"/>
      <c r="F54" s="10"/>
      <c r="G54" s="10"/>
      <c r="H54" s="9"/>
      <c r="I54" s="10"/>
      <c r="J54" s="12" t="str">
        <f t="shared" si="0"/>
        <v/>
      </c>
      <c r="K54" s="12" t="str">
        <f>IF(J54="","",COUNTIF($J$3:$J$501,"&lt;"&amp;J54)+COUNTIF('Tournament Log'!$N$4:$N$203,"&lt;"&amp;J54)+COUNTIF('Guest Log'!$K$4:$K$203,"&lt;"&amp;J54)+1)</f>
        <v/>
      </c>
    </row>
    <row r="55" spans="1:11" ht="15" customHeight="1" x14ac:dyDescent="0.2">
      <c r="A55" s="9"/>
      <c r="B55" s="9"/>
      <c r="C55" s="9"/>
      <c r="D55" s="10"/>
      <c r="E55" s="10"/>
      <c r="F55" s="10"/>
      <c r="G55" s="10"/>
      <c r="H55" s="9"/>
      <c r="I55" s="10"/>
      <c r="J55" s="12" t="str">
        <f t="shared" si="0"/>
        <v/>
      </c>
      <c r="K55" s="12" t="str">
        <f>IF(J55="","",COUNTIF($J$3:$J$501,"&lt;"&amp;J55)+COUNTIF('Tournament Log'!$N$4:$N$203,"&lt;"&amp;J55)+COUNTIF('Guest Log'!$K$4:$K$203,"&lt;"&amp;J55)+1)</f>
        <v/>
      </c>
    </row>
    <row r="56" spans="1:11" ht="15" customHeight="1" x14ac:dyDescent="0.2">
      <c r="A56" s="9"/>
      <c r="B56" s="9"/>
      <c r="C56" s="9"/>
      <c r="D56" s="10"/>
      <c r="E56" s="10"/>
      <c r="F56" s="10"/>
      <c r="G56" s="10"/>
      <c r="H56" s="9"/>
      <c r="I56" s="10"/>
      <c r="J56" s="12" t="str">
        <f t="shared" si="0"/>
        <v/>
      </c>
      <c r="K56" s="12" t="str">
        <f>IF(J56="","",COUNTIF($J$3:$J$501,"&lt;"&amp;J56)+COUNTIF('Tournament Log'!$N$4:$N$203,"&lt;"&amp;J56)+COUNTIF('Guest Log'!$K$4:$K$203,"&lt;"&amp;J56)+1)</f>
        <v/>
      </c>
    </row>
    <row r="57" spans="1:11" ht="15" customHeight="1" x14ac:dyDescent="0.2">
      <c r="A57" s="9"/>
      <c r="B57" s="9"/>
      <c r="C57" s="9"/>
      <c r="D57" s="10"/>
      <c r="E57" s="10"/>
      <c r="F57" s="10"/>
      <c r="G57" s="10"/>
      <c r="H57" s="9"/>
      <c r="I57" s="10"/>
      <c r="J57" s="12" t="str">
        <f t="shared" si="0"/>
        <v/>
      </c>
      <c r="K57" s="12" t="str">
        <f>IF(J57="","",COUNTIF($J$3:$J$501,"&lt;"&amp;J57)+COUNTIF('Tournament Log'!$N$4:$N$203,"&lt;"&amp;J57)+COUNTIF('Guest Log'!$K$4:$K$203,"&lt;"&amp;J57)+1)</f>
        <v/>
      </c>
    </row>
    <row r="58" spans="1:11" ht="15" customHeight="1" x14ac:dyDescent="0.2">
      <c r="A58" s="9"/>
      <c r="B58" s="9"/>
      <c r="C58" s="9"/>
      <c r="D58" s="10"/>
      <c r="E58" s="10"/>
      <c r="F58" s="10"/>
      <c r="G58" s="10"/>
      <c r="H58" s="9"/>
      <c r="I58" s="10"/>
      <c r="J58" s="12" t="str">
        <f t="shared" si="0"/>
        <v/>
      </c>
      <c r="K58" s="12" t="str">
        <f>IF(J58="","",COUNTIF($J$3:$J$501,"&lt;"&amp;J58)+COUNTIF('Tournament Log'!$N$4:$N$203,"&lt;"&amp;J58)+COUNTIF('Guest Log'!$K$4:$K$203,"&lt;"&amp;J58)+1)</f>
        <v/>
      </c>
    </row>
    <row r="59" spans="1:11" ht="15" customHeight="1" x14ac:dyDescent="0.2">
      <c r="A59" s="9"/>
      <c r="B59" s="9"/>
      <c r="C59" s="9"/>
      <c r="D59" s="10"/>
      <c r="E59" s="10"/>
      <c r="F59" s="10"/>
      <c r="G59" s="10"/>
      <c r="H59" s="9"/>
      <c r="I59" s="10"/>
      <c r="J59" s="12" t="str">
        <f t="shared" si="0"/>
        <v/>
      </c>
      <c r="K59" s="12" t="str">
        <f>IF(J59="","",COUNTIF($J$3:$J$501,"&lt;"&amp;J59)+COUNTIF('Tournament Log'!$N$4:$N$203,"&lt;"&amp;J59)+COUNTIF('Guest Log'!$K$4:$K$203,"&lt;"&amp;J59)+1)</f>
        <v/>
      </c>
    </row>
    <row r="60" spans="1:11" ht="15" customHeight="1" x14ac:dyDescent="0.2">
      <c r="A60" s="9"/>
      <c r="B60" s="9"/>
      <c r="C60" s="9"/>
      <c r="D60" s="10"/>
      <c r="E60" s="10"/>
      <c r="F60" s="10"/>
      <c r="G60" s="10"/>
      <c r="H60" s="9"/>
      <c r="I60" s="10"/>
      <c r="J60" s="12" t="str">
        <f t="shared" si="0"/>
        <v/>
      </c>
      <c r="K60" s="12" t="str">
        <f>IF(J60="","",COUNTIF($J$3:$J$501,"&lt;"&amp;J60)+COUNTIF('Tournament Log'!$N$4:$N$203,"&lt;"&amp;J60)+COUNTIF('Guest Log'!$K$4:$K$203,"&lt;"&amp;J60)+1)</f>
        <v/>
      </c>
    </row>
    <row r="61" spans="1:11" ht="15" customHeight="1" x14ac:dyDescent="0.2">
      <c r="A61" s="9"/>
      <c r="B61" s="9"/>
      <c r="C61" s="9"/>
      <c r="D61" s="10"/>
      <c r="E61" s="10"/>
      <c r="F61" s="10"/>
      <c r="G61" s="10"/>
      <c r="H61" s="9"/>
      <c r="I61" s="10"/>
      <c r="J61" s="12" t="str">
        <f t="shared" si="0"/>
        <v/>
      </c>
      <c r="K61" s="12" t="str">
        <f>IF(J61="","",COUNTIF($J$3:$J$501,"&lt;"&amp;J61)+COUNTIF('Tournament Log'!$N$4:$N$203,"&lt;"&amp;J61)+COUNTIF('Guest Log'!$K$4:$K$203,"&lt;"&amp;J61)+1)</f>
        <v/>
      </c>
    </row>
    <row r="62" spans="1:11" ht="15" customHeight="1" x14ac:dyDescent="0.2">
      <c r="A62" s="9"/>
      <c r="B62" s="9"/>
      <c r="C62" s="9"/>
      <c r="D62" s="10"/>
      <c r="E62" s="10"/>
      <c r="F62" s="10"/>
      <c r="G62" s="10"/>
      <c r="H62" s="9"/>
      <c r="I62" s="10"/>
      <c r="J62" s="12" t="str">
        <f t="shared" si="0"/>
        <v/>
      </c>
      <c r="K62" s="12" t="str">
        <f>IF(J62="","",COUNTIF($J$3:$J$501,"&lt;"&amp;J62)+COUNTIF('Tournament Log'!$N$4:$N$203,"&lt;"&amp;J62)+COUNTIF('Guest Log'!$K$4:$K$203,"&lt;"&amp;J62)+1)</f>
        <v/>
      </c>
    </row>
    <row r="63" spans="1:11" ht="15" customHeight="1" x14ac:dyDescent="0.2">
      <c r="A63" s="9"/>
      <c r="B63" s="9"/>
      <c r="C63" s="9"/>
      <c r="D63" s="10"/>
      <c r="E63" s="10"/>
      <c r="F63" s="10"/>
      <c r="G63" s="10"/>
      <c r="H63" s="9"/>
      <c r="I63" s="10"/>
      <c r="J63" s="12" t="str">
        <f t="shared" si="0"/>
        <v/>
      </c>
      <c r="K63" s="12" t="str">
        <f>IF(J63="","",COUNTIF($J$3:$J$501,"&lt;"&amp;J63)+COUNTIF('Tournament Log'!$N$4:$N$203,"&lt;"&amp;J63)+COUNTIF('Guest Log'!$K$4:$K$203,"&lt;"&amp;J63)+1)</f>
        <v/>
      </c>
    </row>
    <row r="64" spans="1:11" ht="15" customHeight="1" x14ac:dyDescent="0.2">
      <c r="A64" s="9"/>
      <c r="B64" s="9"/>
      <c r="C64" s="9"/>
      <c r="D64" s="10"/>
      <c r="E64" s="10"/>
      <c r="F64" s="10"/>
      <c r="G64" s="10"/>
      <c r="H64" s="9"/>
      <c r="I64" s="10"/>
      <c r="J64" s="12" t="str">
        <f t="shared" si="0"/>
        <v/>
      </c>
      <c r="K64" s="12" t="str">
        <f>IF(J64="","",COUNTIF($J$3:$J$501,"&lt;"&amp;J64)+COUNTIF('Tournament Log'!$N$4:$N$203,"&lt;"&amp;J64)+COUNTIF('Guest Log'!$K$4:$K$203,"&lt;"&amp;J64)+1)</f>
        <v/>
      </c>
    </row>
    <row r="65" spans="1:11" ht="15" customHeight="1" x14ac:dyDescent="0.2">
      <c r="A65" s="9"/>
      <c r="B65" s="9"/>
      <c r="C65" s="9"/>
      <c r="D65" s="10"/>
      <c r="E65" s="10"/>
      <c r="F65" s="10"/>
      <c r="G65" s="10"/>
      <c r="H65" s="9"/>
      <c r="I65" s="10"/>
      <c r="J65" s="12" t="str">
        <f t="shared" si="0"/>
        <v/>
      </c>
      <c r="K65" s="12" t="str">
        <f>IF(J65="","",COUNTIF($J$3:$J$501,"&lt;"&amp;J65)+COUNTIF('Tournament Log'!$N$4:$N$203,"&lt;"&amp;J65)+COUNTIF('Guest Log'!$K$4:$K$203,"&lt;"&amp;J65)+1)</f>
        <v/>
      </c>
    </row>
    <row r="66" spans="1:11" ht="15" customHeight="1" x14ac:dyDescent="0.2">
      <c r="A66" s="9"/>
      <c r="B66" s="9"/>
      <c r="C66" s="9"/>
      <c r="D66" s="10"/>
      <c r="E66" s="10"/>
      <c r="F66" s="10"/>
      <c r="G66" s="10"/>
      <c r="H66" s="9"/>
      <c r="I66" s="10"/>
      <c r="J66" s="12" t="str">
        <f t="shared" si="0"/>
        <v/>
      </c>
      <c r="K66" s="12" t="str">
        <f>IF(J66="","",COUNTIF($J$3:$J$501,"&lt;"&amp;J66)+COUNTIF('Tournament Log'!$N$4:$N$203,"&lt;"&amp;J66)+COUNTIF('Guest Log'!$K$4:$K$203,"&lt;"&amp;J66)+1)</f>
        <v/>
      </c>
    </row>
    <row r="67" spans="1:11" ht="15" customHeight="1" x14ac:dyDescent="0.2">
      <c r="A67" s="9"/>
      <c r="B67" s="9"/>
      <c r="C67" s="9"/>
      <c r="D67" s="10"/>
      <c r="E67" s="10"/>
      <c r="F67" s="10"/>
      <c r="G67" s="10"/>
      <c r="H67" s="9"/>
      <c r="I67" s="10"/>
      <c r="J67" s="12" t="str">
        <f t="shared" ref="J67:J130" si="1">IF(A67="","",A67+ROW()/10000000)</f>
        <v/>
      </c>
      <c r="K67" s="12" t="str">
        <f>IF(J67="","",COUNTIF($J$3:$J$501,"&lt;"&amp;J67)+COUNTIF('Tournament Log'!$N$4:$N$203,"&lt;"&amp;J67)+COUNTIF('Guest Log'!$K$4:$K$203,"&lt;"&amp;J67)+1)</f>
        <v/>
      </c>
    </row>
    <row r="68" spans="1:11" ht="15" customHeight="1" x14ac:dyDescent="0.2">
      <c r="A68" s="9"/>
      <c r="B68" s="9"/>
      <c r="C68" s="9"/>
      <c r="D68" s="10"/>
      <c r="E68" s="10"/>
      <c r="F68" s="10"/>
      <c r="G68" s="10"/>
      <c r="H68" s="9"/>
      <c r="I68" s="10"/>
      <c r="J68" s="12" t="str">
        <f t="shared" si="1"/>
        <v/>
      </c>
      <c r="K68" s="12" t="str">
        <f>IF(J68="","",COUNTIF($J$3:$J$501,"&lt;"&amp;J68)+COUNTIF('Tournament Log'!$N$4:$N$203,"&lt;"&amp;J68)+COUNTIF('Guest Log'!$K$4:$K$203,"&lt;"&amp;J68)+1)</f>
        <v/>
      </c>
    </row>
    <row r="69" spans="1:11" ht="15" customHeight="1" x14ac:dyDescent="0.2">
      <c r="A69" s="9"/>
      <c r="B69" s="9"/>
      <c r="C69" s="9"/>
      <c r="D69" s="10"/>
      <c r="E69" s="10"/>
      <c r="F69" s="10"/>
      <c r="G69" s="10"/>
      <c r="H69" s="9"/>
      <c r="I69" s="10"/>
      <c r="J69" s="12" t="str">
        <f t="shared" si="1"/>
        <v/>
      </c>
      <c r="K69" s="12" t="str">
        <f>IF(J69="","",COUNTIF($J$3:$J$501,"&lt;"&amp;J69)+COUNTIF('Tournament Log'!$N$4:$N$203,"&lt;"&amp;J69)+COUNTIF('Guest Log'!$K$4:$K$203,"&lt;"&amp;J69)+1)</f>
        <v/>
      </c>
    </row>
    <row r="70" spans="1:11" ht="15" customHeight="1" x14ac:dyDescent="0.2">
      <c r="A70" s="9"/>
      <c r="B70" s="9"/>
      <c r="C70" s="9"/>
      <c r="D70" s="10"/>
      <c r="E70" s="10"/>
      <c r="F70" s="10"/>
      <c r="G70" s="10"/>
      <c r="H70" s="9"/>
      <c r="I70" s="10"/>
      <c r="J70" s="12" t="str">
        <f t="shared" si="1"/>
        <v/>
      </c>
      <c r="K70" s="12" t="str">
        <f>IF(J70="","",COUNTIF($J$3:$J$501,"&lt;"&amp;J70)+COUNTIF('Tournament Log'!$N$4:$N$203,"&lt;"&amp;J70)+COUNTIF('Guest Log'!$K$4:$K$203,"&lt;"&amp;J70)+1)</f>
        <v/>
      </c>
    </row>
    <row r="71" spans="1:11" ht="15" customHeight="1" x14ac:dyDescent="0.2">
      <c r="A71" s="9"/>
      <c r="B71" s="9"/>
      <c r="C71" s="9"/>
      <c r="D71" s="10"/>
      <c r="E71" s="10"/>
      <c r="F71" s="10"/>
      <c r="G71" s="10"/>
      <c r="H71" s="9"/>
      <c r="I71" s="10"/>
      <c r="J71" s="12" t="str">
        <f t="shared" si="1"/>
        <v/>
      </c>
      <c r="K71" s="12" t="str">
        <f>IF(J71="","",COUNTIF($J$3:$J$501,"&lt;"&amp;J71)+COUNTIF('Tournament Log'!$N$4:$N$203,"&lt;"&amp;J71)+COUNTIF('Guest Log'!$K$4:$K$203,"&lt;"&amp;J71)+1)</f>
        <v/>
      </c>
    </row>
    <row r="72" spans="1:11" ht="15" customHeight="1" x14ac:dyDescent="0.2">
      <c r="A72" s="9"/>
      <c r="B72" s="9"/>
      <c r="C72" s="9"/>
      <c r="D72" s="10"/>
      <c r="E72" s="10"/>
      <c r="F72" s="10"/>
      <c r="G72" s="10"/>
      <c r="H72" s="9"/>
      <c r="I72" s="10"/>
      <c r="J72" s="12" t="str">
        <f t="shared" si="1"/>
        <v/>
      </c>
      <c r="K72" s="12" t="str">
        <f>IF(J72="","",COUNTIF($J$3:$J$501,"&lt;"&amp;J72)+COUNTIF('Tournament Log'!$N$4:$N$203,"&lt;"&amp;J72)+COUNTIF('Guest Log'!$K$4:$K$203,"&lt;"&amp;J72)+1)</f>
        <v/>
      </c>
    </row>
    <row r="73" spans="1:11" ht="15" customHeight="1" x14ac:dyDescent="0.2">
      <c r="A73" s="9"/>
      <c r="B73" s="9"/>
      <c r="C73" s="9"/>
      <c r="D73" s="10"/>
      <c r="E73" s="10"/>
      <c r="F73" s="10"/>
      <c r="G73" s="10"/>
      <c r="H73" s="9"/>
      <c r="I73" s="10"/>
      <c r="J73" s="12" t="str">
        <f t="shared" si="1"/>
        <v/>
      </c>
      <c r="K73" s="12" t="str">
        <f>IF(J73="","",COUNTIF($J$3:$J$501,"&lt;"&amp;J73)+COUNTIF('Tournament Log'!$N$4:$N$203,"&lt;"&amp;J73)+COUNTIF('Guest Log'!$K$4:$K$203,"&lt;"&amp;J73)+1)</f>
        <v/>
      </c>
    </row>
    <row r="74" spans="1:11" ht="15" customHeight="1" x14ac:dyDescent="0.2">
      <c r="A74" s="9"/>
      <c r="B74" s="9"/>
      <c r="C74" s="9"/>
      <c r="D74" s="10"/>
      <c r="E74" s="10"/>
      <c r="F74" s="10"/>
      <c r="G74" s="10"/>
      <c r="H74" s="9"/>
      <c r="I74" s="10"/>
      <c r="J74" s="12" t="str">
        <f t="shared" si="1"/>
        <v/>
      </c>
      <c r="K74" s="12" t="str">
        <f>IF(J74="","",COUNTIF($J$3:$J$501,"&lt;"&amp;J74)+COUNTIF('Tournament Log'!$N$4:$N$203,"&lt;"&amp;J74)+COUNTIF('Guest Log'!$K$4:$K$203,"&lt;"&amp;J74)+1)</f>
        <v/>
      </c>
    </row>
    <row r="75" spans="1:11" ht="15" customHeight="1" x14ac:dyDescent="0.2">
      <c r="A75" s="9"/>
      <c r="B75" s="9"/>
      <c r="C75" s="9"/>
      <c r="D75" s="10"/>
      <c r="E75" s="10"/>
      <c r="F75" s="10"/>
      <c r="G75" s="10"/>
      <c r="H75" s="9"/>
      <c r="I75" s="10"/>
      <c r="J75" s="12" t="str">
        <f t="shared" si="1"/>
        <v/>
      </c>
      <c r="K75" s="12" t="str">
        <f>IF(J75="","",COUNTIF($J$3:$J$501,"&lt;"&amp;J75)+COUNTIF('Tournament Log'!$N$4:$N$203,"&lt;"&amp;J75)+COUNTIF('Guest Log'!$K$4:$K$203,"&lt;"&amp;J75)+1)</f>
        <v/>
      </c>
    </row>
    <row r="76" spans="1:11" ht="15" customHeight="1" x14ac:dyDescent="0.2">
      <c r="A76" s="9"/>
      <c r="B76" s="9"/>
      <c r="C76" s="9"/>
      <c r="D76" s="10"/>
      <c r="E76" s="10"/>
      <c r="F76" s="10"/>
      <c r="G76" s="10"/>
      <c r="H76" s="9"/>
      <c r="I76" s="10"/>
      <c r="J76" s="12" t="str">
        <f t="shared" si="1"/>
        <v/>
      </c>
      <c r="K76" s="12" t="str">
        <f>IF(J76="","",COUNTIF($J$3:$J$501,"&lt;"&amp;J76)+COUNTIF('Tournament Log'!$N$4:$N$203,"&lt;"&amp;J76)+COUNTIF('Guest Log'!$K$4:$K$203,"&lt;"&amp;J76)+1)</f>
        <v/>
      </c>
    </row>
    <row r="77" spans="1:11" ht="15" customHeight="1" x14ac:dyDescent="0.2">
      <c r="A77" s="9"/>
      <c r="B77" s="9"/>
      <c r="C77" s="9"/>
      <c r="D77" s="10"/>
      <c r="E77" s="10"/>
      <c r="F77" s="10"/>
      <c r="G77" s="10"/>
      <c r="H77" s="9"/>
      <c r="I77" s="10"/>
      <c r="J77" s="12" t="str">
        <f t="shared" si="1"/>
        <v/>
      </c>
      <c r="K77" s="12" t="str">
        <f>IF(J77="","",COUNTIF($J$3:$J$501,"&lt;"&amp;J77)+COUNTIF('Tournament Log'!$N$4:$N$203,"&lt;"&amp;J77)+COUNTIF('Guest Log'!$K$4:$K$203,"&lt;"&amp;J77)+1)</f>
        <v/>
      </c>
    </row>
    <row r="78" spans="1:11" ht="15" customHeight="1" x14ac:dyDescent="0.2">
      <c r="A78" s="9"/>
      <c r="B78" s="9"/>
      <c r="C78" s="9"/>
      <c r="D78" s="10"/>
      <c r="E78" s="10"/>
      <c r="F78" s="10"/>
      <c r="G78" s="10"/>
      <c r="H78" s="9"/>
      <c r="I78" s="10"/>
      <c r="J78" s="12" t="str">
        <f t="shared" si="1"/>
        <v/>
      </c>
      <c r="K78" s="12" t="str">
        <f>IF(J78="","",COUNTIF($J$3:$J$501,"&lt;"&amp;J78)+COUNTIF('Tournament Log'!$N$4:$N$203,"&lt;"&amp;J78)+COUNTIF('Guest Log'!$K$4:$K$203,"&lt;"&amp;J78)+1)</f>
        <v/>
      </c>
    </row>
    <row r="79" spans="1:11" ht="15" customHeight="1" x14ac:dyDescent="0.2">
      <c r="A79" s="9"/>
      <c r="B79" s="9"/>
      <c r="C79" s="9"/>
      <c r="D79" s="10"/>
      <c r="E79" s="10"/>
      <c r="F79" s="10"/>
      <c r="G79" s="10"/>
      <c r="H79" s="9"/>
      <c r="I79" s="10"/>
      <c r="J79" s="12" t="str">
        <f t="shared" si="1"/>
        <v/>
      </c>
      <c r="K79" s="12" t="str">
        <f>IF(J79="","",COUNTIF($J$3:$J$501,"&lt;"&amp;J79)+COUNTIF('Tournament Log'!$N$4:$N$203,"&lt;"&amp;J79)+COUNTIF('Guest Log'!$K$4:$K$203,"&lt;"&amp;J79)+1)</f>
        <v/>
      </c>
    </row>
    <row r="80" spans="1:11" ht="15" customHeight="1" x14ac:dyDescent="0.2">
      <c r="A80" s="9"/>
      <c r="B80" s="9"/>
      <c r="C80" s="9"/>
      <c r="D80" s="10"/>
      <c r="E80" s="10"/>
      <c r="F80" s="10"/>
      <c r="G80" s="10"/>
      <c r="H80" s="9"/>
      <c r="I80" s="10"/>
      <c r="J80" s="12" t="str">
        <f t="shared" si="1"/>
        <v/>
      </c>
      <c r="K80" s="12" t="str">
        <f>IF(J80="","",COUNTIF($J$3:$J$501,"&lt;"&amp;J80)+COUNTIF('Tournament Log'!$N$4:$N$203,"&lt;"&amp;J80)+COUNTIF('Guest Log'!$K$4:$K$203,"&lt;"&amp;J80)+1)</f>
        <v/>
      </c>
    </row>
    <row r="81" spans="1:11" ht="15" customHeight="1" x14ac:dyDescent="0.2">
      <c r="A81" s="9"/>
      <c r="B81" s="9"/>
      <c r="C81" s="9"/>
      <c r="D81" s="10"/>
      <c r="E81" s="10"/>
      <c r="F81" s="10"/>
      <c r="G81" s="10"/>
      <c r="H81" s="9"/>
      <c r="I81" s="10"/>
      <c r="J81" s="12" t="str">
        <f t="shared" si="1"/>
        <v/>
      </c>
      <c r="K81" s="12" t="str">
        <f>IF(J81="","",COUNTIF($J$3:$J$501,"&lt;"&amp;J81)+COUNTIF('Tournament Log'!$N$4:$N$203,"&lt;"&amp;J81)+COUNTIF('Guest Log'!$K$4:$K$203,"&lt;"&amp;J81)+1)</f>
        <v/>
      </c>
    </row>
    <row r="82" spans="1:11" ht="15" customHeight="1" x14ac:dyDescent="0.2">
      <c r="A82" s="9"/>
      <c r="B82" s="9"/>
      <c r="C82" s="9"/>
      <c r="D82" s="10"/>
      <c r="E82" s="10"/>
      <c r="F82" s="10"/>
      <c r="G82" s="10"/>
      <c r="H82" s="9"/>
      <c r="I82" s="10"/>
      <c r="J82" s="12" t="str">
        <f t="shared" si="1"/>
        <v/>
      </c>
      <c r="K82" s="12" t="str">
        <f>IF(J82="","",COUNTIF($J$3:$J$501,"&lt;"&amp;J82)+COUNTIF('Tournament Log'!$N$4:$N$203,"&lt;"&amp;J82)+COUNTIF('Guest Log'!$K$4:$K$203,"&lt;"&amp;J82)+1)</f>
        <v/>
      </c>
    </row>
    <row r="83" spans="1:11" ht="15" customHeight="1" x14ac:dyDescent="0.2">
      <c r="A83" s="9"/>
      <c r="B83" s="9"/>
      <c r="C83" s="9"/>
      <c r="D83" s="10"/>
      <c r="E83" s="10"/>
      <c r="F83" s="10"/>
      <c r="G83" s="10"/>
      <c r="H83" s="9"/>
      <c r="I83" s="10"/>
      <c r="J83" s="12" t="str">
        <f t="shared" si="1"/>
        <v/>
      </c>
      <c r="K83" s="12" t="str">
        <f>IF(J83="","",COUNTIF($J$3:$J$501,"&lt;"&amp;J83)+COUNTIF('Tournament Log'!$N$4:$N$203,"&lt;"&amp;J83)+COUNTIF('Guest Log'!$K$4:$K$203,"&lt;"&amp;J83)+1)</f>
        <v/>
      </c>
    </row>
    <row r="84" spans="1:11" ht="15" customHeight="1" x14ac:dyDescent="0.2">
      <c r="A84" s="9"/>
      <c r="B84" s="9"/>
      <c r="C84" s="9"/>
      <c r="D84" s="10"/>
      <c r="E84" s="10"/>
      <c r="F84" s="10"/>
      <c r="G84" s="10"/>
      <c r="H84" s="9"/>
      <c r="I84" s="10"/>
      <c r="J84" s="12" t="str">
        <f t="shared" si="1"/>
        <v/>
      </c>
      <c r="K84" s="12" t="str">
        <f>IF(J84="","",COUNTIF($J$3:$J$501,"&lt;"&amp;J84)+COUNTIF('Tournament Log'!$N$4:$N$203,"&lt;"&amp;J84)+COUNTIF('Guest Log'!$K$4:$K$203,"&lt;"&amp;J84)+1)</f>
        <v/>
      </c>
    </row>
    <row r="85" spans="1:11" ht="15" customHeight="1" x14ac:dyDescent="0.2">
      <c r="A85" s="9"/>
      <c r="B85" s="9"/>
      <c r="C85" s="9"/>
      <c r="D85" s="10"/>
      <c r="E85" s="10"/>
      <c r="F85" s="10"/>
      <c r="G85" s="10"/>
      <c r="H85" s="9"/>
      <c r="I85" s="10"/>
      <c r="J85" s="12" t="str">
        <f t="shared" si="1"/>
        <v/>
      </c>
      <c r="K85" s="12" t="str">
        <f>IF(J85="","",COUNTIF($J$3:$J$501,"&lt;"&amp;J85)+COUNTIF('Tournament Log'!$N$4:$N$203,"&lt;"&amp;J85)+COUNTIF('Guest Log'!$K$4:$K$203,"&lt;"&amp;J85)+1)</f>
        <v/>
      </c>
    </row>
    <row r="86" spans="1:11" ht="15" customHeight="1" x14ac:dyDescent="0.2">
      <c r="A86" s="9"/>
      <c r="B86" s="9"/>
      <c r="C86" s="9"/>
      <c r="D86" s="10"/>
      <c r="E86" s="10"/>
      <c r="F86" s="10"/>
      <c r="G86" s="10"/>
      <c r="H86" s="9"/>
      <c r="I86" s="10"/>
      <c r="J86" s="12" t="str">
        <f t="shared" si="1"/>
        <v/>
      </c>
      <c r="K86" s="12" t="str">
        <f>IF(J86="","",COUNTIF($J$3:$J$501,"&lt;"&amp;J86)+COUNTIF('Tournament Log'!$N$4:$N$203,"&lt;"&amp;J86)+COUNTIF('Guest Log'!$K$4:$K$203,"&lt;"&amp;J86)+1)</f>
        <v/>
      </c>
    </row>
    <row r="87" spans="1:11" ht="15" customHeight="1" x14ac:dyDescent="0.2">
      <c r="A87" s="9"/>
      <c r="B87" s="9"/>
      <c r="C87" s="9"/>
      <c r="D87" s="10"/>
      <c r="E87" s="10"/>
      <c r="F87" s="10"/>
      <c r="G87" s="10"/>
      <c r="H87" s="9"/>
      <c r="I87" s="10"/>
      <c r="J87" s="12" t="str">
        <f t="shared" si="1"/>
        <v/>
      </c>
      <c r="K87" s="12" t="str">
        <f>IF(J87="","",COUNTIF($J$3:$J$501,"&lt;"&amp;J87)+COUNTIF('Tournament Log'!$N$4:$N$203,"&lt;"&amp;J87)+COUNTIF('Guest Log'!$K$4:$K$203,"&lt;"&amp;J87)+1)</f>
        <v/>
      </c>
    </row>
    <row r="88" spans="1:11" ht="15" customHeight="1" x14ac:dyDescent="0.2">
      <c r="A88" s="9"/>
      <c r="B88" s="9"/>
      <c r="C88" s="9"/>
      <c r="D88" s="10"/>
      <c r="E88" s="10"/>
      <c r="F88" s="10"/>
      <c r="G88" s="10"/>
      <c r="H88" s="9"/>
      <c r="I88" s="10"/>
      <c r="J88" s="12" t="str">
        <f t="shared" si="1"/>
        <v/>
      </c>
      <c r="K88" s="12" t="str">
        <f>IF(J88="","",COUNTIF($J$3:$J$501,"&lt;"&amp;J88)+COUNTIF('Tournament Log'!$N$4:$N$203,"&lt;"&amp;J88)+COUNTIF('Guest Log'!$K$4:$K$203,"&lt;"&amp;J88)+1)</f>
        <v/>
      </c>
    </row>
    <row r="89" spans="1:11" ht="15" customHeight="1" x14ac:dyDescent="0.2">
      <c r="A89" s="9"/>
      <c r="B89" s="9"/>
      <c r="C89" s="9"/>
      <c r="D89" s="10"/>
      <c r="E89" s="10"/>
      <c r="F89" s="10"/>
      <c r="G89" s="10"/>
      <c r="H89" s="9"/>
      <c r="I89" s="10"/>
      <c r="J89" s="12" t="str">
        <f t="shared" si="1"/>
        <v/>
      </c>
      <c r="K89" s="12" t="str">
        <f>IF(J89="","",COUNTIF($J$3:$J$501,"&lt;"&amp;J89)+COUNTIF('Tournament Log'!$N$4:$N$203,"&lt;"&amp;J89)+COUNTIF('Guest Log'!$K$4:$K$203,"&lt;"&amp;J89)+1)</f>
        <v/>
      </c>
    </row>
    <row r="90" spans="1:11" ht="15" customHeight="1" x14ac:dyDescent="0.2">
      <c r="A90" s="9"/>
      <c r="B90" s="9"/>
      <c r="C90" s="9"/>
      <c r="D90" s="10"/>
      <c r="E90" s="10"/>
      <c r="F90" s="10"/>
      <c r="G90" s="10"/>
      <c r="H90" s="9"/>
      <c r="I90" s="10"/>
      <c r="J90" s="12" t="str">
        <f t="shared" si="1"/>
        <v/>
      </c>
      <c r="K90" s="12" t="str">
        <f>IF(J90="","",COUNTIF($J$3:$J$501,"&lt;"&amp;J90)+COUNTIF('Tournament Log'!$N$4:$N$203,"&lt;"&amp;J90)+COUNTIF('Guest Log'!$K$4:$K$203,"&lt;"&amp;J90)+1)</f>
        <v/>
      </c>
    </row>
    <row r="91" spans="1:11" ht="15" customHeight="1" x14ac:dyDescent="0.2">
      <c r="A91" s="9"/>
      <c r="B91" s="9"/>
      <c r="C91" s="9"/>
      <c r="D91" s="10"/>
      <c r="E91" s="10"/>
      <c r="F91" s="10"/>
      <c r="G91" s="10"/>
      <c r="H91" s="9"/>
      <c r="I91" s="10"/>
      <c r="J91" s="12" t="str">
        <f t="shared" si="1"/>
        <v/>
      </c>
      <c r="K91" s="12" t="str">
        <f>IF(J91="","",COUNTIF($J$3:$J$501,"&lt;"&amp;J91)+COUNTIF('Tournament Log'!$N$4:$N$203,"&lt;"&amp;J91)+COUNTIF('Guest Log'!$K$4:$K$203,"&lt;"&amp;J91)+1)</f>
        <v/>
      </c>
    </row>
    <row r="92" spans="1:11" ht="15" customHeight="1" x14ac:dyDescent="0.2">
      <c r="A92" s="9"/>
      <c r="B92" s="9"/>
      <c r="C92" s="9"/>
      <c r="D92" s="10"/>
      <c r="E92" s="10"/>
      <c r="F92" s="10"/>
      <c r="G92" s="10"/>
      <c r="H92" s="9"/>
      <c r="I92" s="10"/>
      <c r="J92" s="12" t="str">
        <f t="shared" si="1"/>
        <v/>
      </c>
      <c r="K92" s="12" t="str">
        <f>IF(J92="","",COUNTIF($J$3:$J$501,"&lt;"&amp;J92)+COUNTIF('Tournament Log'!$N$4:$N$203,"&lt;"&amp;J92)+COUNTIF('Guest Log'!$K$4:$K$203,"&lt;"&amp;J92)+1)</f>
        <v/>
      </c>
    </row>
    <row r="93" spans="1:11" ht="15" customHeight="1" x14ac:dyDescent="0.2">
      <c r="A93" s="9"/>
      <c r="B93" s="9"/>
      <c r="C93" s="9"/>
      <c r="D93" s="10"/>
      <c r="E93" s="10"/>
      <c r="F93" s="10"/>
      <c r="G93" s="10"/>
      <c r="H93" s="9"/>
      <c r="I93" s="10"/>
      <c r="J93" s="12" t="str">
        <f t="shared" si="1"/>
        <v/>
      </c>
      <c r="K93" s="12" t="str">
        <f>IF(J93="","",COUNTIF($J$3:$J$501,"&lt;"&amp;J93)+COUNTIF('Tournament Log'!$N$4:$N$203,"&lt;"&amp;J93)+COUNTIF('Guest Log'!$K$4:$K$203,"&lt;"&amp;J93)+1)</f>
        <v/>
      </c>
    </row>
    <row r="94" spans="1:11" ht="15" customHeight="1" x14ac:dyDescent="0.2">
      <c r="A94" s="9"/>
      <c r="B94" s="9"/>
      <c r="C94" s="9"/>
      <c r="D94" s="10"/>
      <c r="E94" s="10"/>
      <c r="F94" s="10"/>
      <c r="G94" s="10"/>
      <c r="H94" s="9"/>
      <c r="I94" s="10"/>
      <c r="J94" s="12" t="str">
        <f t="shared" si="1"/>
        <v/>
      </c>
      <c r="K94" s="12" t="str">
        <f>IF(J94="","",COUNTIF($J$3:$J$501,"&lt;"&amp;J94)+COUNTIF('Tournament Log'!$N$4:$N$203,"&lt;"&amp;J94)+COUNTIF('Guest Log'!$K$4:$K$203,"&lt;"&amp;J94)+1)</f>
        <v/>
      </c>
    </row>
    <row r="95" spans="1:11" ht="15" customHeight="1" x14ac:dyDescent="0.2">
      <c r="A95" s="9"/>
      <c r="B95" s="9"/>
      <c r="C95" s="9"/>
      <c r="D95" s="10"/>
      <c r="E95" s="10"/>
      <c r="F95" s="10"/>
      <c r="G95" s="10"/>
      <c r="H95" s="9"/>
      <c r="I95" s="10"/>
      <c r="J95" s="12" t="str">
        <f t="shared" si="1"/>
        <v/>
      </c>
      <c r="K95" s="12" t="str">
        <f>IF(J95="","",COUNTIF($J$3:$J$501,"&lt;"&amp;J95)+COUNTIF('Tournament Log'!$N$4:$N$203,"&lt;"&amp;J95)+COUNTIF('Guest Log'!$K$4:$K$203,"&lt;"&amp;J95)+1)</f>
        <v/>
      </c>
    </row>
    <row r="96" spans="1:11" ht="15" customHeight="1" x14ac:dyDescent="0.2">
      <c r="A96" s="9"/>
      <c r="B96" s="9"/>
      <c r="C96" s="9"/>
      <c r="D96" s="10"/>
      <c r="E96" s="10"/>
      <c r="F96" s="10"/>
      <c r="G96" s="10"/>
      <c r="H96" s="9"/>
      <c r="I96" s="10"/>
      <c r="J96" s="12" t="str">
        <f t="shared" si="1"/>
        <v/>
      </c>
      <c r="K96" s="12" t="str">
        <f>IF(J96="","",COUNTIF($J$3:$J$501,"&lt;"&amp;J96)+COUNTIF('Tournament Log'!$N$4:$N$203,"&lt;"&amp;J96)+COUNTIF('Guest Log'!$K$4:$K$203,"&lt;"&amp;J96)+1)</f>
        <v/>
      </c>
    </row>
    <row r="97" spans="1:11" ht="15" customHeight="1" x14ac:dyDescent="0.2">
      <c r="A97" s="9"/>
      <c r="B97" s="9"/>
      <c r="C97" s="9"/>
      <c r="D97" s="10"/>
      <c r="E97" s="10"/>
      <c r="F97" s="10"/>
      <c r="G97" s="10"/>
      <c r="H97" s="9"/>
      <c r="I97" s="10"/>
      <c r="J97" s="12" t="str">
        <f t="shared" si="1"/>
        <v/>
      </c>
      <c r="K97" s="12" t="str">
        <f>IF(J97="","",COUNTIF($J$3:$J$501,"&lt;"&amp;J97)+COUNTIF('Tournament Log'!$N$4:$N$203,"&lt;"&amp;J97)+COUNTIF('Guest Log'!$K$4:$K$203,"&lt;"&amp;J97)+1)</f>
        <v/>
      </c>
    </row>
    <row r="98" spans="1:11" ht="15" customHeight="1" x14ac:dyDescent="0.2">
      <c r="A98" s="9"/>
      <c r="B98" s="9"/>
      <c r="C98" s="9"/>
      <c r="D98" s="10"/>
      <c r="E98" s="10"/>
      <c r="F98" s="10"/>
      <c r="G98" s="10"/>
      <c r="H98" s="9"/>
      <c r="I98" s="10"/>
      <c r="J98" s="12" t="str">
        <f t="shared" si="1"/>
        <v/>
      </c>
      <c r="K98" s="12" t="str">
        <f>IF(J98="","",COUNTIF($J$3:$J$501,"&lt;"&amp;J98)+COUNTIF('Tournament Log'!$N$4:$N$203,"&lt;"&amp;J98)+COUNTIF('Guest Log'!$K$4:$K$203,"&lt;"&amp;J98)+1)</f>
        <v/>
      </c>
    </row>
    <row r="99" spans="1:11" ht="15" customHeight="1" x14ac:dyDescent="0.2">
      <c r="A99" s="9"/>
      <c r="B99" s="9"/>
      <c r="C99" s="9"/>
      <c r="D99" s="10"/>
      <c r="E99" s="10"/>
      <c r="F99" s="10"/>
      <c r="G99" s="10"/>
      <c r="H99" s="9"/>
      <c r="I99" s="10"/>
      <c r="J99" s="12" t="str">
        <f t="shared" si="1"/>
        <v/>
      </c>
      <c r="K99" s="12" t="str">
        <f>IF(J99="","",COUNTIF($J$3:$J$501,"&lt;"&amp;J99)+COUNTIF('Tournament Log'!$N$4:$N$203,"&lt;"&amp;J99)+COUNTIF('Guest Log'!$K$4:$K$203,"&lt;"&amp;J99)+1)</f>
        <v/>
      </c>
    </row>
    <row r="100" spans="1:11" ht="15" customHeight="1" x14ac:dyDescent="0.2">
      <c r="A100" s="9"/>
      <c r="B100" s="9"/>
      <c r="C100" s="9"/>
      <c r="D100" s="10"/>
      <c r="E100" s="10"/>
      <c r="F100" s="10"/>
      <c r="G100" s="10"/>
      <c r="H100" s="9"/>
      <c r="I100" s="10"/>
      <c r="J100" s="12" t="str">
        <f t="shared" si="1"/>
        <v/>
      </c>
      <c r="K100" s="12" t="str">
        <f>IF(J100="","",COUNTIF($J$3:$J$501,"&lt;"&amp;J100)+COUNTIF('Tournament Log'!$N$4:$N$203,"&lt;"&amp;J100)+COUNTIF('Guest Log'!$K$4:$K$203,"&lt;"&amp;J100)+1)</f>
        <v/>
      </c>
    </row>
    <row r="101" spans="1:11" ht="15" customHeight="1" x14ac:dyDescent="0.2">
      <c r="A101" s="9"/>
      <c r="B101" s="9"/>
      <c r="C101" s="9"/>
      <c r="D101" s="10"/>
      <c r="E101" s="10"/>
      <c r="F101" s="10"/>
      <c r="G101" s="10"/>
      <c r="H101" s="9"/>
      <c r="I101" s="10"/>
      <c r="J101" s="12" t="str">
        <f t="shared" si="1"/>
        <v/>
      </c>
      <c r="K101" s="12" t="str">
        <f>IF(J101="","",COUNTIF($J$3:$J$501,"&lt;"&amp;J101)+COUNTIF('Tournament Log'!$N$4:$N$203,"&lt;"&amp;J101)+COUNTIF('Guest Log'!$K$4:$K$203,"&lt;"&amp;J101)+1)</f>
        <v/>
      </c>
    </row>
    <row r="102" spans="1:11" ht="15" customHeight="1" x14ac:dyDescent="0.2">
      <c r="A102" s="9"/>
      <c r="B102" s="9"/>
      <c r="C102" s="9"/>
      <c r="D102" s="10"/>
      <c r="E102" s="10"/>
      <c r="F102" s="10"/>
      <c r="G102" s="10"/>
      <c r="H102" s="9"/>
      <c r="I102" s="10"/>
      <c r="J102" s="12" t="str">
        <f t="shared" si="1"/>
        <v/>
      </c>
      <c r="K102" s="12" t="str">
        <f>IF(J102="","",COUNTIF($J$3:$J$501,"&lt;"&amp;J102)+COUNTIF('Tournament Log'!$N$4:$N$203,"&lt;"&amp;J102)+COUNTIF('Guest Log'!$K$4:$K$203,"&lt;"&amp;J102)+1)</f>
        <v/>
      </c>
    </row>
    <row r="103" spans="1:11" ht="15" customHeight="1" x14ac:dyDescent="0.2">
      <c r="A103" s="9"/>
      <c r="B103" s="9"/>
      <c r="C103" s="9"/>
      <c r="D103" s="10"/>
      <c r="E103" s="10"/>
      <c r="F103" s="10"/>
      <c r="G103" s="10"/>
      <c r="H103" s="9"/>
      <c r="I103" s="10"/>
      <c r="J103" s="12" t="str">
        <f t="shared" si="1"/>
        <v/>
      </c>
      <c r="K103" s="12" t="str">
        <f>IF(J103="","",COUNTIF($J$3:$J$501,"&lt;"&amp;J103)+COUNTIF('Tournament Log'!$N$4:$N$203,"&lt;"&amp;J103)+COUNTIF('Guest Log'!$K$4:$K$203,"&lt;"&amp;J103)+1)</f>
        <v/>
      </c>
    </row>
    <row r="104" spans="1:11" ht="15" customHeight="1" x14ac:dyDescent="0.2">
      <c r="A104" s="9"/>
      <c r="B104" s="9"/>
      <c r="C104" s="9"/>
      <c r="D104" s="10"/>
      <c r="E104" s="10"/>
      <c r="F104" s="10"/>
      <c r="G104" s="10"/>
      <c r="H104" s="9"/>
      <c r="I104" s="10"/>
      <c r="J104" s="12" t="str">
        <f t="shared" si="1"/>
        <v/>
      </c>
      <c r="K104" s="12" t="str">
        <f>IF(J104="","",COUNTIF($J$3:$J$501,"&lt;"&amp;J104)+COUNTIF('Tournament Log'!$N$4:$N$203,"&lt;"&amp;J104)+COUNTIF('Guest Log'!$K$4:$K$203,"&lt;"&amp;J104)+1)</f>
        <v/>
      </c>
    </row>
    <row r="105" spans="1:11" ht="15" customHeight="1" x14ac:dyDescent="0.2">
      <c r="A105" s="9"/>
      <c r="B105" s="9"/>
      <c r="C105" s="9"/>
      <c r="D105" s="10"/>
      <c r="E105" s="10"/>
      <c r="F105" s="10"/>
      <c r="G105" s="10"/>
      <c r="H105" s="9"/>
      <c r="I105" s="10"/>
      <c r="J105" s="12" t="str">
        <f t="shared" si="1"/>
        <v/>
      </c>
      <c r="K105" s="12" t="str">
        <f>IF(J105="","",COUNTIF($J$3:$J$501,"&lt;"&amp;J105)+COUNTIF('Tournament Log'!$N$4:$N$203,"&lt;"&amp;J105)+COUNTIF('Guest Log'!$K$4:$K$203,"&lt;"&amp;J105)+1)</f>
        <v/>
      </c>
    </row>
    <row r="106" spans="1:11" ht="15" customHeight="1" x14ac:dyDescent="0.2">
      <c r="A106" s="9"/>
      <c r="B106" s="9"/>
      <c r="C106" s="9"/>
      <c r="D106" s="10"/>
      <c r="E106" s="10"/>
      <c r="F106" s="10"/>
      <c r="G106" s="10"/>
      <c r="H106" s="9"/>
      <c r="I106" s="10"/>
      <c r="J106" s="12" t="str">
        <f t="shared" si="1"/>
        <v/>
      </c>
      <c r="K106" s="12" t="str">
        <f>IF(J106="","",COUNTIF($J$3:$J$501,"&lt;"&amp;J106)+COUNTIF('Tournament Log'!$N$4:$N$203,"&lt;"&amp;J106)+COUNTIF('Guest Log'!$K$4:$K$203,"&lt;"&amp;J106)+1)</f>
        <v/>
      </c>
    </row>
    <row r="107" spans="1:11" ht="15" customHeight="1" x14ac:dyDescent="0.2">
      <c r="A107" s="9"/>
      <c r="B107" s="9"/>
      <c r="C107" s="9"/>
      <c r="D107" s="10"/>
      <c r="E107" s="10"/>
      <c r="F107" s="10"/>
      <c r="G107" s="10"/>
      <c r="H107" s="9"/>
      <c r="I107" s="10"/>
      <c r="J107" s="12" t="str">
        <f t="shared" si="1"/>
        <v/>
      </c>
      <c r="K107" s="12" t="str">
        <f>IF(J107="","",COUNTIF($J$3:$J$501,"&lt;"&amp;J107)+COUNTIF('Tournament Log'!$N$4:$N$203,"&lt;"&amp;J107)+COUNTIF('Guest Log'!$K$4:$K$203,"&lt;"&amp;J107)+1)</f>
        <v/>
      </c>
    </row>
    <row r="108" spans="1:11" ht="15" customHeight="1" x14ac:dyDescent="0.2">
      <c r="A108" s="9"/>
      <c r="B108" s="9"/>
      <c r="C108" s="9"/>
      <c r="D108" s="10"/>
      <c r="E108" s="10"/>
      <c r="F108" s="10"/>
      <c r="G108" s="10"/>
      <c r="H108" s="9"/>
      <c r="I108" s="10"/>
      <c r="J108" s="12" t="str">
        <f t="shared" si="1"/>
        <v/>
      </c>
      <c r="K108" s="12" t="str">
        <f>IF(J108="","",COUNTIF($J$3:$J$501,"&lt;"&amp;J108)+COUNTIF('Tournament Log'!$N$4:$N$203,"&lt;"&amp;J108)+COUNTIF('Guest Log'!$K$4:$K$203,"&lt;"&amp;J108)+1)</f>
        <v/>
      </c>
    </row>
    <row r="109" spans="1:11" ht="15" customHeight="1" x14ac:dyDescent="0.2">
      <c r="A109" s="9"/>
      <c r="B109" s="9"/>
      <c r="C109" s="9"/>
      <c r="D109" s="10"/>
      <c r="E109" s="10"/>
      <c r="F109" s="10"/>
      <c r="G109" s="10"/>
      <c r="H109" s="9"/>
      <c r="I109" s="10"/>
      <c r="J109" s="12" t="str">
        <f t="shared" si="1"/>
        <v/>
      </c>
      <c r="K109" s="12" t="str">
        <f>IF(J109="","",COUNTIF($J$3:$J$501,"&lt;"&amp;J109)+COUNTIF('Tournament Log'!$N$4:$N$203,"&lt;"&amp;J109)+COUNTIF('Guest Log'!$K$4:$K$203,"&lt;"&amp;J109)+1)</f>
        <v/>
      </c>
    </row>
    <row r="110" spans="1:11" ht="15" customHeight="1" x14ac:dyDescent="0.2">
      <c r="A110" s="9"/>
      <c r="B110" s="9"/>
      <c r="C110" s="9"/>
      <c r="D110" s="10"/>
      <c r="E110" s="10"/>
      <c r="F110" s="10"/>
      <c r="G110" s="10"/>
      <c r="H110" s="9"/>
      <c r="I110" s="10"/>
      <c r="J110" s="12" t="str">
        <f t="shared" si="1"/>
        <v/>
      </c>
      <c r="K110" s="12" t="str">
        <f>IF(J110="","",COUNTIF($J$3:$J$501,"&lt;"&amp;J110)+COUNTIF('Tournament Log'!$N$4:$N$203,"&lt;"&amp;J110)+COUNTIF('Guest Log'!$K$4:$K$203,"&lt;"&amp;J110)+1)</f>
        <v/>
      </c>
    </row>
    <row r="111" spans="1:11" ht="15" customHeight="1" x14ac:dyDescent="0.2">
      <c r="A111" s="9"/>
      <c r="B111" s="9"/>
      <c r="C111" s="9"/>
      <c r="D111" s="10"/>
      <c r="E111" s="10"/>
      <c r="F111" s="10"/>
      <c r="G111" s="10"/>
      <c r="H111" s="9"/>
      <c r="I111" s="10"/>
      <c r="J111" s="12" t="str">
        <f t="shared" si="1"/>
        <v/>
      </c>
      <c r="K111" s="12" t="str">
        <f>IF(J111="","",COUNTIF($J$3:$J$501,"&lt;"&amp;J111)+COUNTIF('Tournament Log'!$N$4:$N$203,"&lt;"&amp;J111)+COUNTIF('Guest Log'!$K$4:$K$203,"&lt;"&amp;J111)+1)</f>
        <v/>
      </c>
    </row>
    <row r="112" spans="1:11" ht="15" customHeight="1" x14ac:dyDescent="0.2">
      <c r="A112" s="9"/>
      <c r="B112" s="9"/>
      <c r="C112" s="9"/>
      <c r="D112" s="10"/>
      <c r="E112" s="10"/>
      <c r="F112" s="10"/>
      <c r="G112" s="10"/>
      <c r="H112" s="9"/>
      <c r="I112" s="10"/>
      <c r="J112" s="12" t="str">
        <f t="shared" si="1"/>
        <v/>
      </c>
      <c r="K112" s="12" t="str">
        <f>IF(J112="","",COUNTIF($J$3:$J$501,"&lt;"&amp;J112)+COUNTIF('Tournament Log'!$N$4:$N$203,"&lt;"&amp;J112)+COUNTIF('Guest Log'!$K$4:$K$203,"&lt;"&amp;J112)+1)</f>
        <v/>
      </c>
    </row>
    <row r="113" spans="1:11" ht="15" customHeight="1" x14ac:dyDescent="0.2">
      <c r="A113" s="9"/>
      <c r="B113" s="9"/>
      <c r="C113" s="9"/>
      <c r="D113" s="10"/>
      <c r="E113" s="10"/>
      <c r="F113" s="10"/>
      <c r="G113" s="10"/>
      <c r="H113" s="9"/>
      <c r="I113" s="10"/>
      <c r="J113" s="12" t="str">
        <f t="shared" si="1"/>
        <v/>
      </c>
      <c r="K113" s="12" t="str">
        <f>IF(J113="","",COUNTIF($J$3:$J$501,"&lt;"&amp;J113)+COUNTIF('Tournament Log'!$N$4:$N$203,"&lt;"&amp;J113)+COUNTIF('Guest Log'!$K$4:$K$203,"&lt;"&amp;J113)+1)</f>
        <v/>
      </c>
    </row>
    <row r="114" spans="1:11" ht="15" customHeight="1" x14ac:dyDescent="0.2">
      <c r="A114" s="9"/>
      <c r="B114" s="9"/>
      <c r="C114" s="9"/>
      <c r="D114" s="10"/>
      <c r="E114" s="10"/>
      <c r="F114" s="10"/>
      <c r="G114" s="10"/>
      <c r="H114" s="9"/>
      <c r="I114" s="10"/>
      <c r="J114" s="12" t="str">
        <f t="shared" si="1"/>
        <v/>
      </c>
      <c r="K114" s="12" t="str">
        <f>IF(J114="","",COUNTIF($J$3:$J$501,"&lt;"&amp;J114)+COUNTIF('Tournament Log'!$N$4:$N$203,"&lt;"&amp;J114)+COUNTIF('Guest Log'!$K$4:$K$203,"&lt;"&amp;J114)+1)</f>
        <v/>
      </c>
    </row>
    <row r="115" spans="1:11" ht="15" customHeight="1" x14ac:dyDescent="0.2">
      <c r="A115" s="9"/>
      <c r="B115" s="9"/>
      <c r="C115" s="9"/>
      <c r="D115" s="10"/>
      <c r="E115" s="10"/>
      <c r="F115" s="10"/>
      <c r="G115" s="10"/>
      <c r="H115" s="9"/>
      <c r="I115" s="10"/>
      <c r="J115" s="12" t="str">
        <f t="shared" si="1"/>
        <v/>
      </c>
      <c r="K115" s="12" t="str">
        <f>IF(J115="","",COUNTIF($J$3:$J$501,"&lt;"&amp;J115)+COUNTIF('Tournament Log'!$N$4:$N$203,"&lt;"&amp;J115)+COUNTIF('Guest Log'!$K$4:$K$203,"&lt;"&amp;J115)+1)</f>
        <v/>
      </c>
    </row>
    <row r="116" spans="1:11" ht="15" customHeight="1" x14ac:dyDescent="0.2">
      <c r="A116" s="9"/>
      <c r="B116" s="9"/>
      <c r="C116" s="9"/>
      <c r="D116" s="10"/>
      <c r="E116" s="10"/>
      <c r="F116" s="10"/>
      <c r="G116" s="10"/>
      <c r="H116" s="9"/>
      <c r="I116" s="10"/>
      <c r="J116" s="12" t="str">
        <f t="shared" si="1"/>
        <v/>
      </c>
      <c r="K116" s="12" t="str">
        <f>IF(J116="","",COUNTIF($J$3:$J$501,"&lt;"&amp;J116)+COUNTIF('Tournament Log'!$N$4:$N$203,"&lt;"&amp;J116)+COUNTIF('Guest Log'!$K$4:$K$203,"&lt;"&amp;J116)+1)</f>
        <v/>
      </c>
    </row>
    <row r="117" spans="1:11" ht="15" customHeight="1" x14ac:dyDescent="0.2">
      <c r="A117" s="9"/>
      <c r="B117" s="9"/>
      <c r="C117" s="9"/>
      <c r="D117" s="10"/>
      <c r="E117" s="10"/>
      <c r="F117" s="10"/>
      <c r="G117" s="10"/>
      <c r="H117" s="9"/>
      <c r="I117" s="10"/>
      <c r="J117" s="12" t="str">
        <f t="shared" si="1"/>
        <v/>
      </c>
      <c r="K117" s="12" t="str">
        <f>IF(J117="","",COUNTIF($J$3:$J$501,"&lt;"&amp;J117)+COUNTIF('Tournament Log'!$N$4:$N$203,"&lt;"&amp;J117)+COUNTIF('Guest Log'!$K$4:$K$203,"&lt;"&amp;J117)+1)</f>
        <v/>
      </c>
    </row>
    <row r="118" spans="1:11" ht="15" customHeight="1" x14ac:dyDescent="0.2">
      <c r="A118" s="9"/>
      <c r="B118" s="9"/>
      <c r="C118" s="9"/>
      <c r="D118" s="10"/>
      <c r="E118" s="10"/>
      <c r="F118" s="10"/>
      <c r="G118" s="10"/>
      <c r="H118" s="9"/>
      <c r="I118" s="10"/>
      <c r="J118" s="12" t="str">
        <f t="shared" si="1"/>
        <v/>
      </c>
      <c r="K118" s="12" t="str">
        <f>IF(J118="","",COUNTIF($J$3:$J$501,"&lt;"&amp;J118)+COUNTIF('Tournament Log'!$N$4:$N$203,"&lt;"&amp;J118)+COUNTIF('Guest Log'!$K$4:$K$203,"&lt;"&amp;J118)+1)</f>
        <v/>
      </c>
    </row>
    <row r="119" spans="1:11" ht="15" customHeight="1" x14ac:dyDescent="0.2">
      <c r="A119" s="9"/>
      <c r="B119" s="9"/>
      <c r="C119" s="9"/>
      <c r="D119" s="10"/>
      <c r="E119" s="10"/>
      <c r="F119" s="10"/>
      <c r="G119" s="10"/>
      <c r="H119" s="9"/>
      <c r="I119" s="10"/>
      <c r="J119" s="12" t="str">
        <f t="shared" si="1"/>
        <v/>
      </c>
      <c r="K119" s="12" t="str">
        <f>IF(J119="","",COUNTIF($J$3:$J$501,"&lt;"&amp;J119)+COUNTIF('Tournament Log'!$N$4:$N$203,"&lt;"&amp;J119)+COUNTIF('Guest Log'!$K$4:$K$203,"&lt;"&amp;J119)+1)</f>
        <v/>
      </c>
    </row>
    <row r="120" spans="1:11" ht="15" customHeight="1" x14ac:dyDescent="0.2">
      <c r="A120" s="9"/>
      <c r="B120" s="9"/>
      <c r="C120" s="9"/>
      <c r="D120" s="10"/>
      <c r="E120" s="10"/>
      <c r="F120" s="10"/>
      <c r="G120" s="10"/>
      <c r="H120" s="9"/>
      <c r="I120" s="10"/>
      <c r="J120" s="12" t="str">
        <f t="shared" si="1"/>
        <v/>
      </c>
      <c r="K120" s="12" t="str">
        <f>IF(J120="","",COUNTIF($J$3:$J$501,"&lt;"&amp;J120)+COUNTIF('Tournament Log'!$N$4:$N$203,"&lt;"&amp;J120)+COUNTIF('Guest Log'!$K$4:$K$203,"&lt;"&amp;J120)+1)</f>
        <v/>
      </c>
    </row>
    <row r="121" spans="1:11" ht="15" customHeight="1" x14ac:dyDescent="0.2">
      <c r="A121" s="9"/>
      <c r="B121" s="9"/>
      <c r="C121" s="9"/>
      <c r="D121" s="10"/>
      <c r="E121" s="10"/>
      <c r="F121" s="10"/>
      <c r="G121" s="10"/>
      <c r="H121" s="9"/>
      <c r="I121" s="10"/>
      <c r="J121" s="12" t="str">
        <f t="shared" si="1"/>
        <v/>
      </c>
      <c r="K121" s="12" t="str">
        <f>IF(J121="","",COUNTIF($J$3:$J$501,"&lt;"&amp;J121)+COUNTIF('Tournament Log'!$N$4:$N$203,"&lt;"&amp;J121)+COUNTIF('Guest Log'!$K$4:$K$203,"&lt;"&amp;J121)+1)</f>
        <v/>
      </c>
    </row>
    <row r="122" spans="1:11" ht="15" customHeight="1" x14ac:dyDescent="0.2">
      <c r="A122" s="9"/>
      <c r="B122" s="9"/>
      <c r="C122" s="9"/>
      <c r="D122" s="10"/>
      <c r="E122" s="10"/>
      <c r="F122" s="10"/>
      <c r="G122" s="10"/>
      <c r="H122" s="9"/>
      <c r="I122" s="10"/>
      <c r="J122" s="12" t="str">
        <f t="shared" si="1"/>
        <v/>
      </c>
      <c r="K122" s="12" t="str">
        <f>IF(J122="","",COUNTIF($J$3:$J$501,"&lt;"&amp;J122)+COUNTIF('Tournament Log'!$N$4:$N$203,"&lt;"&amp;J122)+COUNTIF('Guest Log'!$K$4:$K$203,"&lt;"&amp;J122)+1)</f>
        <v/>
      </c>
    </row>
    <row r="123" spans="1:11" ht="15" customHeight="1" x14ac:dyDescent="0.2">
      <c r="A123" s="9"/>
      <c r="B123" s="9"/>
      <c r="C123" s="9"/>
      <c r="D123" s="10"/>
      <c r="E123" s="10"/>
      <c r="F123" s="10"/>
      <c r="G123" s="10"/>
      <c r="H123" s="9"/>
      <c r="I123" s="10"/>
      <c r="J123" s="12" t="str">
        <f t="shared" si="1"/>
        <v/>
      </c>
      <c r="K123" s="12" t="str">
        <f>IF(J123="","",COUNTIF($J$3:$J$501,"&lt;"&amp;J123)+COUNTIF('Tournament Log'!$N$4:$N$203,"&lt;"&amp;J123)+COUNTIF('Guest Log'!$K$4:$K$203,"&lt;"&amp;J123)+1)</f>
        <v/>
      </c>
    </row>
    <row r="124" spans="1:11" ht="15" customHeight="1" x14ac:dyDescent="0.2">
      <c r="A124" s="9"/>
      <c r="B124" s="9"/>
      <c r="C124" s="9"/>
      <c r="D124" s="10"/>
      <c r="E124" s="10"/>
      <c r="F124" s="10"/>
      <c r="G124" s="10"/>
      <c r="H124" s="9"/>
      <c r="I124" s="10"/>
      <c r="J124" s="12" t="str">
        <f t="shared" si="1"/>
        <v/>
      </c>
      <c r="K124" s="12" t="str">
        <f>IF(J124="","",COUNTIF($J$3:$J$501,"&lt;"&amp;J124)+COUNTIF('Tournament Log'!$N$4:$N$203,"&lt;"&amp;J124)+COUNTIF('Guest Log'!$K$4:$K$203,"&lt;"&amp;J124)+1)</f>
        <v/>
      </c>
    </row>
    <row r="125" spans="1:11" ht="15" customHeight="1" x14ac:dyDescent="0.2">
      <c r="A125" s="9"/>
      <c r="B125" s="9"/>
      <c r="C125" s="9"/>
      <c r="D125" s="10"/>
      <c r="E125" s="10"/>
      <c r="F125" s="10"/>
      <c r="G125" s="10"/>
      <c r="H125" s="9"/>
      <c r="I125" s="10"/>
      <c r="J125" s="12" t="str">
        <f t="shared" si="1"/>
        <v/>
      </c>
      <c r="K125" s="12" t="str">
        <f>IF(J125="","",COUNTIF($J$3:$J$501,"&lt;"&amp;J125)+COUNTIF('Tournament Log'!$N$4:$N$203,"&lt;"&amp;J125)+COUNTIF('Guest Log'!$K$4:$K$203,"&lt;"&amp;J125)+1)</f>
        <v/>
      </c>
    </row>
    <row r="126" spans="1:11" ht="15" customHeight="1" x14ac:dyDescent="0.2">
      <c r="A126" s="9"/>
      <c r="B126" s="9"/>
      <c r="C126" s="9"/>
      <c r="D126" s="10"/>
      <c r="E126" s="10"/>
      <c r="F126" s="10"/>
      <c r="G126" s="10"/>
      <c r="H126" s="9"/>
      <c r="I126" s="10"/>
      <c r="J126" s="12" t="str">
        <f t="shared" si="1"/>
        <v/>
      </c>
      <c r="K126" s="12" t="str">
        <f>IF(J126="","",COUNTIF($J$3:$J$501,"&lt;"&amp;J126)+COUNTIF('Tournament Log'!$N$4:$N$203,"&lt;"&amp;J126)+COUNTIF('Guest Log'!$K$4:$K$203,"&lt;"&amp;J126)+1)</f>
        <v/>
      </c>
    </row>
    <row r="127" spans="1:11" ht="15" customHeight="1" x14ac:dyDescent="0.2">
      <c r="A127" s="9"/>
      <c r="B127" s="9"/>
      <c r="C127" s="9"/>
      <c r="D127" s="10"/>
      <c r="E127" s="10"/>
      <c r="F127" s="10"/>
      <c r="G127" s="10"/>
      <c r="H127" s="9"/>
      <c r="I127" s="10"/>
      <c r="J127" s="12" t="str">
        <f t="shared" si="1"/>
        <v/>
      </c>
      <c r="K127" s="12" t="str">
        <f>IF(J127="","",COUNTIF($J$3:$J$501,"&lt;"&amp;J127)+COUNTIF('Tournament Log'!$N$4:$N$203,"&lt;"&amp;J127)+COUNTIF('Guest Log'!$K$4:$K$203,"&lt;"&amp;J127)+1)</f>
        <v/>
      </c>
    </row>
    <row r="128" spans="1:11" ht="15" customHeight="1" x14ac:dyDescent="0.2">
      <c r="A128" s="9"/>
      <c r="B128" s="9"/>
      <c r="C128" s="9"/>
      <c r="D128" s="10"/>
      <c r="E128" s="10"/>
      <c r="F128" s="10"/>
      <c r="G128" s="10"/>
      <c r="H128" s="9"/>
      <c r="I128" s="10"/>
      <c r="J128" s="12" t="str">
        <f t="shared" si="1"/>
        <v/>
      </c>
      <c r="K128" s="12" t="str">
        <f>IF(J128="","",COUNTIF($J$3:$J$501,"&lt;"&amp;J128)+COUNTIF('Tournament Log'!$N$4:$N$203,"&lt;"&amp;J128)+COUNTIF('Guest Log'!$K$4:$K$203,"&lt;"&amp;J128)+1)</f>
        <v/>
      </c>
    </row>
    <row r="129" spans="1:11" ht="15" customHeight="1" x14ac:dyDescent="0.2">
      <c r="A129" s="9"/>
      <c r="B129" s="9"/>
      <c r="C129" s="9"/>
      <c r="D129" s="10"/>
      <c r="E129" s="10"/>
      <c r="F129" s="10"/>
      <c r="G129" s="10"/>
      <c r="H129" s="9"/>
      <c r="I129" s="10"/>
      <c r="J129" s="12" t="str">
        <f t="shared" si="1"/>
        <v/>
      </c>
      <c r="K129" s="12" t="str">
        <f>IF(J129="","",COUNTIF($J$3:$J$501,"&lt;"&amp;J129)+COUNTIF('Tournament Log'!$N$4:$N$203,"&lt;"&amp;J129)+COUNTIF('Guest Log'!$K$4:$K$203,"&lt;"&amp;J129)+1)</f>
        <v/>
      </c>
    </row>
    <row r="130" spans="1:11" ht="15" customHeight="1" x14ac:dyDescent="0.2">
      <c r="A130" s="9"/>
      <c r="B130" s="9"/>
      <c r="C130" s="9"/>
      <c r="D130" s="10"/>
      <c r="E130" s="10"/>
      <c r="F130" s="10"/>
      <c r="G130" s="10"/>
      <c r="H130" s="9"/>
      <c r="I130" s="10"/>
      <c r="J130" s="12" t="str">
        <f t="shared" si="1"/>
        <v/>
      </c>
      <c r="K130" s="12" t="str">
        <f>IF(J130="","",COUNTIF($J$3:$J$501,"&lt;"&amp;J130)+COUNTIF('Tournament Log'!$N$4:$N$203,"&lt;"&amp;J130)+COUNTIF('Guest Log'!$K$4:$K$203,"&lt;"&amp;J130)+1)</f>
        <v/>
      </c>
    </row>
    <row r="131" spans="1:11" ht="15" customHeight="1" x14ac:dyDescent="0.2">
      <c r="A131" s="9"/>
      <c r="B131" s="9"/>
      <c r="C131" s="9"/>
      <c r="D131" s="10"/>
      <c r="E131" s="10"/>
      <c r="F131" s="10"/>
      <c r="G131" s="10"/>
      <c r="H131" s="9"/>
      <c r="I131" s="10"/>
      <c r="J131" s="12" t="str">
        <f t="shared" ref="J131:J194" si="2">IF(A131="","",A131+ROW()/10000000)</f>
        <v/>
      </c>
      <c r="K131" s="12" t="str">
        <f>IF(J131="","",COUNTIF($J$3:$J$501,"&lt;"&amp;J131)+COUNTIF('Tournament Log'!$N$4:$N$203,"&lt;"&amp;J131)+COUNTIF('Guest Log'!$K$4:$K$203,"&lt;"&amp;J131)+1)</f>
        <v/>
      </c>
    </row>
    <row r="132" spans="1:11" ht="15" customHeight="1" x14ac:dyDescent="0.2">
      <c r="A132" s="9"/>
      <c r="B132" s="9"/>
      <c r="C132" s="9"/>
      <c r="D132" s="10"/>
      <c r="E132" s="10"/>
      <c r="F132" s="10"/>
      <c r="G132" s="10"/>
      <c r="H132" s="9"/>
      <c r="I132" s="10"/>
      <c r="J132" s="12" t="str">
        <f t="shared" si="2"/>
        <v/>
      </c>
      <c r="K132" s="12" t="str">
        <f>IF(J132="","",COUNTIF($J$3:$J$501,"&lt;"&amp;J132)+COUNTIF('Tournament Log'!$N$4:$N$203,"&lt;"&amp;J132)+COUNTIF('Guest Log'!$K$4:$K$203,"&lt;"&amp;J132)+1)</f>
        <v/>
      </c>
    </row>
    <row r="133" spans="1:11" ht="15" customHeight="1" x14ac:dyDescent="0.2">
      <c r="A133" s="9"/>
      <c r="B133" s="9"/>
      <c r="C133" s="9"/>
      <c r="D133" s="10"/>
      <c r="E133" s="10"/>
      <c r="F133" s="10"/>
      <c r="G133" s="10"/>
      <c r="H133" s="9"/>
      <c r="I133" s="10"/>
      <c r="J133" s="12" t="str">
        <f t="shared" si="2"/>
        <v/>
      </c>
      <c r="K133" s="12" t="str">
        <f>IF(J133="","",COUNTIF($J$3:$J$501,"&lt;"&amp;J133)+COUNTIF('Tournament Log'!$N$4:$N$203,"&lt;"&amp;J133)+COUNTIF('Guest Log'!$K$4:$K$203,"&lt;"&amp;J133)+1)</f>
        <v/>
      </c>
    </row>
    <row r="134" spans="1:11" ht="15" customHeight="1" x14ac:dyDescent="0.2">
      <c r="A134" s="9"/>
      <c r="B134" s="9"/>
      <c r="C134" s="9"/>
      <c r="D134" s="10"/>
      <c r="E134" s="10"/>
      <c r="F134" s="10"/>
      <c r="G134" s="10"/>
      <c r="H134" s="9"/>
      <c r="I134" s="10"/>
      <c r="J134" s="12" t="str">
        <f t="shared" si="2"/>
        <v/>
      </c>
      <c r="K134" s="12" t="str">
        <f>IF(J134="","",COUNTIF($J$3:$J$501,"&lt;"&amp;J134)+COUNTIF('Tournament Log'!$N$4:$N$203,"&lt;"&amp;J134)+COUNTIF('Guest Log'!$K$4:$K$203,"&lt;"&amp;J134)+1)</f>
        <v/>
      </c>
    </row>
    <row r="135" spans="1:11" ht="15" customHeight="1" x14ac:dyDescent="0.2">
      <c r="A135" s="9"/>
      <c r="B135" s="9"/>
      <c r="C135" s="9"/>
      <c r="D135" s="10"/>
      <c r="E135" s="10"/>
      <c r="F135" s="10"/>
      <c r="G135" s="10"/>
      <c r="H135" s="9"/>
      <c r="I135" s="10"/>
      <c r="J135" s="12" t="str">
        <f t="shared" si="2"/>
        <v/>
      </c>
      <c r="K135" s="12" t="str">
        <f>IF(J135="","",COUNTIF($J$3:$J$501,"&lt;"&amp;J135)+COUNTIF('Tournament Log'!$N$4:$N$203,"&lt;"&amp;J135)+COUNTIF('Guest Log'!$K$4:$K$203,"&lt;"&amp;J135)+1)</f>
        <v/>
      </c>
    </row>
    <row r="136" spans="1:11" ht="15" customHeight="1" x14ac:dyDescent="0.2">
      <c r="A136" s="9"/>
      <c r="B136" s="9"/>
      <c r="C136" s="9"/>
      <c r="D136" s="10"/>
      <c r="E136" s="10"/>
      <c r="F136" s="10"/>
      <c r="G136" s="10"/>
      <c r="H136" s="9"/>
      <c r="I136" s="10"/>
      <c r="J136" s="12" t="str">
        <f t="shared" si="2"/>
        <v/>
      </c>
      <c r="K136" s="12" t="str">
        <f>IF(J136="","",COUNTIF($J$3:$J$501,"&lt;"&amp;J136)+COUNTIF('Tournament Log'!$N$4:$N$203,"&lt;"&amp;J136)+COUNTIF('Guest Log'!$K$4:$K$203,"&lt;"&amp;J136)+1)</f>
        <v/>
      </c>
    </row>
    <row r="137" spans="1:11" ht="15" customHeight="1" x14ac:dyDescent="0.2">
      <c r="A137" s="9"/>
      <c r="B137" s="9"/>
      <c r="C137" s="9"/>
      <c r="D137" s="10"/>
      <c r="E137" s="10"/>
      <c r="F137" s="10"/>
      <c r="G137" s="10"/>
      <c r="H137" s="9"/>
      <c r="I137" s="10"/>
      <c r="J137" s="12" t="str">
        <f t="shared" si="2"/>
        <v/>
      </c>
      <c r="K137" s="12" t="str">
        <f>IF(J137="","",COUNTIF($J$3:$J$501,"&lt;"&amp;J137)+COUNTIF('Tournament Log'!$N$4:$N$203,"&lt;"&amp;J137)+COUNTIF('Guest Log'!$K$4:$K$203,"&lt;"&amp;J137)+1)</f>
        <v/>
      </c>
    </row>
    <row r="138" spans="1:11" ht="15" customHeight="1" x14ac:dyDescent="0.2">
      <c r="A138" s="9"/>
      <c r="B138" s="9"/>
      <c r="C138" s="9"/>
      <c r="D138" s="10"/>
      <c r="E138" s="10"/>
      <c r="F138" s="10"/>
      <c r="G138" s="10"/>
      <c r="H138" s="9"/>
      <c r="I138" s="10"/>
      <c r="J138" s="12" t="str">
        <f t="shared" si="2"/>
        <v/>
      </c>
      <c r="K138" s="12" t="str">
        <f>IF(J138="","",COUNTIF($J$3:$J$501,"&lt;"&amp;J138)+COUNTIF('Tournament Log'!$N$4:$N$203,"&lt;"&amp;J138)+COUNTIF('Guest Log'!$K$4:$K$203,"&lt;"&amp;J138)+1)</f>
        <v/>
      </c>
    </row>
    <row r="139" spans="1:11" ht="15" customHeight="1" x14ac:dyDescent="0.2">
      <c r="A139" s="9"/>
      <c r="B139" s="9"/>
      <c r="C139" s="9"/>
      <c r="D139" s="10"/>
      <c r="E139" s="10"/>
      <c r="F139" s="10"/>
      <c r="G139" s="10"/>
      <c r="H139" s="9"/>
      <c r="I139" s="10"/>
      <c r="J139" s="12" t="str">
        <f t="shared" si="2"/>
        <v/>
      </c>
      <c r="K139" s="12" t="str">
        <f>IF(J139="","",COUNTIF($J$3:$J$501,"&lt;"&amp;J139)+COUNTIF('Tournament Log'!$N$4:$N$203,"&lt;"&amp;J139)+COUNTIF('Guest Log'!$K$4:$K$203,"&lt;"&amp;J139)+1)</f>
        <v/>
      </c>
    </row>
    <row r="140" spans="1:11" ht="15" customHeight="1" x14ac:dyDescent="0.2">
      <c r="A140" s="9"/>
      <c r="B140" s="9"/>
      <c r="C140" s="9"/>
      <c r="D140" s="10"/>
      <c r="E140" s="10"/>
      <c r="F140" s="10"/>
      <c r="G140" s="10"/>
      <c r="H140" s="9"/>
      <c r="I140" s="10"/>
      <c r="J140" s="12" t="str">
        <f t="shared" si="2"/>
        <v/>
      </c>
      <c r="K140" s="12" t="str">
        <f>IF(J140="","",COUNTIF($J$3:$J$501,"&lt;"&amp;J140)+COUNTIF('Tournament Log'!$N$4:$N$203,"&lt;"&amp;J140)+COUNTIF('Guest Log'!$K$4:$K$203,"&lt;"&amp;J140)+1)</f>
        <v/>
      </c>
    </row>
    <row r="141" spans="1:11" ht="15" customHeight="1" x14ac:dyDescent="0.2">
      <c r="A141" s="9"/>
      <c r="B141" s="9"/>
      <c r="C141" s="9"/>
      <c r="D141" s="10"/>
      <c r="E141" s="10"/>
      <c r="F141" s="10"/>
      <c r="G141" s="10"/>
      <c r="H141" s="9"/>
      <c r="I141" s="10"/>
      <c r="J141" s="12" t="str">
        <f t="shared" si="2"/>
        <v/>
      </c>
      <c r="K141" s="12" t="str">
        <f>IF(J141="","",COUNTIF($J$3:$J$501,"&lt;"&amp;J141)+COUNTIF('Tournament Log'!$N$4:$N$203,"&lt;"&amp;J141)+COUNTIF('Guest Log'!$K$4:$K$203,"&lt;"&amp;J141)+1)</f>
        <v/>
      </c>
    </row>
    <row r="142" spans="1:11" ht="15" customHeight="1" x14ac:dyDescent="0.2">
      <c r="A142" s="9"/>
      <c r="B142" s="9"/>
      <c r="C142" s="9"/>
      <c r="D142" s="10"/>
      <c r="E142" s="10"/>
      <c r="F142" s="10"/>
      <c r="G142" s="10"/>
      <c r="H142" s="9"/>
      <c r="I142" s="10"/>
      <c r="J142" s="12" t="str">
        <f t="shared" si="2"/>
        <v/>
      </c>
      <c r="K142" s="12" t="str">
        <f>IF(J142="","",COUNTIF($J$3:$J$501,"&lt;"&amp;J142)+COUNTIF('Tournament Log'!$N$4:$N$203,"&lt;"&amp;J142)+COUNTIF('Guest Log'!$K$4:$K$203,"&lt;"&amp;J142)+1)</f>
        <v/>
      </c>
    </row>
    <row r="143" spans="1:11" ht="15" customHeight="1" x14ac:dyDescent="0.2">
      <c r="A143" s="9"/>
      <c r="B143" s="9"/>
      <c r="C143" s="9"/>
      <c r="D143" s="10"/>
      <c r="E143" s="10"/>
      <c r="F143" s="10"/>
      <c r="G143" s="10"/>
      <c r="H143" s="9"/>
      <c r="I143" s="10"/>
      <c r="J143" s="12" t="str">
        <f t="shared" si="2"/>
        <v/>
      </c>
      <c r="K143" s="12" t="str">
        <f>IF(J143="","",COUNTIF($J$3:$J$501,"&lt;"&amp;J143)+COUNTIF('Tournament Log'!$N$4:$N$203,"&lt;"&amp;J143)+COUNTIF('Guest Log'!$K$4:$K$203,"&lt;"&amp;J143)+1)</f>
        <v/>
      </c>
    </row>
    <row r="144" spans="1:11" ht="15" customHeight="1" x14ac:dyDescent="0.2">
      <c r="A144" s="9"/>
      <c r="B144" s="9"/>
      <c r="C144" s="9"/>
      <c r="D144" s="10"/>
      <c r="E144" s="10"/>
      <c r="F144" s="10"/>
      <c r="G144" s="10"/>
      <c r="H144" s="9"/>
      <c r="I144" s="10"/>
      <c r="J144" s="12" t="str">
        <f t="shared" si="2"/>
        <v/>
      </c>
      <c r="K144" s="12" t="str">
        <f>IF(J144="","",COUNTIF($J$3:$J$501,"&lt;"&amp;J144)+COUNTIF('Tournament Log'!$N$4:$N$203,"&lt;"&amp;J144)+COUNTIF('Guest Log'!$K$4:$K$203,"&lt;"&amp;J144)+1)</f>
        <v/>
      </c>
    </row>
    <row r="145" spans="1:11" ht="15" customHeight="1" x14ac:dyDescent="0.2">
      <c r="A145" s="9"/>
      <c r="B145" s="9"/>
      <c r="C145" s="9"/>
      <c r="D145" s="10"/>
      <c r="E145" s="10"/>
      <c r="F145" s="10"/>
      <c r="G145" s="10"/>
      <c r="H145" s="9"/>
      <c r="I145" s="10"/>
      <c r="J145" s="12" t="str">
        <f t="shared" si="2"/>
        <v/>
      </c>
      <c r="K145" s="12" t="str">
        <f>IF(J145="","",COUNTIF($J$3:$J$501,"&lt;"&amp;J145)+COUNTIF('Tournament Log'!$N$4:$N$203,"&lt;"&amp;J145)+COUNTIF('Guest Log'!$K$4:$K$203,"&lt;"&amp;J145)+1)</f>
        <v/>
      </c>
    </row>
    <row r="146" spans="1:11" ht="15" customHeight="1" x14ac:dyDescent="0.2">
      <c r="A146" s="9"/>
      <c r="B146" s="9"/>
      <c r="C146" s="9"/>
      <c r="D146" s="10"/>
      <c r="E146" s="10"/>
      <c r="F146" s="10"/>
      <c r="G146" s="10"/>
      <c r="H146" s="9"/>
      <c r="I146" s="10"/>
      <c r="J146" s="12" t="str">
        <f t="shared" si="2"/>
        <v/>
      </c>
      <c r="K146" s="12" t="str">
        <f>IF(J146="","",COUNTIF($J$3:$J$501,"&lt;"&amp;J146)+COUNTIF('Tournament Log'!$N$4:$N$203,"&lt;"&amp;J146)+COUNTIF('Guest Log'!$K$4:$K$203,"&lt;"&amp;J146)+1)</f>
        <v/>
      </c>
    </row>
    <row r="147" spans="1:11" ht="15" customHeight="1" x14ac:dyDescent="0.2">
      <c r="A147" s="9"/>
      <c r="B147" s="9"/>
      <c r="C147" s="9"/>
      <c r="D147" s="10"/>
      <c r="E147" s="10"/>
      <c r="F147" s="10"/>
      <c r="G147" s="10"/>
      <c r="H147" s="9"/>
      <c r="I147" s="10"/>
      <c r="J147" s="12" t="str">
        <f t="shared" si="2"/>
        <v/>
      </c>
      <c r="K147" s="12" t="str">
        <f>IF(J147="","",COUNTIF($J$3:$J$501,"&lt;"&amp;J147)+COUNTIF('Tournament Log'!$N$4:$N$203,"&lt;"&amp;J147)+COUNTIF('Guest Log'!$K$4:$K$203,"&lt;"&amp;J147)+1)</f>
        <v/>
      </c>
    </row>
    <row r="148" spans="1:11" ht="15" customHeight="1" x14ac:dyDescent="0.2">
      <c r="A148" s="9"/>
      <c r="B148" s="9"/>
      <c r="C148" s="9"/>
      <c r="D148" s="10"/>
      <c r="E148" s="10"/>
      <c r="F148" s="10"/>
      <c r="G148" s="10"/>
      <c r="H148" s="9"/>
      <c r="I148" s="10"/>
      <c r="J148" s="12" t="str">
        <f t="shared" si="2"/>
        <v/>
      </c>
      <c r="K148" s="12" t="str">
        <f>IF(J148="","",COUNTIF($J$3:$J$501,"&lt;"&amp;J148)+COUNTIF('Tournament Log'!$N$4:$N$203,"&lt;"&amp;J148)+COUNTIF('Guest Log'!$K$4:$K$203,"&lt;"&amp;J148)+1)</f>
        <v/>
      </c>
    </row>
    <row r="149" spans="1:11" ht="15" customHeight="1" x14ac:dyDescent="0.2">
      <c r="A149" s="9"/>
      <c r="B149" s="9"/>
      <c r="C149" s="9"/>
      <c r="D149" s="10"/>
      <c r="E149" s="10"/>
      <c r="F149" s="10"/>
      <c r="G149" s="10"/>
      <c r="H149" s="9"/>
      <c r="I149" s="10"/>
      <c r="J149" s="12" t="str">
        <f t="shared" si="2"/>
        <v/>
      </c>
      <c r="K149" s="12" t="str">
        <f>IF(J149="","",COUNTIF($J$3:$J$501,"&lt;"&amp;J149)+COUNTIF('Tournament Log'!$N$4:$N$203,"&lt;"&amp;J149)+COUNTIF('Guest Log'!$K$4:$K$203,"&lt;"&amp;J149)+1)</f>
        <v/>
      </c>
    </row>
    <row r="150" spans="1:11" ht="15" customHeight="1" x14ac:dyDescent="0.2">
      <c r="A150" s="9"/>
      <c r="B150" s="9"/>
      <c r="C150" s="9"/>
      <c r="D150" s="10"/>
      <c r="E150" s="10"/>
      <c r="F150" s="10"/>
      <c r="G150" s="10"/>
      <c r="H150" s="9"/>
      <c r="I150" s="10"/>
      <c r="J150" s="12" t="str">
        <f t="shared" si="2"/>
        <v/>
      </c>
      <c r="K150" s="12" t="str">
        <f>IF(J150="","",COUNTIF($J$3:$J$501,"&lt;"&amp;J150)+COUNTIF('Tournament Log'!$N$4:$N$203,"&lt;"&amp;J150)+COUNTIF('Guest Log'!$K$4:$K$203,"&lt;"&amp;J150)+1)</f>
        <v/>
      </c>
    </row>
    <row r="151" spans="1:11" ht="15" customHeight="1" x14ac:dyDescent="0.2">
      <c r="A151" s="9"/>
      <c r="B151" s="9"/>
      <c r="C151" s="9"/>
      <c r="D151" s="10"/>
      <c r="E151" s="10"/>
      <c r="F151" s="10"/>
      <c r="G151" s="10"/>
      <c r="H151" s="9"/>
      <c r="I151" s="10"/>
      <c r="J151" s="12" t="str">
        <f t="shared" si="2"/>
        <v/>
      </c>
      <c r="K151" s="12" t="str">
        <f>IF(J151="","",COUNTIF($J$3:$J$501,"&lt;"&amp;J151)+COUNTIF('Tournament Log'!$N$4:$N$203,"&lt;"&amp;J151)+COUNTIF('Guest Log'!$K$4:$K$203,"&lt;"&amp;J151)+1)</f>
        <v/>
      </c>
    </row>
    <row r="152" spans="1:11" ht="15" customHeight="1" x14ac:dyDescent="0.2">
      <c r="A152" s="9"/>
      <c r="B152" s="9"/>
      <c r="C152" s="9"/>
      <c r="D152" s="10"/>
      <c r="E152" s="10"/>
      <c r="F152" s="10"/>
      <c r="G152" s="10"/>
      <c r="H152" s="9"/>
      <c r="I152" s="10"/>
      <c r="J152" s="12" t="str">
        <f t="shared" si="2"/>
        <v/>
      </c>
      <c r="K152" s="12" t="str">
        <f>IF(J152="","",COUNTIF($J$3:$J$501,"&lt;"&amp;J152)+COUNTIF('Tournament Log'!$N$4:$N$203,"&lt;"&amp;J152)+COUNTIF('Guest Log'!$K$4:$K$203,"&lt;"&amp;J152)+1)</f>
        <v/>
      </c>
    </row>
    <row r="153" spans="1:11" ht="15" customHeight="1" x14ac:dyDescent="0.2">
      <c r="A153" s="9"/>
      <c r="B153" s="9"/>
      <c r="C153" s="9"/>
      <c r="D153" s="10"/>
      <c r="E153" s="10"/>
      <c r="F153" s="10"/>
      <c r="G153" s="10"/>
      <c r="H153" s="9"/>
      <c r="I153" s="10"/>
      <c r="J153" s="12" t="str">
        <f t="shared" si="2"/>
        <v/>
      </c>
      <c r="K153" s="12" t="str">
        <f>IF(J153="","",COUNTIF($J$3:$J$501,"&lt;"&amp;J153)+COUNTIF('Tournament Log'!$N$4:$N$203,"&lt;"&amp;J153)+COUNTIF('Guest Log'!$K$4:$K$203,"&lt;"&amp;J153)+1)</f>
        <v/>
      </c>
    </row>
    <row r="154" spans="1:11" ht="15" customHeight="1" x14ac:dyDescent="0.2">
      <c r="A154" s="9"/>
      <c r="B154" s="9"/>
      <c r="C154" s="9"/>
      <c r="D154" s="10"/>
      <c r="E154" s="10"/>
      <c r="F154" s="10"/>
      <c r="G154" s="10"/>
      <c r="H154" s="9"/>
      <c r="I154" s="10"/>
      <c r="J154" s="12" t="str">
        <f t="shared" si="2"/>
        <v/>
      </c>
      <c r="K154" s="12" t="str">
        <f>IF(J154="","",COUNTIF($J$3:$J$501,"&lt;"&amp;J154)+COUNTIF('Tournament Log'!$N$4:$N$203,"&lt;"&amp;J154)+COUNTIF('Guest Log'!$K$4:$K$203,"&lt;"&amp;J154)+1)</f>
        <v/>
      </c>
    </row>
    <row r="155" spans="1:11" ht="15" customHeight="1" x14ac:dyDescent="0.2">
      <c r="A155" s="9"/>
      <c r="B155" s="9"/>
      <c r="C155" s="9"/>
      <c r="D155" s="10"/>
      <c r="E155" s="10"/>
      <c r="F155" s="10"/>
      <c r="G155" s="10"/>
      <c r="H155" s="9"/>
      <c r="I155" s="10"/>
      <c r="J155" s="12" t="str">
        <f t="shared" si="2"/>
        <v/>
      </c>
      <c r="K155" s="12" t="str">
        <f>IF(J155="","",COUNTIF($J$3:$J$501,"&lt;"&amp;J155)+COUNTIF('Tournament Log'!$N$4:$N$203,"&lt;"&amp;J155)+COUNTIF('Guest Log'!$K$4:$K$203,"&lt;"&amp;J155)+1)</f>
        <v/>
      </c>
    </row>
    <row r="156" spans="1:11" ht="15" customHeight="1" x14ac:dyDescent="0.2">
      <c r="A156" s="9"/>
      <c r="B156" s="9"/>
      <c r="C156" s="9"/>
      <c r="D156" s="10"/>
      <c r="E156" s="10"/>
      <c r="F156" s="10"/>
      <c r="G156" s="10"/>
      <c r="H156" s="9"/>
      <c r="I156" s="10"/>
      <c r="J156" s="12" t="str">
        <f t="shared" si="2"/>
        <v/>
      </c>
      <c r="K156" s="12" t="str">
        <f>IF(J156="","",COUNTIF($J$3:$J$501,"&lt;"&amp;J156)+COUNTIF('Tournament Log'!$N$4:$N$203,"&lt;"&amp;J156)+COUNTIF('Guest Log'!$K$4:$K$203,"&lt;"&amp;J156)+1)</f>
        <v/>
      </c>
    </row>
    <row r="157" spans="1:11" ht="15" customHeight="1" x14ac:dyDescent="0.2">
      <c r="A157" s="9"/>
      <c r="B157" s="9"/>
      <c r="C157" s="9"/>
      <c r="D157" s="10"/>
      <c r="E157" s="10"/>
      <c r="F157" s="10"/>
      <c r="G157" s="10"/>
      <c r="H157" s="9"/>
      <c r="I157" s="10"/>
      <c r="J157" s="12" t="str">
        <f t="shared" si="2"/>
        <v/>
      </c>
      <c r="K157" s="12" t="str">
        <f>IF(J157="","",COUNTIF($J$3:$J$501,"&lt;"&amp;J157)+COUNTIF('Tournament Log'!$N$4:$N$203,"&lt;"&amp;J157)+COUNTIF('Guest Log'!$K$4:$K$203,"&lt;"&amp;J157)+1)</f>
        <v/>
      </c>
    </row>
    <row r="158" spans="1:11" ht="15" customHeight="1" x14ac:dyDescent="0.2">
      <c r="A158" s="9"/>
      <c r="B158" s="9"/>
      <c r="C158" s="9"/>
      <c r="D158" s="10"/>
      <c r="E158" s="10"/>
      <c r="F158" s="10"/>
      <c r="G158" s="10"/>
      <c r="H158" s="9"/>
      <c r="I158" s="10"/>
      <c r="J158" s="12" t="str">
        <f t="shared" si="2"/>
        <v/>
      </c>
      <c r="K158" s="12" t="str">
        <f>IF(J158="","",COUNTIF($J$3:$J$501,"&lt;"&amp;J158)+COUNTIF('Tournament Log'!$N$4:$N$203,"&lt;"&amp;J158)+COUNTIF('Guest Log'!$K$4:$K$203,"&lt;"&amp;J158)+1)</f>
        <v/>
      </c>
    </row>
    <row r="159" spans="1:11" ht="15" customHeight="1" x14ac:dyDescent="0.2">
      <c r="A159" s="9"/>
      <c r="B159" s="9"/>
      <c r="C159" s="9"/>
      <c r="D159" s="10"/>
      <c r="E159" s="10"/>
      <c r="F159" s="10"/>
      <c r="G159" s="10"/>
      <c r="H159" s="9"/>
      <c r="I159" s="10"/>
      <c r="J159" s="12" t="str">
        <f t="shared" si="2"/>
        <v/>
      </c>
      <c r="K159" s="12" t="str">
        <f>IF(J159="","",COUNTIF($J$3:$J$501,"&lt;"&amp;J159)+COUNTIF('Tournament Log'!$N$4:$N$203,"&lt;"&amp;J159)+COUNTIF('Guest Log'!$K$4:$K$203,"&lt;"&amp;J159)+1)</f>
        <v/>
      </c>
    </row>
    <row r="160" spans="1:11" ht="15" customHeight="1" x14ac:dyDescent="0.2">
      <c r="A160" s="9"/>
      <c r="B160" s="9"/>
      <c r="C160" s="9"/>
      <c r="D160" s="10"/>
      <c r="E160" s="10"/>
      <c r="F160" s="10"/>
      <c r="G160" s="10"/>
      <c r="H160" s="9"/>
      <c r="I160" s="10"/>
      <c r="J160" s="12" t="str">
        <f t="shared" si="2"/>
        <v/>
      </c>
      <c r="K160" s="12" t="str">
        <f>IF(J160="","",COUNTIF($J$3:$J$501,"&lt;"&amp;J160)+COUNTIF('Tournament Log'!$N$4:$N$203,"&lt;"&amp;J160)+COUNTIF('Guest Log'!$K$4:$K$203,"&lt;"&amp;J160)+1)</f>
        <v/>
      </c>
    </row>
    <row r="161" spans="1:11" ht="15" customHeight="1" x14ac:dyDescent="0.2">
      <c r="A161" s="9"/>
      <c r="B161" s="9"/>
      <c r="C161" s="9"/>
      <c r="D161" s="10"/>
      <c r="E161" s="10"/>
      <c r="F161" s="10"/>
      <c r="G161" s="10"/>
      <c r="H161" s="9"/>
      <c r="I161" s="10"/>
      <c r="J161" s="12" t="str">
        <f t="shared" si="2"/>
        <v/>
      </c>
      <c r="K161" s="12" t="str">
        <f>IF(J161="","",COUNTIF($J$3:$J$501,"&lt;"&amp;J161)+COUNTIF('Tournament Log'!$N$4:$N$203,"&lt;"&amp;J161)+COUNTIF('Guest Log'!$K$4:$K$203,"&lt;"&amp;J161)+1)</f>
        <v/>
      </c>
    </row>
    <row r="162" spans="1:11" ht="15" customHeight="1" x14ac:dyDescent="0.2">
      <c r="A162" s="9"/>
      <c r="B162" s="9"/>
      <c r="C162" s="9"/>
      <c r="D162" s="10"/>
      <c r="E162" s="10"/>
      <c r="F162" s="10"/>
      <c r="G162" s="10"/>
      <c r="H162" s="9"/>
      <c r="I162" s="10"/>
      <c r="J162" s="12" t="str">
        <f t="shared" si="2"/>
        <v/>
      </c>
      <c r="K162" s="12" t="str">
        <f>IF(J162="","",COUNTIF($J$3:$J$501,"&lt;"&amp;J162)+COUNTIF('Tournament Log'!$N$4:$N$203,"&lt;"&amp;J162)+COUNTIF('Guest Log'!$K$4:$K$203,"&lt;"&amp;J162)+1)</f>
        <v/>
      </c>
    </row>
    <row r="163" spans="1:11" ht="15" customHeight="1" x14ac:dyDescent="0.2">
      <c r="A163" s="9"/>
      <c r="B163" s="9"/>
      <c r="C163" s="9"/>
      <c r="D163" s="10"/>
      <c r="E163" s="10"/>
      <c r="F163" s="10"/>
      <c r="G163" s="10"/>
      <c r="H163" s="9"/>
      <c r="I163" s="10"/>
      <c r="J163" s="12" t="str">
        <f t="shared" si="2"/>
        <v/>
      </c>
      <c r="K163" s="12" t="str">
        <f>IF(J163="","",COUNTIF($J$3:$J$501,"&lt;"&amp;J163)+COUNTIF('Tournament Log'!$N$4:$N$203,"&lt;"&amp;J163)+COUNTIF('Guest Log'!$K$4:$K$203,"&lt;"&amp;J163)+1)</f>
        <v/>
      </c>
    </row>
    <row r="164" spans="1:11" ht="15" customHeight="1" x14ac:dyDescent="0.2">
      <c r="A164" s="9"/>
      <c r="B164" s="9"/>
      <c r="C164" s="9"/>
      <c r="D164" s="10"/>
      <c r="E164" s="10"/>
      <c r="F164" s="10"/>
      <c r="G164" s="10"/>
      <c r="H164" s="9"/>
      <c r="I164" s="10"/>
      <c r="J164" s="12" t="str">
        <f t="shared" si="2"/>
        <v/>
      </c>
      <c r="K164" s="12" t="str">
        <f>IF(J164="","",COUNTIF($J$3:$J$501,"&lt;"&amp;J164)+COUNTIF('Tournament Log'!$N$4:$N$203,"&lt;"&amp;J164)+COUNTIF('Guest Log'!$K$4:$K$203,"&lt;"&amp;J164)+1)</f>
        <v/>
      </c>
    </row>
    <row r="165" spans="1:11" ht="15" customHeight="1" x14ac:dyDescent="0.2">
      <c r="A165" s="9"/>
      <c r="B165" s="9"/>
      <c r="C165" s="9"/>
      <c r="D165" s="10"/>
      <c r="E165" s="10"/>
      <c r="F165" s="10"/>
      <c r="G165" s="10"/>
      <c r="H165" s="9"/>
      <c r="I165" s="10"/>
      <c r="J165" s="12" t="str">
        <f t="shared" si="2"/>
        <v/>
      </c>
      <c r="K165" s="12" t="str">
        <f>IF(J165="","",COUNTIF($J$3:$J$501,"&lt;"&amp;J165)+COUNTIF('Tournament Log'!$N$4:$N$203,"&lt;"&amp;J165)+COUNTIF('Guest Log'!$K$4:$K$203,"&lt;"&amp;J165)+1)</f>
        <v/>
      </c>
    </row>
    <row r="166" spans="1:11" ht="15" customHeight="1" x14ac:dyDescent="0.2">
      <c r="A166" s="9"/>
      <c r="B166" s="9"/>
      <c r="C166" s="9"/>
      <c r="D166" s="10"/>
      <c r="E166" s="10"/>
      <c r="F166" s="10"/>
      <c r="G166" s="10"/>
      <c r="H166" s="9"/>
      <c r="I166" s="10"/>
      <c r="J166" s="12" t="str">
        <f t="shared" si="2"/>
        <v/>
      </c>
      <c r="K166" s="12" t="str">
        <f>IF(J166="","",COUNTIF($J$3:$J$501,"&lt;"&amp;J166)+COUNTIF('Tournament Log'!$N$4:$N$203,"&lt;"&amp;J166)+COUNTIF('Guest Log'!$K$4:$K$203,"&lt;"&amp;J166)+1)</f>
        <v/>
      </c>
    </row>
    <row r="167" spans="1:11" ht="15" customHeight="1" x14ac:dyDescent="0.2">
      <c r="A167" s="9"/>
      <c r="B167" s="9"/>
      <c r="C167" s="9"/>
      <c r="D167" s="10"/>
      <c r="E167" s="10"/>
      <c r="F167" s="10"/>
      <c r="G167" s="10"/>
      <c r="H167" s="9"/>
      <c r="I167" s="10"/>
      <c r="J167" s="12" t="str">
        <f t="shared" si="2"/>
        <v/>
      </c>
      <c r="K167" s="12" t="str">
        <f>IF(J167="","",COUNTIF($J$3:$J$501,"&lt;"&amp;J167)+COUNTIF('Tournament Log'!$N$4:$N$203,"&lt;"&amp;J167)+COUNTIF('Guest Log'!$K$4:$K$203,"&lt;"&amp;J167)+1)</f>
        <v/>
      </c>
    </row>
    <row r="168" spans="1:11" ht="15" customHeight="1" x14ac:dyDescent="0.2">
      <c r="A168" s="9"/>
      <c r="B168" s="9"/>
      <c r="C168" s="9"/>
      <c r="D168" s="10"/>
      <c r="E168" s="10"/>
      <c r="F168" s="10"/>
      <c r="G168" s="10"/>
      <c r="H168" s="9"/>
      <c r="I168" s="10"/>
      <c r="J168" s="12" t="str">
        <f t="shared" si="2"/>
        <v/>
      </c>
      <c r="K168" s="12" t="str">
        <f>IF(J168="","",COUNTIF($J$3:$J$501,"&lt;"&amp;J168)+COUNTIF('Tournament Log'!$N$4:$N$203,"&lt;"&amp;J168)+COUNTIF('Guest Log'!$K$4:$K$203,"&lt;"&amp;J168)+1)</f>
        <v/>
      </c>
    </row>
    <row r="169" spans="1:11" ht="15" customHeight="1" x14ac:dyDescent="0.2">
      <c r="A169" s="9"/>
      <c r="B169" s="9"/>
      <c r="C169" s="9"/>
      <c r="D169" s="10"/>
      <c r="E169" s="10"/>
      <c r="F169" s="10"/>
      <c r="G169" s="10"/>
      <c r="H169" s="9"/>
      <c r="I169" s="10"/>
      <c r="J169" s="12" t="str">
        <f t="shared" si="2"/>
        <v/>
      </c>
      <c r="K169" s="12" t="str">
        <f>IF(J169="","",COUNTIF($J$3:$J$501,"&lt;"&amp;J169)+COUNTIF('Tournament Log'!$N$4:$N$203,"&lt;"&amp;J169)+COUNTIF('Guest Log'!$K$4:$K$203,"&lt;"&amp;J169)+1)</f>
        <v/>
      </c>
    </row>
    <row r="170" spans="1:11" ht="15" customHeight="1" x14ac:dyDescent="0.2">
      <c r="A170" s="9"/>
      <c r="B170" s="9"/>
      <c r="C170" s="9"/>
      <c r="D170" s="10"/>
      <c r="E170" s="10"/>
      <c r="F170" s="10"/>
      <c r="G170" s="10"/>
      <c r="H170" s="9"/>
      <c r="I170" s="10"/>
      <c r="J170" s="12" t="str">
        <f t="shared" si="2"/>
        <v/>
      </c>
      <c r="K170" s="12" t="str">
        <f>IF(J170="","",COUNTIF($J$3:$J$501,"&lt;"&amp;J170)+COUNTIF('Tournament Log'!$N$4:$N$203,"&lt;"&amp;J170)+COUNTIF('Guest Log'!$K$4:$K$203,"&lt;"&amp;J170)+1)</f>
        <v/>
      </c>
    </row>
    <row r="171" spans="1:11" ht="15" customHeight="1" x14ac:dyDescent="0.2">
      <c r="A171" s="9"/>
      <c r="B171" s="9"/>
      <c r="C171" s="9"/>
      <c r="D171" s="10"/>
      <c r="E171" s="10"/>
      <c r="F171" s="10"/>
      <c r="G171" s="10"/>
      <c r="H171" s="9"/>
      <c r="I171" s="10"/>
      <c r="J171" s="12" t="str">
        <f t="shared" si="2"/>
        <v/>
      </c>
      <c r="K171" s="12" t="str">
        <f>IF(J171="","",COUNTIF($J$3:$J$501,"&lt;"&amp;J171)+COUNTIF('Tournament Log'!$N$4:$N$203,"&lt;"&amp;J171)+COUNTIF('Guest Log'!$K$4:$K$203,"&lt;"&amp;J171)+1)</f>
        <v/>
      </c>
    </row>
    <row r="172" spans="1:11" ht="15" customHeight="1" x14ac:dyDescent="0.2">
      <c r="A172" s="9"/>
      <c r="B172" s="9"/>
      <c r="C172" s="9"/>
      <c r="D172" s="10"/>
      <c r="E172" s="10"/>
      <c r="F172" s="10"/>
      <c r="G172" s="10"/>
      <c r="H172" s="9"/>
      <c r="I172" s="10"/>
      <c r="J172" s="12" t="str">
        <f t="shared" si="2"/>
        <v/>
      </c>
      <c r="K172" s="12" t="str">
        <f>IF(J172="","",COUNTIF($J$3:$J$501,"&lt;"&amp;J172)+COUNTIF('Tournament Log'!$N$4:$N$203,"&lt;"&amp;J172)+COUNTIF('Guest Log'!$K$4:$K$203,"&lt;"&amp;J172)+1)</f>
        <v/>
      </c>
    </row>
    <row r="173" spans="1:11" ht="15" customHeight="1" x14ac:dyDescent="0.2">
      <c r="A173" s="9"/>
      <c r="B173" s="9"/>
      <c r="C173" s="9"/>
      <c r="D173" s="10"/>
      <c r="E173" s="10"/>
      <c r="F173" s="10"/>
      <c r="G173" s="10"/>
      <c r="H173" s="9"/>
      <c r="I173" s="10"/>
      <c r="J173" s="12" t="str">
        <f t="shared" si="2"/>
        <v/>
      </c>
      <c r="K173" s="12" t="str">
        <f>IF(J173="","",COUNTIF($J$3:$J$501,"&lt;"&amp;J173)+COUNTIF('Tournament Log'!$N$4:$N$203,"&lt;"&amp;J173)+COUNTIF('Guest Log'!$K$4:$K$203,"&lt;"&amp;J173)+1)</f>
        <v/>
      </c>
    </row>
    <row r="174" spans="1:11" ht="15" customHeight="1" x14ac:dyDescent="0.2">
      <c r="A174" s="9"/>
      <c r="B174" s="9"/>
      <c r="C174" s="9"/>
      <c r="D174" s="10"/>
      <c r="E174" s="10"/>
      <c r="F174" s="10"/>
      <c r="G174" s="10"/>
      <c r="H174" s="9"/>
      <c r="I174" s="10"/>
      <c r="J174" s="12" t="str">
        <f t="shared" si="2"/>
        <v/>
      </c>
      <c r="K174" s="12" t="str">
        <f>IF(J174="","",COUNTIF($J$3:$J$501,"&lt;"&amp;J174)+COUNTIF('Tournament Log'!$N$4:$N$203,"&lt;"&amp;J174)+COUNTIF('Guest Log'!$K$4:$K$203,"&lt;"&amp;J174)+1)</f>
        <v/>
      </c>
    </row>
    <row r="175" spans="1:11" ht="15" customHeight="1" x14ac:dyDescent="0.2">
      <c r="A175" s="9"/>
      <c r="B175" s="9"/>
      <c r="C175" s="9"/>
      <c r="D175" s="10"/>
      <c r="E175" s="10"/>
      <c r="F175" s="10"/>
      <c r="G175" s="10"/>
      <c r="H175" s="9"/>
      <c r="I175" s="10"/>
      <c r="J175" s="12" t="str">
        <f t="shared" si="2"/>
        <v/>
      </c>
      <c r="K175" s="12" t="str">
        <f>IF(J175="","",COUNTIF($J$3:$J$501,"&lt;"&amp;J175)+COUNTIF('Tournament Log'!$N$4:$N$203,"&lt;"&amp;J175)+COUNTIF('Guest Log'!$K$4:$K$203,"&lt;"&amp;J175)+1)</f>
        <v/>
      </c>
    </row>
    <row r="176" spans="1:11" ht="15" customHeight="1" x14ac:dyDescent="0.2">
      <c r="A176" s="9"/>
      <c r="B176" s="9"/>
      <c r="C176" s="9"/>
      <c r="D176" s="10"/>
      <c r="E176" s="10"/>
      <c r="F176" s="10"/>
      <c r="G176" s="10"/>
      <c r="H176" s="9"/>
      <c r="I176" s="10"/>
      <c r="J176" s="12" t="str">
        <f t="shared" si="2"/>
        <v/>
      </c>
      <c r="K176" s="12" t="str">
        <f>IF(J176="","",COUNTIF($J$3:$J$501,"&lt;"&amp;J176)+COUNTIF('Tournament Log'!$N$4:$N$203,"&lt;"&amp;J176)+COUNTIF('Guest Log'!$K$4:$K$203,"&lt;"&amp;J176)+1)</f>
        <v/>
      </c>
    </row>
    <row r="177" spans="1:11" ht="15" customHeight="1" x14ac:dyDescent="0.2">
      <c r="A177" s="9"/>
      <c r="B177" s="9"/>
      <c r="C177" s="9"/>
      <c r="D177" s="10"/>
      <c r="E177" s="10"/>
      <c r="F177" s="10"/>
      <c r="G177" s="10"/>
      <c r="H177" s="9"/>
      <c r="I177" s="10"/>
      <c r="J177" s="12" t="str">
        <f t="shared" si="2"/>
        <v/>
      </c>
      <c r="K177" s="12" t="str">
        <f>IF(J177="","",COUNTIF($J$3:$J$501,"&lt;"&amp;J177)+COUNTIF('Tournament Log'!$N$4:$N$203,"&lt;"&amp;J177)+COUNTIF('Guest Log'!$K$4:$K$203,"&lt;"&amp;J177)+1)</f>
        <v/>
      </c>
    </row>
    <row r="178" spans="1:11" ht="15" customHeight="1" x14ac:dyDescent="0.2">
      <c r="A178" s="9"/>
      <c r="B178" s="9"/>
      <c r="C178" s="9"/>
      <c r="D178" s="10"/>
      <c r="E178" s="10"/>
      <c r="F178" s="10"/>
      <c r="G178" s="10"/>
      <c r="H178" s="9"/>
      <c r="I178" s="10"/>
      <c r="J178" s="12" t="str">
        <f t="shared" si="2"/>
        <v/>
      </c>
      <c r="K178" s="12" t="str">
        <f>IF(J178="","",COUNTIF($J$3:$J$501,"&lt;"&amp;J178)+COUNTIF('Tournament Log'!$N$4:$N$203,"&lt;"&amp;J178)+COUNTIF('Guest Log'!$K$4:$K$203,"&lt;"&amp;J178)+1)</f>
        <v/>
      </c>
    </row>
    <row r="179" spans="1:11" ht="15" customHeight="1" x14ac:dyDescent="0.2">
      <c r="A179" s="9"/>
      <c r="B179" s="9"/>
      <c r="C179" s="9"/>
      <c r="D179" s="10"/>
      <c r="E179" s="10"/>
      <c r="F179" s="10"/>
      <c r="G179" s="10"/>
      <c r="H179" s="9"/>
      <c r="I179" s="10"/>
      <c r="J179" s="12" t="str">
        <f t="shared" si="2"/>
        <v/>
      </c>
      <c r="K179" s="12" t="str">
        <f>IF(J179="","",COUNTIF($J$3:$J$501,"&lt;"&amp;J179)+COUNTIF('Tournament Log'!$N$4:$N$203,"&lt;"&amp;J179)+COUNTIF('Guest Log'!$K$4:$K$203,"&lt;"&amp;J179)+1)</f>
        <v/>
      </c>
    </row>
    <row r="180" spans="1:11" ht="15" customHeight="1" x14ac:dyDescent="0.2">
      <c r="A180" s="9"/>
      <c r="B180" s="9"/>
      <c r="C180" s="9"/>
      <c r="D180" s="10"/>
      <c r="E180" s="10"/>
      <c r="F180" s="10"/>
      <c r="G180" s="10"/>
      <c r="H180" s="9"/>
      <c r="I180" s="10"/>
      <c r="J180" s="12" t="str">
        <f t="shared" si="2"/>
        <v/>
      </c>
      <c r="K180" s="12" t="str">
        <f>IF(J180="","",COUNTIF($J$3:$J$501,"&lt;"&amp;J180)+COUNTIF('Tournament Log'!$N$4:$N$203,"&lt;"&amp;J180)+COUNTIF('Guest Log'!$K$4:$K$203,"&lt;"&amp;J180)+1)</f>
        <v/>
      </c>
    </row>
    <row r="181" spans="1:11" ht="15" customHeight="1" x14ac:dyDescent="0.2">
      <c r="A181" s="9"/>
      <c r="B181" s="9"/>
      <c r="C181" s="9"/>
      <c r="D181" s="10"/>
      <c r="E181" s="10"/>
      <c r="F181" s="10"/>
      <c r="G181" s="10"/>
      <c r="H181" s="9"/>
      <c r="I181" s="10"/>
      <c r="J181" s="12" t="str">
        <f t="shared" si="2"/>
        <v/>
      </c>
      <c r="K181" s="12" t="str">
        <f>IF(J181="","",COUNTIF($J$3:$J$501,"&lt;"&amp;J181)+COUNTIF('Tournament Log'!$N$4:$N$203,"&lt;"&amp;J181)+COUNTIF('Guest Log'!$K$4:$K$203,"&lt;"&amp;J181)+1)</f>
        <v/>
      </c>
    </row>
    <row r="182" spans="1:11" ht="15" customHeight="1" x14ac:dyDescent="0.2">
      <c r="A182" s="9"/>
      <c r="B182" s="9"/>
      <c r="C182" s="9"/>
      <c r="D182" s="10"/>
      <c r="E182" s="10"/>
      <c r="F182" s="10"/>
      <c r="G182" s="10"/>
      <c r="H182" s="9"/>
      <c r="I182" s="10"/>
      <c r="J182" s="12" t="str">
        <f t="shared" si="2"/>
        <v/>
      </c>
      <c r="K182" s="12" t="str">
        <f>IF(J182="","",COUNTIF($J$3:$J$501,"&lt;"&amp;J182)+COUNTIF('Tournament Log'!$N$4:$N$203,"&lt;"&amp;J182)+COUNTIF('Guest Log'!$K$4:$K$203,"&lt;"&amp;J182)+1)</f>
        <v/>
      </c>
    </row>
    <row r="183" spans="1:11" ht="15" customHeight="1" x14ac:dyDescent="0.2">
      <c r="A183" s="9"/>
      <c r="B183" s="9"/>
      <c r="C183" s="9"/>
      <c r="D183" s="10"/>
      <c r="E183" s="10"/>
      <c r="F183" s="10"/>
      <c r="G183" s="10"/>
      <c r="H183" s="9"/>
      <c r="I183" s="10"/>
      <c r="J183" s="12" t="str">
        <f t="shared" si="2"/>
        <v/>
      </c>
      <c r="K183" s="12" t="str">
        <f>IF(J183="","",COUNTIF($J$3:$J$501,"&lt;"&amp;J183)+COUNTIF('Tournament Log'!$N$4:$N$203,"&lt;"&amp;J183)+COUNTIF('Guest Log'!$K$4:$K$203,"&lt;"&amp;J183)+1)</f>
        <v/>
      </c>
    </row>
    <row r="184" spans="1:11" ht="15" customHeight="1" x14ac:dyDescent="0.2">
      <c r="A184" s="9"/>
      <c r="B184" s="9"/>
      <c r="C184" s="9"/>
      <c r="D184" s="10"/>
      <c r="E184" s="10"/>
      <c r="F184" s="10"/>
      <c r="G184" s="10"/>
      <c r="H184" s="9"/>
      <c r="I184" s="10"/>
      <c r="J184" s="12" t="str">
        <f t="shared" si="2"/>
        <v/>
      </c>
      <c r="K184" s="12" t="str">
        <f>IF(J184="","",COUNTIF($J$3:$J$501,"&lt;"&amp;J184)+COUNTIF('Tournament Log'!$N$4:$N$203,"&lt;"&amp;J184)+COUNTIF('Guest Log'!$K$4:$K$203,"&lt;"&amp;J184)+1)</f>
        <v/>
      </c>
    </row>
    <row r="185" spans="1:11" ht="15" customHeight="1" x14ac:dyDescent="0.2">
      <c r="A185" s="9"/>
      <c r="B185" s="9"/>
      <c r="C185" s="9"/>
      <c r="D185" s="10"/>
      <c r="E185" s="10"/>
      <c r="F185" s="10"/>
      <c r="G185" s="10"/>
      <c r="H185" s="9"/>
      <c r="I185" s="10"/>
      <c r="J185" s="12" t="str">
        <f t="shared" si="2"/>
        <v/>
      </c>
      <c r="K185" s="12" t="str">
        <f>IF(J185="","",COUNTIF($J$3:$J$501,"&lt;"&amp;J185)+COUNTIF('Tournament Log'!$N$4:$N$203,"&lt;"&amp;J185)+COUNTIF('Guest Log'!$K$4:$K$203,"&lt;"&amp;J185)+1)</f>
        <v/>
      </c>
    </row>
    <row r="186" spans="1:11" ht="15" customHeight="1" x14ac:dyDescent="0.2">
      <c r="A186" s="9"/>
      <c r="B186" s="9"/>
      <c r="C186" s="9"/>
      <c r="D186" s="10"/>
      <c r="E186" s="10"/>
      <c r="F186" s="10"/>
      <c r="G186" s="10"/>
      <c r="H186" s="9"/>
      <c r="I186" s="10"/>
      <c r="J186" s="12" t="str">
        <f t="shared" si="2"/>
        <v/>
      </c>
      <c r="K186" s="12" t="str">
        <f>IF(J186="","",COUNTIF($J$3:$J$501,"&lt;"&amp;J186)+COUNTIF('Tournament Log'!$N$4:$N$203,"&lt;"&amp;J186)+COUNTIF('Guest Log'!$K$4:$K$203,"&lt;"&amp;J186)+1)</f>
        <v/>
      </c>
    </row>
    <row r="187" spans="1:11" ht="15" customHeight="1" x14ac:dyDescent="0.2">
      <c r="A187" s="9"/>
      <c r="B187" s="9"/>
      <c r="C187" s="9"/>
      <c r="D187" s="10"/>
      <c r="E187" s="10"/>
      <c r="F187" s="10"/>
      <c r="G187" s="10"/>
      <c r="H187" s="9"/>
      <c r="I187" s="10"/>
      <c r="J187" s="12" t="str">
        <f t="shared" si="2"/>
        <v/>
      </c>
      <c r="K187" s="12" t="str">
        <f>IF(J187="","",COUNTIF($J$3:$J$501,"&lt;"&amp;J187)+COUNTIF('Tournament Log'!$N$4:$N$203,"&lt;"&amp;J187)+COUNTIF('Guest Log'!$K$4:$K$203,"&lt;"&amp;J187)+1)</f>
        <v/>
      </c>
    </row>
    <row r="188" spans="1:11" ht="15" customHeight="1" x14ac:dyDescent="0.2">
      <c r="A188" s="9"/>
      <c r="B188" s="9"/>
      <c r="C188" s="9"/>
      <c r="D188" s="10"/>
      <c r="E188" s="10"/>
      <c r="F188" s="10"/>
      <c r="G188" s="10"/>
      <c r="H188" s="9"/>
      <c r="I188" s="10"/>
      <c r="J188" s="12" t="str">
        <f t="shared" si="2"/>
        <v/>
      </c>
      <c r="K188" s="12" t="str">
        <f>IF(J188="","",COUNTIF($J$3:$J$501,"&lt;"&amp;J188)+COUNTIF('Tournament Log'!$N$4:$N$203,"&lt;"&amp;J188)+COUNTIF('Guest Log'!$K$4:$K$203,"&lt;"&amp;J188)+1)</f>
        <v/>
      </c>
    </row>
    <row r="189" spans="1:11" ht="15" customHeight="1" x14ac:dyDescent="0.2">
      <c r="A189" s="9"/>
      <c r="B189" s="9"/>
      <c r="C189" s="9"/>
      <c r="D189" s="10"/>
      <c r="E189" s="10"/>
      <c r="F189" s="10"/>
      <c r="G189" s="10"/>
      <c r="H189" s="9"/>
      <c r="I189" s="10"/>
      <c r="J189" s="12" t="str">
        <f t="shared" si="2"/>
        <v/>
      </c>
      <c r="K189" s="12" t="str">
        <f>IF(J189="","",COUNTIF($J$3:$J$501,"&lt;"&amp;J189)+COUNTIF('Tournament Log'!$N$4:$N$203,"&lt;"&amp;J189)+COUNTIF('Guest Log'!$K$4:$K$203,"&lt;"&amp;J189)+1)</f>
        <v/>
      </c>
    </row>
    <row r="190" spans="1:11" ht="15" customHeight="1" x14ac:dyDescent="0.2">
      <c r="A190" s="9"/>
      <c r="B190" s="9"/>
      <c r="C190" s="9"/>
      <c r="D190" s="10"/>
      <c r="E190" s="10"/>
      <c r="F190" s="10"/>
      <c r="G190" s="10"/>
      <c r="H190" s="9"/>
      <c r="I190" s="10"/>
      <c r="J190" s="12" t="str">
        <f t="shared" si="2"/>
        <v/>
      </c>
      <c r="K190" s="12" t="str">
        <f>IF(J190="","",COUNTIF($J$3:$J$501,"&lt;"&amp;J190)+COUNTIF('Tournament Log'!$N$4:$N$203,"&lt;"&amp;J190)+COUNTIF('Guest Log'!$K$4:$K$203,"&lt;"&amp;J190)+1)</f>
        <v/>
      </c>
    </row>
    <row r="191" spans="1:11" ht="15" customHeight="1" x14ac:dyDescent="0.2">
      <c r="A191" s="9"/>
      <c r="B191" s="9"/>
      <c r="C191" s="9"/>
      <c r="D191" s="10"/>
      <c r="E191" s="10"/>
      <c r="F191" s="10"/>
      <c r="G191" s="10"/>
      <c r="H191" s="9"/>
      <c r="I191" s="10"/>
      <c r="J191" s="12" t="str">
        <f t="shared" si="2"/>
        <v/>
      </c>
      <c r="K191" s="12" t="str">
        <f>IF(J191="","",COUNTIF($J$3:$J$501,"&lt;"&amp;J191)+COUNTIF('Tournament Log'!$N$4:$N$203,"&lt;"&amp;J191)+COUNTIF('Guest Log'!$K$4:$K$203,"&lt;"&amp;J191)+1)</f>
        <v/>
      </c>
    </row>
    <row r="192" spans="1:11" ht="15" customHeight="1" x14ac:dyDescent="0.2">
      <c r="A192" s="9"/>
      <c r="B192" s="9"/>
      <c r="C192" s="9"/>
      <c r="D192" s="10"/>
      <c r="E192" s="10"/>
      <c r="F192" s="10"/>
      <c r="G192" s="10"/>
      <c r="H192" s="9"/>
      <c r="I192" s="10"/>
      <c r="J192" s="12" t="str">
        <f t="shared" si="2"/>
        <v/>
      </c>
      <c r="K192" s="12" t="str">
        <f>IF(J192="","",COUNTIF($J$3:$J$501,"&lt;"&amp;J192)+COUNTIF('Tournament Log'!$N$4:$N$203,"&lt;"&amp;J192)+COUNTIF('Guest Log'!$K$4:$K$203,"&lt;"&amp;J192)+1)</f>
        <v/>
      </c>
    </row>
    <row r="193" spans="1:11" ht="15" customHeight="1" x14ac:dyDescent="0.2">
      <c r="A193" s="9"/>
      <c r="B193" s="9"/>
      <c r="C193" s="9"/>
      <c r="D193" s="10"/>
      <c r="E193" s="10"/>
      <c r="F193" s="10"/>
      <c r="G193" s="10"/>
      <c r="H193" s="9"/>
      <c r="I193" s="10"/>
      <c r="J193" s="12" t="str">
        <f t="shared" si="2"/>
        <v/>
      </c>
      <c r="K193" s="12" t="str">
        <f>IF(J193="","",COUNTIF($J$3:$J$501,"&lt;"&amp;J193)+COUNTIF('Tournament Log'!$N$4:$N$203,"&lt;"&amp;J193)+COUNTIF('Guest Log'!$K$4:$K$203,"&lt;"&amp;J193)+1)</f>
        <v/>
      </c>
    </row>
    <row r="194" spans="1:11" ht="15" customHeight="1" x14ac:dyDescent="0.2">
      <c r="A194" s="9"/>
      <c r="B194" s="9"/>
      <c r="C194" s="9"/>
      <c r="D194" s="10"/>
      <c r="E194" s="10"/>
      <c r="F194" s="10"/>
      <c r="G194" s="10"/>
      <c r="H194" s="9"/>
      <c r="I194" s="10"/>
      <c r="J194" s="12" t="str">
        <f t="shared" si="2"/>
        <v/>
      </c>
      <c r="K194" s="12" t="str">
        <f>IF(J194="","",COUNTIF($J$3:$J$501,"&lt;"&amp;J194)+COUNTIF('Tournament Log'!$N$4:$N$203,"&lt;"&amp;J194)+COUNTIF('Guest Log'!$K$4:$K$203,"&lt;"&amp;J194)+1)</f>
        <v/>
      </c>
    </row>
    <row r="195" spans="1:11" ht="15" customHeight="1" x14ac:dyDescent="0.2">
      <c r="A195" s="9"/>
      <c r="B195" s="9"/>
      <c r="C195" s="9"/>
      <c r="D195" s="10"/>
      <c r="E195" s="10"/>
      <c r="F195" s="10"/>
      <c r="G195" s="10"/>
      <c r="H195" s="9"/>
      <c r="I195" s="10"/>
      <c r="J195" s="12" t="str">
        <f t="shared" ref="J195:J258" si="3">IF(A195="","",A195+ROW()/10000000)</f>
        <v/>
      </c>
      <c r="K195" s="12" t="str">
        <f>IF(J195="","",COUNTIF($J$3:$J$501,"&lt;"&amp;J195)+COUNTIF('Tournament Log'!$N$4:$N$203,"&lt;"&amp;J195)+COUNTIF('Guest Log'!$K$4:$K$203,"&lt;"&amp;J195)+1)</f>
        <v/>
      </c>
    </row>
    <row r="196" spans="1:11" ht="15" customHeight="1" x14ac:dyDescent="0.2">
      <c r="A196" s="9"/>
      <c r="B196" s="9"/>
      <c r="C196" s="9"/>
      <c r="D196" s="10"/>
      <c r="E196" s="10"/>
      <c r="F196" s="10"/>
      <c r="G196" s="10"/>
      <c r="H196" s="9"/>
      <c r="I196" s="10"/>
      <c r="J196" s="12" t="str">
        <f t="shared" si="3"/>
        <v/>
      </c>
      <c r="K196" s="12" t="str">
        <f>IF(J196="","",COUNTIF($J$3:$J$501,"&lt;"&amp;J196)+COUNTIF('Tournament Log'!$N$4:$N$203,"&lt;"&amp;J196)+COUNTIF('Guest Log'!$K$4:$K$203,"&lt;"&amp;J196)+1)</f>
        <v/>
      </c>
    </row>
    <row r="197" spans="1:11" ht="15" customHeight="1" x14ac:dyDescent="0.2">
      <c r="A197" s="9"/>
      <c r="B197" s="9"/>
      <c r="C197" s="9"/>
      <c r="D197" s="10"/>
      <c r="E197" s="10"/>
      <c r="F197" s="10"/>
      <c r="G197" s="10"/>
      <c r="H197" s="9"/>
      <c r="I197" s="10"/>
      <c r="J197" s="12" t="str">
        <f t="shared" si="3"/>
        <v/>
      </c>
      <c r="K197" s="12" t="str">
        <f>IF(J197="","",COUNTIF($J$3:$J$501,"&lt;"&amp;J197)+COUNTIF('Tournament Log'!$N$4:$N$203,"&lt;"&amp;J197)+COUNTIF('Guest Log'!$K$4:$K$203,"&lt;"&amp;J197)+1)</f>
        <v/>
      </c>
    </row>
    <row r="198" spans="1:11" ht="15" customHeight="1" x14ac:dyDescent="0.2">
      <c r="A198" s="9"/>
      <c r="B198" s="9"/>
      <c r="C198" s="9"/>
      <c r="D198" s="10"/>
      <c r="E198" s="10"/>
      <c r="F198" s="10"/>
      <c r="G198" s="10"/>
      <c r="H198" s="9"/>
      <c r="I198" s="10"/>
      <c r="J198" s="12" t="str">
        <f t="shared" si="3"/>
        <v/>
      </c>
      <c r="K198" s="12" t="str">
        <f>IF(J198="","",COUNTIF($J$3:$J$501,"&lt;"&amp;J198)+COUNTIF('Tournament Log'!$N$4:$N$203,"&lt;"&amp;J198)+COUNTIF('Guest Log'!$K$4:$K$203,"&lt;"&amp;J198)+1)</f>
        <v/>
      </c>
    </row>
    <row r="199" spans="1:11" ht="15" customHeight="1" x14ac:dyDescent="0.2">
      <c r="A199" s="9"/>
      <c r="B199" s="9"/>
      <c r="C199" s="9"/>
      <c r="D199" s="10"/>
      <c r="E199" s="10"/>
      <c r="F199" s="10"/>
      <c r="G199" s="10"/>
      <c r="H199" s="9"/>
      <c r="I199" s="10"/>
      <c r="J199" s="12" t="str">
        <f t="shared" si="3"/>
        <v/>
      </c>
      <c r="K199" s="12" t="str">
        <f>IF(J199="","",COUNTIF($J$3:$J$501,"&lt;"&amp;J199)+COUNTIF('Tournament Log'!$N$4:$N$203,"&lt;"&amp;J199)+COUNTIF('Guest Log'!$K$4:$K$203,"&lt;"&amp;J199)+1)</f>
        <v/>
      </c>
    </row>
    <row r="200" spans="1:11" ht="15" customHeight="1" x14ac:dyDescent="0.2">
      <c r="A200" s="9"/>
      <c r="B200" s="9"/>
      <c r="C200" s="9"/>
      <c r="D200" s="10"/>
      <c r="E200" s="10"/>
      <c r="F200" s="10"/>
      <c r="G200" s="10"/>
      <c r="H200" s="9"/>
      <c r="I200" s="10"/>
      <c r="J200" s="12" t="str">
        <f t="shared" si="3"/>
        <v/>
      </c>
      <c r="K200" s="12" t="str">
        <f>IF(J200="","",COUNTIF($J$3:$J$501,"&lt;"&amp;J200)+COUNTIF('Tournament Log'!$N$4:$N$203,"&lt;"&amp;J200)+COUNTIF('Guest Log'!$K$4:$K$203,"&lt;"&amp;J200)+1)</f>
        <v/>
      </c>
    </row>
    <row r="201" spans="1:11" ht="15" customHeight="1" x14ac:dyDescent="0.2">
      <c r="A201" s="9"/>
      <c r="B201" s="9"/>
      <c r="C201" s="9"/>
      <c r="D201" s="10"/>
      <c r="E201" s="10"/>
      <c r="F201" s="10"/>
      <c r="G201" s="10"/>
      <c r="H201" s="9"/>
      <c r="I201" s="10"/>
      <c r="J201" s="12" t="str">
        <f t="shared" si="3"/>
        <v/>
      </c>
      <c r="K201" s="12" t="str">
        <f>IF(J201="","",COUNTIF($J$3:$J$501,"&lt;"&amp;J201)+COUNTIF('Tournament Log'!$N$4:$N$203,"&lt;"&amp;J201)+COUNTIF('Guest Log'!$K$4:$K$203,"&lt;"&amp;J201)+1)</f>
        <v/>
      </c>
    </row>
    <row r="202" spans="1:11" ht="15" customHeight="1" x14ac:dyDescent="0.2">
      <c r="A202" s="9"/>
      <c r="B202" s="9"/>
      <c r="C202" s="9"/>
      <c r="D202" s="10"/>
      <c r="E202" s="10"/>
      <c r="F202" s="10"/>
      <c r="G202" s="10"/>
      <c r="H202" s="9"/>
      <c r="I202" s="10"/>
      <c r="J202" s="12" t="str">
        <f t="shared" si="3"/>
        <v/>
      </c>
      <c r="K202" s="12" t="str">
        <f>IF(J202="","",COUNTIF($J$3:$J$501,"&lt;"&amp;J202)+COUNTIF('Tournament Log'!$N$4:$N$203,"&lt;"&amp;J202)+COUNTIF('Guest Log'!$K$4:$K$203,"&lt;"&amp;J202)+1)</f>
        <v/>
      </c>
    </row>
    <row r="203" spans="1:11" ht="15" customHeight="1" x14ac:dyDescent="0.2">
      <c r="A203" s="9"/>
      <c r="B203" s="9"/>
      <c r="C203" s="9"/>
      <c r="D203" s="10"/>
      <c r="E203" s="10"/>
      <c r="F203" s="10"/>
      <c r="G203" s="10"/>
      <c r="H203" s="9"/>
      <c r="I203" s="10"/>
      <c r="J203" s="12" t="str">
        <f t="shared" si="3"/>
        <v/>
      </c>
      <c r="K203" s="12" t="str">
        <f>IF(J203="","",COUNTIF($J$3:$J$501,"&lt;"&amp;J203)+COUNTIF('Tournament Log'!$N$4:$N$203,"&lt;"&amp;J203)+COUNTIF('Guest Log'!$K$4:$K$203,"&lt;"&amp;J203)+1)</f>
        <v/>
      </c>
    </row>
    <row r="204" spans="1:11" ht="15" customHeight="1" x14ac:dyDescent="0.2">
      <c r="A204" s="9"/>
      <c r="B204" s="9"/>
      <c r="C204" s="9"/>
      <c r="D204" s="10"/>
      <c r="E204" s="10"/>
      <c r="F204" s="10"/>
      <c r="G204" s="10"/>
      <c r="H204" s="9"/>
      <c r="I204" s="10"/>
      <c r="J204" s="12" t="str">
        <f t="shared" si="3"/>
        <v/>
      </c>
      <c r="K204" s="12" t="str">
        <f>IF(J204="","",COUNTIF($J$3:$J$501,"&lt;"&amp;J204)+COUNTIF('Tournament Log'!$N$4:$N$203,"&lt;"&amp;J204)+COUNTIF('Guest Log'!$K$4:$K$203,"&lt;"&amp;J204)+1)</f>
        <v/>
      </c>
    </row>
    <row r="205" spans="1:11" ht="15" customHeight="1" x14ac:dyDescent="0.2">
      <c r="A205" s="9"/>
      <c r="B205" s="9"/>
      <c r="C205" s="9"/>
      <c r="D205" s="10"/>
      <c r="E205" s="10"/>
      <c r="F205" s="10"/>
      <c r="G205" s="10"/>
      <c r="H205" s="9"/>
      <c r="I205" s="10"/>
      <c r="J205" s="12" t="str">
        <f t="shared" si="3"/>
        <v/>
      </c>
      <c r="K205" s="12" t="str">
        <f>IF(J205="","",COUNTIF($J$3:$J$501,"&lt;"&amp;J205)+COUNTIF('Tournament Log'!$N$4:$N$203,"&lt;"&amp;J205)+COUNTIF('Guest Log'!$K$4:$K$203,"&lt;"&amp;J205)+1)</f>
        <v/>
      </c>
    </row>
    <row r="206" spans="1:11" ht="15" customHeight="1" x14ac:dyDescent="0.2">
      <c r="A206" s="9"/>
      <c r="B206" s="9"/>
      <c r="C206" s="9"/>
      <c r="D206" s="10"/>
      <c r="E206" s="10"/>
      <c r="F206" s="10"/>
      <c r="G206" s="10"/>
      <c r="H206" s="9"/>
      <c r="I206" s="10"/>
      <c r="J206" s="12" t="str">
        <f t="shared" si="3"/>
        <v/>
      </c>
      <c r="K206" s="12" t="str">
        <f>IF(J206="","",COUNTIF($J$3:$J$501,"&lt;"&amp;J206)+COUNTIF('Tournament Log'!$N$4:$N$203,"&lt;"&amp;J206)+COUNTIF('Guest Log'!$K$4:$K$203,"&lt;"&amp;J206)+1)</f>
        <v/>
      </c>
    </row>
    <row r="207" spans="1:11" ht="15" customHeight="1" x14ac:dyDescent="0.2">
      <c r="A207" s="9"/>
      <c r="B207" s="9"/>
      <c r="C207" s="9"/>
      <c r="D207" s="10"/>
      <c r="E207" s="10"/>
      <c r="F207" s="10"/>
      <c r="G207" s="10"/>
      <c r="H207" s="9"/>
      <c r="I207" s="10"/>
      <c r="J207" s="12" t="str">
        <f t="shared" si="3"/>
        <v/>
      </c>
      <c r="K207" s="12" t="str">
        <f>IF(J207="","",COUNTIF($J$3:$J$501,"&lt;"&amp;J207)+COUNTIF('Tournament Log'!$N$4:$N$203,"&lt;"&amp;J207)+COUNTIF('Guest Log'!$K$4:$K$203,"&lt;"&amp;J207)+1)</f>
        <v/>
      </c>
    </row>
    <row r="208" spans="1:11" ht="15" customHeight="1" x14ac:dyDescent="0.2">
      <c r="A208" s="9"/>
      <c r="B208" s="9"/>
      <c r="C208" s="9"/>
      <c r="D208" s="10"/>
      <c r="E208" s="10"/>
      <c r="F208" s="10"/>
      <c r="G208" s="10"/>
      <c r="H208" s="9"/>
      <c r="I208" s="10"/>
      <c r="J208" s="12" t="str">
        <f t="shared" si="3"/>
        <v/>
      </c>
      <c r="K208" s="12" t="str">
        <f>IF(J208="","",COUNTIF($J$3:$J$501,"&lt;"&amp;J208)+COUNTIF('Tournament Log'!$N$4:$N$203,"&lt;"&amp;J208)+COUNTIF('Guest Log'!$K$4:$K$203,"&lt;"&amp;J208)+1)</f>
        <v/>
      </c>
    </row>
    <row r="209" spans="1:11" ht="15" customHeight="1" x14ac:dyDescent="0.2">
      <c r="A209" s="9"/>
      <c r="B209" s="9"/>
      <c r="C209" s="9"/>
      <c r="D209" s="10"/>
      <c r="E209" s="10"/>
      <c r="F209" s="10"/>
      <c r="G209" s="10"/>
      <c r="H209" s="9"/>
      <c r="I209" s="10"/>
      <c r="J209" s="12" t="str">
        <f t="shared" si="3"/>
        <v/>
      </c>
      <c r="K209" s="12" t="str">
        <f>IF(J209="","",COUNTIF($J$3:$J$501,"&lt;"&amp;J209)+COUNTIF('Tournament Log'!$N$4:$N$203,"&lt;"&amp;J209)+COUNTIF('Guest Log'!$K$4:$K$203,"&lt;"&amp;J209)+1)</f>
        <v/>
      </c>
    </row>
    <row r="210" spans="1:11" ht="15" customHeight="1" x14ac:dyDescent="0.2">
      <c r="A210" s="9"/>
      <c r="B210" s="9"/>
      <c r="C210" s="9"/>
      <c r="D210" s="10"/>
      <c r="E210" s="10"/>
      <c r="F210" s="10"/>
      <c r="G210" s="10"/>
      <c r="H210" s="9"/>
      <c r="I210" s="10"/>
      <c r="J210" s="12" t="str">
        <f t="shared" si="3"/>
        <v/>
      </c>
      <c r="K210" s="12" t="str">
        <f>IF(J210="","",COUNTIF($J$3:$J$501,"&lt;"&amp;J210)+COUNTIF('Tournament Log'!$N$4:$N$203,"&lt;"&amp;J210)+COUNTIF('Guest Log'!$K$4:$K$203,"&lt;"&amp;J210)+1)</f>
        <v/>
      </c>
    </row>
    <row r="211" spans="1:11" ht="15" customHeight="1" x14ac:dyDescent="0.2">
      <c r="A211" s="9"/>
      <c r="B211" s="9"/>
      <c r="C211" s="9"/>
      <c r="D211" s="10"/>
      <c r="E211" s="10"/>
      <c r="F211" s="10"/>
      <c r="G211" s="10"/>
      <c r="H211" s="9"/>
      <c r="I211" s="10"/>
      <c r="J211" s="12" t="str">
        <f t="shared" si="3"/>
        <v/>
      </c>
      <c r="K211" s="12" t="str">
        <f>IF(J211="","",COUNTIF($J$3:$J$501,"&lt;"&amp;J211)+COUNTIF('Tournament Log'!$N$4:$N$203,"&lt;"&amp;J211)+COUNTIF('Guest Log'!$K$4:$K$203,"&lt;"&amp;J211)+1)</f>
        <v/>
      </c>
    </row>
    <row r="212" spans="1:11" ht="15" customHeight="1" x14ac:dyDescent="0.2">
      <c r="A212" s="9"/>
      <c r="B212" s="9"/>
      <c r="C212" s="9"/>
      <c r="D212" s="10"/>
      <c r="E212" s="10"/>
      <c r="F212" s="10"/>
      <c r="G212" s="10"/>
      <c r="H212" s="9"/>
      <c r="I212" s="10"/>
      <c r="J212" s="12" t="str">
        <f t="shared" si="3"/>
        <v/>
      </c>
      <c r="K212" s="12" t="str">
        <f>IF(J212="","",COUNTIF($J$3:$J$501,"&lt;"&amp;J212)+COUNTIF('Tournament Log'!$N$4:$N$203,"&lt;"&amp;J212)+COUNTIF('Guest Log'!$K$4:$K$203,"&lt;"&amp;J212)+1)</f>
        <v/>
      </c>
    </row>
    <row r="213" spans="1:11" ht="15" customHeight="1" x14ac:dyDescent="0.2">
      <c r="A213" s="9"/>
      <c r="B213" s="9"/>
      <c r="C213" s="9"/>
      <c r="D213" s="10"/>
      <c r="E213" s="10"/>
      <c r="F213" s="10"/>
      <c r="G213" s="10"/>
      <c r="H213" s="9"/>
      <c r="I213" s="10"/>
      <c r="J213" s="12" t="str">
        <f t="shared" si="3"/>
        <v/>
      </c>
      <c r="K213" s="12" t="str">
        <f>IF(J213="","",COUNTIF($J$3:$J$501,"&lt;"&amp;J213)+COUNTIF('Tournament Log'!$N$4:$N$203,"&lt;"&amp;J213)+COUNTIF('Guest Log'!$K$4:$K$203,"&lt;"&amp;J213)+1)</f>
        <v/>
      </c>
    </row>
    <row r="214" spans="1:11" ht="15" customHeight="1" x14ac:dyDescent="0.2">
      <c r="A214" s="9"/>
      <c r="B214" s="9"/>
      <c r="C214" s="9"/>
      <c r="D214" s="10"/>
      <c r="E214" s="10"/>
      <c r="F214" s="10"/>
      <c r="G214" s="10"/>
      <c r="H214" s="9"/>
      <c r="I214" s="10"/>
      <c r="J214" s="12" t="str">
        <f t="shared" si="3"/>
        <v/>
      </c>
      <c r="K214" s="12" t="str">
        <f>IF(J214="","",COUNTIF($J$3:$J$501,"&lt;"&amp;J214)+COUNTIF('Tournament Log'!$N$4:$N$203,"&lt;"&amp;J214)+COUNTIF('Guest Log'!$K$4:$K$203,"&lt;"&amp;J214)+1)</f>
        <v/>
      </c>
    </row>
    <row r="215" spans="1:11" ht="15" customHeight="1" x14ac:dyDescent="0.2">
      <c r="A215" s="9"/>
      <c r="B215" s="9"/>
      <c r="C215" s="9"/>
      <c r="D215" s="10"/>
      <c r="E215" s="10"/>
      <c r="F215" s="10"/>
      <c r="G215" s="10"/>
      <c r="H215" s="9"/>
      <c r="I215" s="10"/>
      <c r="J215" s="12" t="str">
        <f t="shared" si="3"/>
        <v/>
      </c>
      <c r="K215" s="12" t="str">
        <f>IF(J215="","",COUNTIF($J$3:$J$501,"&lt;"&amp;J215)+COUNTIF('Tournament Log'!$N$4:$N$203,"&lt;"&amp;J215)+COUNTIF('Guest Log'!$K$4:$K$203,"&lt;"&amp;J215)+1)</f>
        <v/>
      </c>
    </row>
    <row r="216" spans="1:11" ht="15" customHeight="1" x14ac:dyDescent="0.2">
      <c r="A216" s="9"/>
      <c r="B216" s="9"/>
      <c r="C216" s="9"/>
      <c r="D216" s="10"/>
      <c r="E216" s="10"/>
      <c r="F216" s="10"/>
      <c r="G216" s="10"/>
      <c r="H216" s="9"/>
      <c r="I216" s="10"/>
      <c r="J216" s="12" t="str">
        <f t="shared" si="3"/>
        <v/>
      </c>
      <c r="K216" s="12" t="str">
        <f>IF(J216="","",COUNTIF($J$3:$J$501,"&lt;"&amp;J216)+COUNTIF('Tournament Log'!$N$4:$N$203,"&lt;"&amp;J216)+COUNTIF('Guest Log'!$K$4:$K$203,"&lt;"&amp;J216)+1)</f>
        <v/>
      </c>
    </row>
    <row r="217" spans="1:11" ht="15" customHeight="1" x14ac:dyDescent="0.2">
      <c r="A217" s="9"/>
      <c r="B217" s="9"/>
      <c r="C217" s="9"/>
      <c r="D217" s="10"/>
      <c r="E217" s="10"/>
      <c r="F217" s="10"/>
      <c r="G217" s="10"/>
      <c r="H217" s="9"/>
      <c r="I217" s="10"/>
      <c r="J217" s="12" t="str">
        <f t="shared" si="3"/>
        <v/>
      </c>
      <c r="K217" s="12" t="str">
        <f>IF(J217="","",COUNTIF($J$3:$J$501,"&lt;"&amp;J217)+COUNTIF('Tournament Log'!$N$4:$N$203,"&lt;"&amp;J217)+COUNTIF('Guest Log'!$K$4:$K$203,"&lt;"&amp;J217)+1)</f>
        <v/>
      </c>
    </row>
    <row r="218" spans="1:11" ht="15" customHeight="1" x14ac:dyDescent="0.2">
      <c r="A218" s="9"/>
      <c r="B218" s="9"/>
      <c r="C218" s="9"/>
      <c r="D218" s="10"/>
      <c r="E218" s="10"/>
      <c r="F218" s="10"/>
      <c r="G218" s="10"/>
      <c r="H218" s="9"/>
      <c r="I218" s="10"/>
      <c r="J218" s="12" t="str">
        <f t="shared" si="3"/>
        <v/>
      </c>
      <c r="K218" s="12" t="str">
        <f>IF(J218="","",COUNTIF($J$3:$J$501,"&lt;"&amp;J218)+COUNTIF('Tournament Log'!$N$4:$N$203,"&lt;"&amp;J218)+COUNTIF('Guest Log'!$K$4:$K$203,"&lt;"&amp;J218)+1)</f>
        <v/>
      </c>
    </row>
    <row r="219" spans="1:11" ht="15" customHeight="1" x14ac:dyDescent="0.2">
      <c r="A219" s="9"/>
      <c r="B219" s="9"/>
      <c r="C219" s="9"/>
      <c r="D219" s="10"/>
      <c r="E219" s="10"/>
      <c r="F219" s="10"/>
      <c r="G219" s="10"/>
      <c r="H219" s="9"/>
      <c r="I219" s="10"/>
      <c r="J219" s="12" t="str">
        <f t="shared" si="3"/>
        <v/>
      </c>
      <c r="K219" s="12" t="str">
        <f>IF(J219="","",COUNTIF($J$3:$J$501,"&lt;"&amp;J219)+COUNTIF('Tournament Log'!$N$4:$N$203,"&lt;"&amp;J219)+COUNTIF('Guest Log'!$K$4:$K$203,"&lt;"&amp;J219)+1)</f>
        <v/>
      </c>
    </row>
    <row r="220" spans="1:11" ht="15" customHeight="1" x14ac:dyDescent="0.2">
      <c r="A220" s="9"/>
      <c r="B220" s="9"/>
      <c r="C220" s="9"/>
      <c r="D220" s="10"/>
      <c r="E220" s="10"/>
      <c r="F220" s="10"/>
      <c r="G220" s="10"/>
      <c r="H220" s="9"/>
      <c r="I220" s="10"/>
      <c r="J220" s="12" t="str">
        <f t="shared" si="3"/>
        <v/>
      </c>
      <c r="K220" s="12" t="str">
        <f>IF(J220="","",COUNTIF($J$3:$J$501,"&lt;"&amp;J220)+COUNTIF('Tournament Log'!$N$4:$N$203,"&lt;"&amp;J220)+COUNTIF('Guest Log'!$K$4:$K$203,"&lt;"&amp;J220)+1)</f>
        <v/>
      </c>
    </row>
    <row r="221" spans="1:11" ht="15" customHeight="1" x14ac:dyDescent="0.2">
      <c r="A221" s="9"/>
      <c r="B221" s="9"/>
      <c r="C221" s="9"/>
      <c r="D221" s="10"/>
      <c r="E221" s="10"/>
      <c r="F221" s="10"/>
      <c r="G221" s="10"/>
      <c r="H221" s="9"/>
      <c r="I221" s="10"/>
      <c r="J221" s="12" t="str">
        <f t="shared" si="3"/>
        <v/>
      </c>
      <c r="K221" s="12" t="str">
        <f>IF(J221="","",COUNTIF($J$3:$J$501,"&lt;"&amp;J221)+COUNTIF('Tournament Log'!$N$4:$N$203,"&lt;"&amp;J221)+COUNTIF('Guest Log'!$K$4:$K$203,"&lt;"&amp;J221)+1)</f>
        <v/>
      </c>
    </row>
    <row r="222" spans="1:11" ht="15" customHeight="1" x14ac:dyDescent="0.2">
      <c r="A222" s="9"/>
      <c r="B222" s="9"/>
      <c r="C222" s="9"/>
      <c r="D222" s="10"/>
      <c r="E222" s="10"/>
      <c r="F222" s="10"/>
      <c r="G222" s="10"/>
      <c r="H222" s="9"/>
      <c r="I222" s="10"/>
      <c r="J222" s="12" t="str">
        <f t="shared" si="3"/>
        <v/>
      </c>
      <c r="K222" s="12" t="str">
        <f>IF(J222="","",COUNTIF($J$3:$J$501,"&lt;"&amp;J222)+COUNTIF('Tournament Log'!$N$4:$N$203,"&lt;"&amp;J222)+COUNTIF('Guest Log'!$K$4:$K$203,"&lt;"&amp;J222)+1)</f>
        <v/>
      </c>
    </row>
    <row r="223" spans="1:11" ht="15" customHeight="1" x14ac:dyDescent="0.2">
      <c r="A223" s="9"/>
      <c r="B223" s="9"/>
      <c r="C223" s="9"/>
      <c r="D223" s="10"/>
      <c r="E223" s="10"/>
      <c r="F223" s="10"/>
      <c r="G223" s="10"/>
      <c r="H223" s="9"/>
      <c r="I223" s="10"/>
      <c r="J223" s="12" t="str">
        <f t="shared" si="3"/>
        <v/>
      </c>
      <c r="K223" s="12" t="str">
        <f>IF(J223="","",COUNTIF($J$3:$J$501,"&lt;"&amp;J223)+COUNTIF('Tournament Log'!$N$4:$N$203,"&lt;"&amp;J223)+COUNTIF('Guest Log'!$K$4:$K$203,"&lt;"&amp;J223)+1)</f>
        <v/>
      </c>
    </row>
    <row r="224" spans="1:11" ht="15" customHeight="1" x14ac:dyDescent="0.2">
      <c r="A224" s="9"/>
      <c r="B224" s="9"/>
      <c r="C224" s="9"/>
      <c r="D224" s="10"/>
      <c r="E224" s="10"/>
      <c r="F224" s="10"/>
      <c r="G224" s="10"/>
      <c r="H224" s="9"/>
      <c r="I224" s="10"/>
      <c r="J224" s="12" t="str">
        <f t="shared" si="3"/>
        <v/>
      </c>
      <c r="K224" s="12" t="str">
        <f>IF(J224="","",COUNTIF($J$3:$J$501,"&lt;"&amp;J224)+COUNTIF('Tournament Log'!$N$4:$N$203,"&lt;"&amp;J224)+COUNTIF('Guest Log'!$K$4:$K$203,"&lt;"&amp;J224)+1)</f>
        <v/>
      </c>
    </row>
    <row r="225" spans="1:11" ht="15" customHeight="1" x14ac:dyDescent="0.2">
      <c r="A225" s="9"/>
      <c r="B225" s="9"/>
      <c r="C225" s="9"/>
      <c r="D225" s="10"/>
      <c r="E225" s="10"/>
      <c r="F225" s="10"/>
      <c r="G225" s="10"/>
      <c r="H225" s="9"/>
      <c r="I225" s="10"/>
      <c r="J225" s="12" t="str">
        <f t="shared" si="3"/>
        <v/>
      </c>
      <c r="K225" s="12" t="str">
        <f>IF(J225="","",COUNTIF($J$3:$J$501,"&lt;"&amp;J225)+COUNTIF('Tournament Log'!$N$4:$N$203,"&lt;"&amp;J225)+COUNTIF('Guest Log'!$K$4:$K$203,"&lt;"&amp;J225)+1)</f>
        <v/>
      </c>
    </row>
    <row r="226" spans="1:11" ht="15" customHeight="1" x14ac:dyDescent="0.2">
      <c r="A226" s="9"/>
      <c r="B226" s="9"/>
      <c r="C226" s="9"/>
      <c r="D226" s="10"/>
      <c r="E226" s="10"/>
      <c r="F226" s="10"/>
      <c r="G226" s="10"/>
      <c r="H226" s="9"/>
      <c r="I226" s="10"/>
      <c r="J226" s="12" t="str">
        <f t="shared" si="3"/>
        <v/>
      </c>
      <c r="K226" s="12" t="str">
        <f>IF(J226="","",COUNTIF($J$3:$J$501,"&lt;"&amp;J226)+COUNTIF('Tournament Log'!$N$4:$N$203,"&lt;"&amp;J226)+COUNTIF('Guest Log'!$K$4:$K$203,"&lt;"&amp;J226)+1)</f>
        <v/>
      </c>
    </row>
    <row r="227" spans="1:11" ht="15" customHeight="1" x14ac:dyDescent="0.2">
      <c r="A227" s="9"/>
      <c r="B227" s="9"/>
      <c r="C227" s="9"/>
      <c r="D227" s="10"/>
      <c r="E227" s="10"/>
      <c r="F227" s="10"/>
      <c r="G227" s="10"/>
      <c r="H227" s="9"/>
      <c r="I227" s="10"/>
      <c r="J227" s="12" t="str">
        <f t="shared" si="3"/>
        <v/>
      </c>
      <c r="K227" s="12" t="str">
        <f>IF(J227="","",COUNTIF($J$3:$J$501,"&lt;"&amp;J227)+COUNTIF('Tournament Log'!$N$4:$N$203,"&lt;"&amp;J227)+COUNTIF('Guest Log'!$K$4:$K$203,"&lt;"&amp;J227)+1)</f>
        <v/>
      </c>
    </row>
    <row r="228" spans="1:11" ht="15" customHeight="1" x14ac:dyDescent="0.2">
      <c r="A228" s="9"/>
      <c r="B228" s="9"/>
      <c r="C228" s="9"/>
      <c r="D228" s="10"/>
      <c r="E228" s="10"/>
      <c r="F228" s="10"/>
      <c r="G228" s="10"/>
      <c r="H228" s="9"/>
      <c r="I228" s="10"/>
      <c r="J228" s="12" t="str">
        <f t="shared" si="3"/>
        <v/>
      </c>
      <c r="K228" s="12" t="str">
        <f>IF(J228="","",COUNTIF($J$3:$J$501,"&lt;"&amp;J228)+COUNTIF('Tournament Log'!$N$4:$N$203,"&lt;"&amp;J228)+COUNTIF('Guest Log'!$K$4:$K$203,"&lt;"&amp;J228)+1)</f>
        <v/>
      </c>
    </row>
    <row r="229" spans="1:11" ht="15" customHeight="1" x14ac:dyDescent="0.2">
      <c r="A229" s="9"/>
      <c r="B229" s="9"/>
      <c r="C229" s="9"/>
      <c r="D229" s="10"/>
      <c r="E229" s="10"/>
      <c r="F229" s="10"/>
      <c r="G229" s="10"/>
      <c r="H229" s="9"/>
      <c r="I229" s="10"/>
      <c r="J229" s="12" t="str">
        <f t="shared" si="3"/>
        <v/>
      </c>
      <c r="K229" s="12" t="str">
        <f>IF(J229="","",COUNTIF($J$3:$J$501,"&lt;"&amp;J229)+COUNTIF('Tournament Log'!$N$4:$N$203,"&lt;"&amp;J229)+COUNTIF('Guest Log'!$K$4:$K$203,"&lt;"&amp;J229)+1)</f>
        <v/>
      </c>
    </row>
    <row r="230" spans="1:11" ht="15" customHeight="1" x14ac:dyDescent="0.2">
      <c r="A230" s="9"/>
      <c r="B230" s="9"/>
      <c r="C230" s="9"/>
      <c r="D230" s="10"/>
      <c r="E230" s="10"/>
      <c r="F230" s="10"/>
      <c r="G230" s="10"/>
      <c r="H230" s="9"/>
      <c r="I230" s="10"/>
      <c r="J230" s="12" t="str">
        <f t="shared" si="3"/>
        <v/>
      </c>
      <c r="K230" s="12" t="str">
        <f>IF(J230="","",COUNTIF($J$3:$J$501,"&lt;"&amp;J230)+COUNTIF('Tournament Log'!$N$4:$N$203,"&lt;"&amp;J230)+COUNTIF('Guest Log'!$K$4:$K$203,"&lt;"&amp;J230)+1)</f>
        <v/>
      </c>
    </row>
    <row r="231" spans="1:11" ht="15" customHeight="1" x14ac:dyDescent="0.2">
      <c r="A231" s="9"/>
      <c r="B231" s="9"/>
      <c r="C231" s="9"/>
      <c r="D231" s="10"/>
      <c r="E231" s="10"/>
      <c r="F231" s="10"/>
      <c r="G231" s="10"/>
      <c r="H231" s="9"/>
      <c r="I231" s="10"/>
      <c r="J231" s="12" t="str">
        <f t="shared" si="3"/>
        <v/>
      </c>
      <c r="K231" s="12" t="str">
        <f>IF(J231="","",COUNTIF($J$3:$J$501,"&lt;"&amp;J231)+COUNTIF('Tournament Log'!$N$4:$N$203,"&lt;"&amp;J231)+COUNTIF('Guest Log'!$K$4:$K$203,"&lt;"&amp;J231)+1)</f>
        <v/>
      </c>
    </row>
    <row r="232" spans="1:11" ht="15" customHeight="1" x14ac:dyDescent="0.2">
      <c r="A232" s="9"/>
      <c r="B232" s="9"/>
      <c r="C232" s="9"/>
      <c r="D232" s="10"/>
      <c r="E232" s="10"/>
      <c r="F232" s="10"/>
      <c r="G232" s="10"/>
      <c r="H232" s="9"/>
      <c r="I232" s="10"/>
      <c r="J232" s="12" t="str">
        <f t="shared" si="3"/>
        <v/>
      </c>
      <c r="K232" s="12" t="str">
        <f>IF(J232="","",COUNTIF($J$3:$J$501,"&lt;"&amp;J232)+COUNTIF('Tournament Log'!$N$4:$N$203,"&lt;"&amp;J232)+COUNTIF('Guest Log'!$K$4:$K$203,"&lt;"&amp;J232)+1)</f>
        <v/>
      </c>
    </row>
    <row r="233" spans="1:11" ht="15" customHeight="1" x14ac:dyDescent="0.2">
      <c r="A233" s="9"/>
      <c r="B233" s="9"/>
      <c r="C233" s="9"/>
      <c r="D233" s="10"/>
      <c r="E233" s="10"/>
      <c r="F233" s="10"/>
      <c r="G233" s="10"/>
      <c r="H233" s="9"/>
      <c r="I233" s="10"/>
      <c r="J233" s="12" t="str">
        <f t="shared" si="3"/>
        <v/>
      </c>
      <c r="K233" s="12" t="str">
        <f>IF(J233="","",COUNTIF($J$3:$J$501,"&lt;"&amp;J233)+COUNTIF('Tournament Log'!$N$4:$N$203,"&lt;"&amp;J233)+COUNTIF('Guest Log'!$K$4:$K$203,"&lt;"&amp;J233)+1)</f>
        <v/>
      </c>
    </row>
    <row r="234" spans="1:11" ht="15" customHeight="1" x14ac:dyDescent="0.2">
      <c r="A234" s="9"/>
      <c r="B234" s="9"/>
      <c r="C234" s="9"/>
      <c r="D234" s="10"/>
      <c r="E234" s="10"/>
      <c r="F234" s="10"/>
      <c r="G234" s="10"/>
      <c r="H234" s="9"/>
      <c r="I234" s="10"/>
      <c r="J234" s="12" t="str">
        <f t="shared" si="3"/>
        <v/>
      </c>
      <c r="K234" s="12" t="str">
        <f>IF(J234="","",COUNTIF($J$3:$J$501,"&lt;"&amp;J234)+COUNTIF('Tournament Log'!$N$4:$N$203,"&lt;"&amp;J234)+COUNTIF('Guest Log'!$K$4:$K$203,"&lt;"&amp;J234)+1)</f>
        <v/>
      </c>
    </row>
    <row r="235" spans="1:11" ht="15" customHeight="1" x14ac:dyDescent="0.2">
      <c r="A235" s="9"/>
      <c r="B235" s="9"/>
      <c r="C235" s="9"/>
      <c r="D235" s="10"/>
      <c r="E235" s="10"/>
      <c r="F235" s="10"/>
      <c r="G235" s="10"/>
      <c r="H235" s="9"/>
      <c r="I235" s="10"/>
      <c r="J235" s="12" t="str">
        <f t="shared" si="3"/>
        <v/>
      </c>
      <c r="K235" s="12" t="str">
        <f>IF(J235="","",COUNTIF($J$3:$J$501,"&lt;"&amp;J235)+COUNTIF('Tournament Log'!$N$4:$N$203,"&lt;"&amp;J235)+COUNTIF('Guest Log'!$K$4:$K$203,"&lt;"&amp;J235)+1)</f>
        <v/>
      </c>
    </row>
    <row r="236" spans="1:11" ht="15" customHeight="1" x14ac:dyDescent="0.2">
      <c r="A236" s="9"/>
      <c r="B236" s="9"/>
      <c r="C236" s="9"/>
      <c r="D236" s="10"/>
      <c r="E236" s="10"/>
      <c r="F236" s="10"/>
      <c r="G236" s="10"/>
      <c r="H236" s="9"/>
      <c r="I236" s="10"/>
      <c r="J236" s="12" t="str">
        <f t="shared" si="3"/>
        <v/>
      </c>
      <c r="K236" s="12" t="str">
        <f>IF(J236="","",COUNTIF($J$3:$J$501,"&lt;"&amp;J236)+COUNTIF('Tournament Log'!$N$4:$N$203,"&lt;"&amp;J236)+COUNTIF('Guest Log'!$K$4:$K$203,"&lt;"&amp;J236)+1)</f>
        <v/>
      </c>
    </row>
    <row r="237" spans="1:11" ht="15" customHeight="1" x14ac:dyDescent="0.2">
      <c r="A237" s="9"/>
      <c r="B237" s="9"/>
      <c r="C237" s="9"/>
      <c r="D237" s="10"/>
      <c r="E237" s="10"/>
      <c r="F237" s="10"/>
      <c r="G237" s="10"/>
      <c r="H237" s="9"/>
      <c r="I237" s="10"/>
      <c r="J237" s="12" t="str">
        <f t="shared" si="3"/>
        <v/>
      </c>
      <c r="K237" s="12" t="str">
        <f>IF(J237="","",COUNTIF($J$3:$J$501,"&lt;"&amp;J237)+COUNTIF('Tournament Log'!$N$4:$N$203,"&lt;"&amp;J237)+COUNTIF('Guest Log'!$K$4:$K$203,"&lt;"&amp;J237)+1)</f>
        <v/>
      </c>
    </row>
    <row r="238" spans="1:11" ht="15" customHeight="1" x14ac:dyDescent="0.2">
      <c r="A238" s="9"/>
      <c r="B238" s="9"/>
      <c r="C238" s="9"/>
      <c r="D238" s="10"/>
      <c r="E238" s="10"/>
      <c r="F238" s="10"/>
      <c r="G238" s="10"/>
      <c r="H238" s="9"/>
      <c r="I238" s="10"/>
      <c r="J238" s="12" t="str">
        <f t="shared" si="3"/>
        <v/>
      </c>
      <c r="K238" s="12" t="str">
        <f>IF(J238="","",COUNTIF($J$3:$J$501,"&lt;"&amp;J238)+COUNTIF('Tournament Log'!$N$4:$N$203,"&lt;"&amp;J238)+COUNTIF('Guest Log'!$K$4:$K$203,"&lt;"&amp;J238)+1)</f>
        <v/>
      </c>
    </row>
    <row r="239" spans="1:11" ht="15" customHeight="1" x14ac:dyDescent="0.2">
      <c r="A239" s="9"/>
      <c r="B239" s="9"/>
      <c r="C239" s="9"/>
      <c r="D239" s="10"/>
      <c r="E239" s="10"/>
      <c r="F239" s="10"/>
      <c r="G239" s="10"/>
      <c r="H239" s="9"/>
      <c r="I239" s="10"/>
      <c r="J239" s="12" t="str">
        <f t="shared" si="3"/>
        <v/>
      </c>
      <c r="K239" s="12" t="str">
        <f>IF(J239="","",COUNTIF($J$3:$J$501,"&lt;"&amp;J239)+COUNTIF('Tournament Log'!$N$4:$N$203,"&lt;"&amp;J239)+COUNTIF('Guest Log'!$K$4:$K$203,"&lt;"&amp;J239)+1)</f>
        <v/>
      </c>
    </row>
    <row r="240" spans="1:11" ht="15" customHeight="1" x14ac:dyDescent="0.2">
      <c r="A240" s="9"/>
      <c r="B240" s="9"/>
      <c r="C240" s="9"/>
      <c r="D240" s="10"/>
      <c r="E240" s="10"/>
      <c r="F240" s="10"/>
      <c r="G240" s="10"/>
      <c r="H240" s="9"/>
      <c r="I240" s="10"/>
      <c r="J240" s="12" t="str">
        <f t="shared" si="3"/>
        <v/>
      </c>
      <c r="K240" s="12" t="str">
        <f>IF(J240="","",COUNTIF($J$3:$J$501,"&lt;"&amp;J240)+COUNTIF('Tournament Log'!$N$4:$N$203,"&lt;"&amp;J240)+COUNTIF('Guest Log'!$K$4:$K$203,"&lt;"&amp;J240)+1)</f>
        <v/>
      </c>
    </row>
    <row r="241" spans="1:11" ht="15" customHeight="1" x14ac:dyDescent="0.2">
      <c r="A241" s="9"/>
      <c r="B241" s="9"/>
      <c r="C241" s="9"/>
      <c r="D241" s="10"/>
      <c r="E241" s="10"/>
      <c r="F241" s="10"/>
      <c r="G241" s="10"/>
      <c r="H241" s="9"/>
      <c r="I241" s="10"/>
      <c r="J241" s="12" t="str">
        <f t="shared" si="3"/>
        <v/>
      </c>
      <c r="K241" s="12" t="str">
        <f>IF(J241="","",COUNTIF($J$3:$J$501,"&lt;"&amp;J241)+COUNTIF('Tournament Log'!$N$4:$N$203,"&lt;"&amp;J241)+COUNTIF('Guest Log'!$K$4:$K$203,"&lt;"&amp;J241)+1)</f>
        <v/>
      </c>
    </row>
    <row r="242" spans="1:11" ht="15" customHeight="1" x14ac:dyDescent="0.2">
      <c r="A242" s="9"/>
      <c r="B242" s="9"/>
      <c r="C242" s="9"/>
      <c r="D242" s="10"/>
      <c r="E242" s="10"/>
      <c r="F242" s="10"/>
      <c r="G242" s="10"/>
      <c r="H242" s="9"/>
      <c r="I242" s="10"/>
      <c r="J242" s="12" t="str">
        <f t="shared" si="3"/>
        <v/>
      </c>
      <c r="K242" s="12" t="str">
        <f>IF(J242="","",COUNTIF($J$3:$J$501,"&lt;"&amp;J242)+COUNTIF('Tournament Log'!$N$4:$N$203,"&lt;"&amp;J242)+COUNTIF('Guest Log'!$K$4:$K$203,"&lt;"&amp;J242)+1)</f>
        <v/>
      </c>
    </row>
    <row r="243" spans="1:11" ht="15" customHeight="1" x14ac:dyDescent="0.2">
      <c r="A243" s="9"/>
      <c r="B243" s="9"/>
      <c r="C243" s="9"/>
      <c r="D243" s="10"/>
      <c r="E243" s="10"/>
      <c r="F243" s="10"/>
      <c r="G243" s="10"/>
      <c r="H243" s="9"/>
      <c r="I243" s="10"/>
      <c r="J243" s="12" t="str">
        <f t="shared" si="3"/>
        <v/>
      </c>
      <c r="K243" s="12" t="str">
        <f>IF(J243="","",COUNTIF($J$3:$J$501,"&lt;"&amp;J243)+COUNTIF('Tournament Log'!$N$4:$N$203,"&lt;"&amp;J243)+COUNTIF('Guest Log'!$K$4:$K$203,"&lt;"&amp;J243)+1)</f>
        <v/>
      </c>
    </row>
    <row r="244" spans="1:11" ht="15" customHeight="1" x14ac:dyDescent="0.2">
      <c r="A244" s="9"/>
      <c r="B244" s="9"/>
      <c r="C244" s="9"/>
      <c r="D244" s="10"/>
      <c r="E244" s="10"/>
      <c r="F244" s="10"/>
      <c r="G244" s="10"/>
      <c r="H244" s="9"/>
      <c r="I244" s="10"/>
      <c r="J244" s="12" t="str">
        <f t="shared" si="3"/>
        <v/>
      </c>
      <c r="K244" s="12" t="str">
        <f>IF(J244="","",COUNTIF($J$3:$J$501,"&lt;"&amp;J244)+COUNTIF('Tournament Log'!$N$4:$N$203,"&lt;"&amp;J244)+COUNTIF('Guest Log'!$K$4:$K$203,"&lt;"&amp;J244)+1)</f>
        <v/>
      </c>
    </row>
    <row r="245" spans="1:11" ht="15" customHeight="1" x14ac:dyDescent="0.2">
      <c r="A245" s="9"/>
      <c r="B245" s="9"/>
      <c r="C245" s="9"/>
      <c r="D245" s="10"/>
      <c r="E245" s="10"/>
      <c r="F245" s="10"/>
      <c r="G245" s="10"/>
      <c r="H245" s="9"/>
      <c r="I245" s="10"/>
      <c r="J245" s="12" t="str">
        <f t="shared" si="3"/>
        <v/>
      </c>
      <c r="K245" s="12" t="str">
        <f>IF(J245="","",COUNTIF($J$3:$J$501,"&lt;"&amp;J245)+COUNTIF('Tournament Log'!$N$4:$N$203,"&lt;"&amp;J245)+COUNTIF('Guest Log'!$K$4:$K$203,"&lt;"&amp;J245)+1)</f>
        <v/>
      </c>
    </row>
    <row r="246" spans="1:11" ht="15" customHeight="1" x14ac:dyDescent="0.2">
      <c r="A246" s="9"/>
      <c r="B246" s="9"/>
      <c r="C246" s="9"/>
      <c r="D246" s="10"/>
      <c r="E246" s="10"/>
      <c r="F246" s="10"/>
      <c r="G246" s="10"/>
      <c r="H246" s="9"/>
      <c r="I246" s="10"/>
      <c r="J246" s="12" t="str">
        <f t="shared" si="3"/>
        <v/>
      </c>
      <c r="K246" s="12" t="str">
        <f>IF(J246="","",COUNTIF($J$3:$J$501,"&lt;"&amp;J246)+COUNTIF('Tournament Log'!$N$4:$N$203,"&lt;"&amp;J246)+COUNTIF('Guest Log'!$K$4:$K$203,"&lt;"&amp;J246)+1)</f>
        <v/>
      </c>
    </row>
    <row r="247" spans="1:11" ht="15" customHeight="1" x14ac:dyDescent="0.2">
      <c r="A247" s="9"/>
      <c r="B247" s="9"/>
      <c r="C247" s="9"/>
      <c r="D247" s="10"/>
      <c r="E247" s="10"/>
      <c r="F247" s="10"/>
      <c r="G247" s="10"/>
      <c r="H247" s="9"/>
      <c r="I247" s="10"/>
      <c r="J247" s="12" t="str">
        <f t="shared" si="3"/>
        <v/>
      </c>
      <c r="K247" s="12" t="str">
        <f>IF(J247="","",COUNTIF($J$3:$J$501,"&lt;"&amp;J247)+COUNTIF('Tournament Log'!$N$4:$N$203,"&lt;"&amp;J247)+COUNTIF('Guest Log'!$K$4:$K$203,"&lt;"&amp;J247)+1)</f>
        <v/>
      </c>
    </row>
    <row r="248" spans="1:11" ht="15" customHeight="1" x14ac:dyDescent="0.2">
      <c r="A248" s="9"/>
      <c r="B248" s="9"/>
      <c r="C248" s="9"/>
      <c r="D248" s="10"/>
      <c r="E248" s="10"/>
      <c r="F248" s="10"/>
      <c r="G248" s="10"/>
      <c r="H248" s="9"/>
      <c r="I248" s="10"/>
      <c r="J248" s="12" t="str">
        <f t="shared" si="3"/>
        <v/>
      </c>
      <c r="K248" s="12" t="str">
        <f>IF(J248="","",COUNTIF($J$3:$J$501,"&lt;"&amp;J248)+COUNTIF('Tournament Log'!$N$4:$N$203,"&lt;"&amp;J248)+COUNTIF('Guest Log'!$K$4:$K$203,"&lt;"&amp;J248)+1)</f>
        <v/>
      </c>
    </row>
    <row r="249" spans="1:11" ht="15" customHeight="1" x14ac:dyDescent="0.2">
      <c r="A249" s="9"/>
      <c r="B249" s="9"/>
      <c r="C249" s="9"/>
      <c r="D249" s="10"/>
      <c r="E249" s="10"/>
      <c r="F249" s="10"/>
      <c r="G249" s="10"/>
      <c r="H249" s="9"/>
      <c r="I249" s="10"/>
      <c r="J249" s="12" t="str">
        <f t="shared" si="3"/>
        <v/>
      </c>
      <c r="K249" s="12" t="str">
        <f>IF(J249="","",COUNTIF($J$3:$J$501,"&lt;"&amp;J249)+COUNTIF('Tournament Log'!$N$4:$N$203,"&lt;"&amp;J249)+COUNTIF('Guest Log'!$K$4:$K$203,"&lt;"&amp;J249)+1)</f>
        <v/>
      </c>
    </row>
    <row r="250" spans="1:11" ht="15" customHeight="1" x14ac:dyDescent="0.2">
      <c r="A250" s="9"/>
      <c r="B250" s="9"/>
      <c r="C250" s="9"/>
      <c r="D250" s="10"/>
      <c r="E250" s="10"/>
      <c r="F250" s="10"/>
      <c r="G250" s="10"/>
      <c r="H250" s="9"/>
      <c r="I250" s="10"/>
      <c r="J250" s="12" t="str">
        <f t="shared" si="3"/>
        <v/>
      </c>
      <c r="K250" s="12" t="str">
        <f>IF(J250="","",COUNTIF($J$3:$J$501,"&lt;"&amp;J250)+COUNTIF('Tournament Log'!$N$4:$N$203,"&lt;"&amp;J250)+COUNTIF('Guest Log'!$K$4:$K$203,"&lt;"&amp;J250)+1)</f>
        <v/>
      </c>
    </row>
    <row r="251" spans="1:11" ht="15" customHeight="1" x14ac:dyDescent="0.2">
      <c r="A251" s="9"/>
      <c r="B251" s="9"/>
      <c r="C251" s="9"/>
      <c r="D251" s="10"/>
      <c r="E251" s="10"/>
      <c r="F251" s="10"/>
      <c r="G251" s="10"/>
      <c r="H251" s="9"/>
      <c r="I251" s="10"/>
      <c r="J251" s="12" t="str">
        <f t="shared" si="3"/>
        <v/>
      </c>
      <c r="K251" s="12" t="str">
        <f>IF(J251="","",COUNTIF($J$3:$J$501,"&lt;"&amp;J251)+COUNTIF('Tournament Log'!$N$4:$N$203,"&lt;"&amp;J251)+COUNTIF('Guest Log'!$K$4:$K$203,"&lt;"&amp;J251)+1)</f>
        <v/>
      </c>
    </row>
    <row r="252" spans="1:11" ht="15" customHeight="1" x14ac:dyDescent="0.2">
      <c r="A252" s="9"/>
      <c r="B252" s="9"/>
      <c r="C252" s="9"/>
      <c r="D252" s="10"/>
      <c r="E252" s="10"/>
      <c r="F252" s="10"/>
      <c r="G252" s="10"/>
      <c r="H252" s="9"/>
      <c r="I252" s="10"/>
      <c r="J252" s="12" t="str">
        <f t="shared" si="3"/>
        <v/>
      </c>
      <c r="K252" s="12" t="str">
        <f>IF(J252="","",COUNTIF($J$3:$J$501,"&lt;"&amp;J252)+COUNTIF('Tournament Log'!$N$4:$N$203,"&lt;"&amp;J252)+COUNTIF('Guest Log'!$K$4:$K$203,"&lt;"&amp;J252)+1)</f>
        <v/>
      </c>
    </row>
    <row r="253" spans="1:11" ht="15" customHeight="1" x14ac:dyDescent="0.2">
      <c r="A253" s="9"/>
      <c r="B253" s="9"/>
      <c r="C253" s="9"/>
      <c r="D253" s="10"/>
      <c r="E253" s="10"/>
      <c r="F253" s="10"/>
      <c r="G253" s="10"/>
      <c r="H253" s="9"/>
      <c r="I253" s="10"/>
      <c r="J253" s="12" t="str">
        <f t="shared" si="3"/>
        <v/>
      </c>
      <c r="K253" s="12" t="str">
        <f>IF(J253="","",COUNTIF($J$3:$J$501,"&lt;"&amp;J253)+COUNTIF('Tournament Log'!$N$4:$N$203,"&lt;"&amp;J253)+COUNTIF('Guest Log'!$K$4:$K$203,"&lt;"&amp;J253)+1)</f>
        <v/>
      </c>
    </row>
    <row r="254" spans="1:11" ht="15" customHeight="1" x14ac:dyDescent="0.2">
      <c r="A254" s="9"/>
      <c r="B254" s="9"/>
      <c r="C254" s="9"/>
      <c r="D254" s="10"/>
      <c r="E254" s="10"/>
      <c r="F254" s="10"/>
      <c r="G254" s="10"/>
      <c r="H254" s="9"/>
      <c r="I254" s="10"/>
      <c r="J254" s="12" t="str">
        <f t="shared" si="3"/>
        <v/>
      </c>
      <c r="K254" s="12" t="str">
        <f>IF(J254="","",COUNTIF($J$3:$J$501,"&lt;"&amp;J254)+COUNTIF('Tournament Log'!$N$4:$N$203,"&lt;"&amp;J254)+COUNTIF('Guest Log'!$K$4:$K$203,"&lt;"&amp;J254)+1)</f>
        <v/>
      </c>
    </row>
    <row r="255" spans="1:11" ht="15" customHeight="1" x14ac:dyDescent="0.2">
      <c r="A255" s="9"/>
      <c r="B255" s="9"/>
      <c r="C255" s="9"/>
      <c r="D255" s="10"/>
      <c r="E255" s="10"/>
      <c r="F255" s="10"/>
      <c r="G255" s="10"/>
      <c r="H255" s="9"/>
      <c r="I255" s="10"/>
      <c r="J255" s="12" t="str">
        <f t="shared" si="3"/>
        <v/>
      </c>
      <c r="K255" s="12" t="str">
        <f>IF(J255="","",COUNTIF($J$3:$J$501,"&lt;"&amp;J255)+COUNTIF('Tournament Log'!$N$4:$N$203,"&lt;"&amp;J255)+COUNTIF('Guest Log'!$K$4:$K$203,"&lt;"&amp;J255)+1)</f>
        <v/>
      </c>
    </row>
    <row r="256" spans="1:11" ht="15" customHeight="1" x14ac:dyDescent="0.2">
      <c r="A256" s="9"/>
      <c r="B256" s="9"/>
      <c r="C256" s="9"/>
      <c r="D256" s="10"/>
      <c r="E256" s="10"/>
      <c r="F256" s="10"/>
      <c r="G256" s="10"/>
      <c r="H256" s="9"/>
      <c r="I256" s="10"/>
      <c r="J256" s="12" t="str">
        <f t="shared" si="3"/>
        <v/>
      </c>
      <c r="K256" s="12" t="str">
        <f>IF(J256="","",COUNTIF($J$3:$J$501,"&lt;"&amp;J256)+COUNTIF('Tournament Log'!$N$4:$N$203,"&lt;"&amp;J256)+COUNTIF('Guest Log'!$K$4:$K$203,"&lt;"&amp;J256)+1)</f>
        <v/>
      </c>
    </row>
    <row r="257" spans="1:11" ht="15" customHeight="1" x14ac:dyDescent="0.2">
      <c r="A257" s="9"/>
      <c r="B257" s="9"/>
      <c r="C257" s="9"/>
      <c r="D257" s="10"/>
      <c r="E257" s="10"/>
      <c r="F257" s="10"/>
      <c r="G257" s="10"/>
      <c r="H257" s="9"/>
      <c r="I257" s="10"/>
      <c r="J257" s="12" t="str">
        <f t="shared" si="3"/>
        <v/>
      </c>
      <c r="K257" s="12" t="str">
        <f>IF(J257="","",COUNTIF($J$3:$J$501,"&lt;"&amp;J257)+COUNTIF('Tournament Log'!$N$4:$N$203,"&lt;"&amp;J257)+COUNTIF('Guest Log'!$K$4:$K$203,"&lt;"&amp;J257)+1)</f>
        <v/>
      </c>
    </row>
    <row r="258" spans="1:11" ht="15" customHeight="1" x14ac:dyDescent="0.2">
      <c r="A258" s="9"/>
      <c r="B258" s="9"/>
      <c r="C258" s="9"/>
      <c r="D258" s="10"/>
      <c r="E258" s="10"/>
      <c r="F258" s="10"/>
      <c r="G258" s="10"/>
      <c r="H258" s="9"/>
      <c r="I258" s="10"/>
      <c r="J258" s="12" t="str">
        <f t="shared" si="3"/>
        <v/>
      </c>
      <c r="K258" s="12" t="str">
        <f>IF(J258="","",COUNTIF($J$3:$J$501,"&lt;"&amp;J258)+COUNTIF('Tournament Log'!$N$4:$N$203,"&lt;"&amp;J258)+COUNTIF('Guest Log'!$K$4:$K$203,"&lt;"&amp;J258)+1)</f>
        <v/>
      </c>
    </row>
    <row r="259" spans="1:11" ht="15" customHeight="1" x14ac:dyDescent="0.2">
      <c r="A259" s="9"/>
      <c r="B259" s="9"/>
      <c r="C259" s="9"/>
      <c r="D259" s="10"/>
      <c r="E259" s="10"/>
      <c r="F259" s="10"/>
      <c r="G259" s="10"/>
      <c r="H259" s="9"/>
      <c r="I259" s="10"/>
      <c r="J259" s="12" t="str">
        <f t="shared" ref="J259:J322" si="4">IF(A259="","",A259+ROW()/10000000)</f>
        <v/>
      </c>
      <c r="K259" s="12" t="str">
        <f>IF(J259="","",COUNTIF($J$3:$J$501,"&lt;"&amp;J259)+COUNTIF('Tournament Log'!$N$4:$N$203,"&lt;"&amp;J259)+COUNTIF('Guest Log'!$K$4:$K$203,"&lt;"&amp;J259)+1)</f>
        <v/>
      </c>
    </row>
    <row r="260" spans="1:11" ht="15" customHeight="1" x14ac:dyDescent="0.2">
      <c r="A260" s="9"/>
      <c r="B260" s="9"/>
      <c r="C260" s="9"/>
      <c r="D260" s="10"/>
      <c r="E260" s="10"/>
      <c r="F260" s="10"/>
      <c r="G260" s="10"/>
      <c r="H260" s="9"/>
      <c r="I260" s="10"/>
      <c r="J260" s="12" t="str">
        <f t="shared" si="4"/>
        <v/>
      </c>
      <c r="K260" s="12" t="str">
        <f>IF(J260="","",COUNTIF($J$3:$J$501,"&lt;"&amp;J260)+COUNTIF('Tournament Log'!$N$4:$N$203,"&lt;"&amp;J260)+COUNTIF('Guest Log'!$K$4:$K$203,"&lt;"&amp;J260)+1)</f>
        <v/>
      </c>
    </row>
    <row r="261" spans="1:11" ht="15" customHeight="1" x14ac:dyDescent="0.2">
      <c r="A261" s="9"/>
      <c r="B261" s="9"/>
      <c r="C261" s="9"/>
      <c r="D261" s="10"/>
      <c r="E261" s="10"/>
      <c r="F261" s="10"/>
      <c r="G261" s="10"/>
      <c r="H261" s="9"/>
      <c r="I261" s="10"/>
      <c r="J261" s="12" t="str">
        <f t="shared" si="4"/>
        <v/>
      </c>
      <c r="K261" s="12" t="str">
        <f>IF(J261="","",COUNTIF($J$3:$J$501,"&lt;"&amp;J261)+COUNTIF('Tournament Log'!$N$4:$N$203,"&lt;"&amp;J261)+COUNTIF('Guest Log'!$K$4:$K$203,"&lt;"&amp;J261)+1)</f>
        <v/>
      </c>
    </row>
    <row r="262" spans="1:11" ht="15" customHeight="1" x14ac:dyDescent="0.2">
      <c r="A262" s="9"/>
      <c r="B262" s="9"/>
      <c r="C262" s="9"/>
      <c r="D262" s="10"/>
      <c r="E262" s="10"/>
      <c r="F262" s="10"/>
      <c r="G262" s="10"/>
      <c r="H262" s="9"/>
      <c r="I262" s="10"/>
      <c r="J262" s="12" t="str">
        <f t="shared" si="4"/>
        <v/>
      </c>
      <c r="K262" s="12" t="str">
        <f>IF(J262="","",COUNTIF($J$3:$J$501,"&lt;"&amp;J262)+COUNTIF('Tournament Log'!$N$4:$N$203,"&lt;"&amp;J262)+COUNTIF('Guest Log'!$K$4:$K$203,"&lt;"&amp;J262)+1)</f>
        <v/>
      </c>
    </row>
    <row r="263" spans="1:11" ht="15" customHeight="1" x14ac:dyDescent="0.2">
      <c r="A263" s="9"/>
      <c r="B263" s="9"/>
      <c r="C263" s="9"/>
      <c r="D263" s="10"/>
      <c r="E263" s="10"/>
      <c r="F263" s="10"/>
      <c r="G263" s="10"/>
      <c r="H263" s="9"/>
      <c r="I263" s="10"/>
      <c r="J263" s="12" t="str">
        <f t="shared" si="4"/>
        <v/>
      </c>
      <c r="K263" s="12" t="str">
        <f>IF(J263="","",COUNTIF($J$3:$J$501,"&lt;"&amp;J263)+COUNTIF('Tournament Log'!$N$4:$N$203,"&lt;"&amp;J263)+COUNTIF('Guest Log'!$K$4:$K$203,"&lt;"&amp;J263)+1)</f>
        <v/>
      </c>
    </row>
    <row r="264" spans="1:11" ht="15" customHeight="1" x14ac:dyDescent="0.2">
      <c r="A264" s="9"/>
      <c r="B264" s="9"/>
      <c r="C264" s="9"/>
      <c r="D264" s="10"/>
      <c r="E264" s="10"/>
      <c r="F264" s="10"/>
      <c r="G264" s="10"/>
      <c r="H264" s="9"/>
      <c r="I264" s="10"/>
      <c r="J264" s="12" t="str">
        <f t="shared" si="4"/>
        <v/>
      </c>
      <c r="K264" s="12" t="str">
        <f>IF(J264="","",COUNTIF($J$3:$J$501,"&lt;"&amp;J264)+COUNTIF('Tournament Log'!$N$4:$N$203,"&lt;"&amp;J264)+COUNTIF('Guest Log'!$K$4:$K$203,"&lt;"&amp;J264)+1)</f>
        <v/>
      </c>
    </row>
    <row r="265" spans="1:11" ht="15" customHeight="1" x14ac:dyDescent="0.2">
      <c r="A265" s="9"/>
      <c r="B265" s="9"/>
      <c r="C265" s="9"/>
      <c r="D265" s="10"/>
      <c r="E265" s="10"/>
      <c r="F265" s="10"/>
      <c r="G265" s="10"/>
      <c r="H265" s="9"/>
      <c r="I265" s="10"/>
      <c r="J265" s="12" t="str">
        <f t="shared" si="4"/>
        <v/>
      </c>
      <c r="K265" s="12" t="str">
        <f>IF(J265="","",COUNTIF($J$3:$J$501,"&lt;"&amp;J265)+COUNTIF('Tournament Log'!$N$4:$N$203,"&lt;"&amp;J265)+COUNTIF('Guest Log'!$K$4:$K$203,"&lt;"&amp;J265)+1)</f>
        <v/>
      </c>
    </row>
    <row r="266" spans="1:11" ht="15" customHeight="1" x14ac:dyDescent="0.2">
      <c r="A266" s="9"/>
      <c r="B266" s="9"/>
      <c r="C266" s="9"/>
      <c r="D266" s="10"/>
      <c r="E266" s="10"/>
      <c r="F266" s="10"/>
      <c r="G266" s="10"/>
      <c r="H266" s="9"/>
      <c r="I266" s="10"/>
      <c r="J266" s="12" t="str">
        <f t="shared" si="4"/>
        <v/>
      </c>
      <c r="K266" s="12" t="str">
        <f>IF(J266="","",COUNTIF($J$3:$J$501,"&lt;"&amp;J266)+COUNTIF('Tournament Log'!$N$4:$N$203,"&lt;"&amp;J266)+COUNTIF('Guest Log'!$K$4:$K$203,"&lt;"&amp;J266)+1)</f>
        <v/>
      </c>
    </row>
    <row r="267" spans="1:11" ht="15" customHeight="1" x14ac:dyDescent="0.2">
      <c r="A267" s="9"/>
      <c r="B267" s="9"/>
      <c r="C267" s="9"/>
      <c r="D267" s="10"/>
      <c r="E267" s="10"/>
      <c r="F267" s="10"/>
      <c r="G267" s="10"/>
      <c r="H267" s="9"/>
      <c r="I267" s="10"/>
      <c r="J267" s="12" t="str">
        <f t="shared" si="4"/>
        <v/>
      </c>
      <c r="K267" s="12" t="str">
        <f>IF(J267="","",COUNTIF($J$3:$J$501,"&lt;"&amp;J267)+COUNTIF('Tournament Log'!$N$4:$N$203,"&lt;"&amp;J267)+COUNTIF('Guest Log'!$K$4:$K$203,"&lt;"&amp;J267)+1)</f>
        <v/>
      </c>
    </row>
    <row r="268" spans="1:11" ht="15" customHeight="1" x14ac:dyDescent="0.2">
      <c r="A268" s="9"/>
      <c r="B268" s="9"/>
      <c r="C268" s="9"/>
      <c r="D268" s="10"/>
      <c r="E268" s="10"/>
      <c r="F268" s="10"/>
      <c r="G268" s="10"/>
      <c r="H268" s="9"/>
      <c r="I268" s="10"/>
      <c r="J268" s="12" t="str">
        <f t="shared" si="4"/>
        <v/>
      </c>
      <c r="K268" s="12" t="str">
        <f>IF(J268="","",COUNTIF($J$3:$J$501,"&lt;"&amp;J268)+COUNTIF('Tournament Log'!$N$4:$N$203,"&lt;"&amp;J268)+COUNTIF('Guest Log'!$K$4:$K$203,"&lt;"&amp;J268)+1)</f>
        <v/>
      </c>
    </row>
    <row r="269" spans="1:11" ht="15" customHeight="1" x14ac:dyDescent="0.2">
      <c r="A269" s="9"/>
      <c r="B269" s="9"/>
      <c r="C269" s="9"/>
      <c r="D269" s="10"/>
      <c r="E269" s="10"/>
      <c r="F269" s="10"/>
      <c r="G269" s="10"/>
      <c r="H269" s="9"/>
      <c r="I269" s="10"/>
      <c r="J269" s="12" t="str">
        <f t="shared" si="4"/>
        <v/>
      </c>
      <c r="K269" s="12" t="str">
        <f>IF(J269="","",COUNTIF($J$3:$J$501,"&lt;"&amp;J269)+COUNTIF('Tournament Log'!$N$4:$N$203,"&lt;"&amp;J269)+COUNTIF('Guest Log'!$K$4:$K$203,"&lt;"&amp;J269)+1)</f>
        <v/>
      </c>
    </row>
    <row r="270" spans="1:11" ht="15" customHeight="1" x14ac:dyDescent="0.2">
      <c r="A270" s="9"/>
      <c r="B270" s="9"/>
      <c r="C270" s="9"/>
      <c r="D270" s="10"/>
      <c r="E270" s="10"/>
      <c r="F270" s="10"/>
      <c r="G270" s="10"/>
      <c r="H270" s="9"/>
      <c r="I270" s="10"/>
      <c r="J270" s="12" t="str">
        <f t="shared" si="4"/>
        <v/>
      </c>
      <c r="K270" s="12" t="str">
        <f>IF(J270="","",COUNTIF($J$3:$J$501,"&lt;"&amp;J270)+COUNTIF('Tournament Log'!$N$4:$N$203,"&lt;"&amp;J270)+COUNTIF('Guest Log'!$K$4:$K$203,"&lt;"&amp;J270)+1)</f>
        <v/>
      </c>
    </row>
    <row r="271" spans="1:11" ht="15" customHeight="1" x14ac:dyDescent="0.2">
      <c r="A271" s="9"/>
      <c r="B271" s="9"/>
      <c r="C271" s="9"/>
      <c r="D271" s="10"/>
      <c r="E271" s="10"/>
      <c r="F271" s="10"/>
      <c r="G271" s="10"/>
      <c r="H271" s="9"/>
      <c r="I271" s="10"/>
      <c r="J271" s="12" t="str">
        <f t="shared" si="4"/>
        <v/>
      </c>
      <c r="K271" s="12" t="str">
        <f>IF(J271="","",COUNTIF($J$3:$J$501,"&lt;"&amp;J271)+COUNTIF('Tournament Log'!$N$4:$N$203,"&lt;"&amp;J271)+COUNTIF('Guest Log'!$K$4:$K$203,"&lt;"&amp;J271)+1)</f>
        <v/>
      </c>
    </row>
    <row r="272" spans="1:11" ht="15" customHeight="1" x14ac:dyDescent="0.2">
      <c r="A272" s="9"/>
      <c r="B272" s="9"/>
      <c r="C272" s="9"/>
      <c r="D272" s="10"/>
      <c r="E272" s="10"/>
      <c r="F272" s="10"/>
      <c r="G272" s="10"/>
      <c r="H272" s="9"/>
      <c r="I272" s="10"/>
      <c r="J272" s="12" t="str">
        <f t="shared" si="4"/>
        <v/>
      </c>
      <c r="K272" s="12" t="str">
        <f>IF(J272="","",COUNTIF($J$3:$J$501,"&lt;"&amp;J272)+COUNTIF('Tournament Log'!$N$4:$N$203,"&lt;"&amp;J272)+COUNTIF('Guest Log'!$K$4:$K$203,"&lt;"&amp;J272)+1)</f>
        <v/>
      </c>
    </row>
    <row r="273" spans="1:11" ht="15" customHeight="1" x14ac:dyDescent="0.2">
      <c r="A273" s="9"/>
      <c r="B273" s="9"/>
      <c r="C273" s="9"/>
      <c r="D273" s="10"/>
      <c r="E273" s="10"/>
      <c r="F273" s="10"/>
      <c r="G273" s="10"/>
      <c r="H273" s="9"/>
      <c r="I273" s="10"/>
      <c r="J273" s="12" t="str">
        <f t="shared" si="4"/>
        <v/>
      </c>
      <c r="K273" s="12" t="str">
        <f>IF(J273="","",COUNTIF($J$3:$J$501,"&lt;"&amp;J273)+COUNTIF('Tournament Log'!$N$4:$N$203,"&lt;"&amp;J273)+COUNTIF('Guest Log'!$K$4:$K$203,"&lt;"&amp;J273)+1)</f>
        <v/>
      </c>
    </row>
    <row r="274" spans="1:11" ht="15" customHeight="1" x14ac:dyDescent="0.2">
      <c r="A274" s="9"/>
      <c r="B274" s="9"/>
      <c r="C274" s="9"/>
      <c r="D274" s="10"/>
      <c r="E274" s="10"/>
      <c r="F274" s="10"/>
      <c r="G274" s="10"/>
      <c r="H274" s="9"/>
      <c r="I274" s="10"/>
      <c r="J274" s="12" t="str">
        <f t="shared" si="4"/>
        <v/>
      </c>
      <c r="K274" s="12" t="str">
        <f>IF(J274="","",COUNTIF($J$3:$J$501,"&lt;"&amp;J274)+COUNTIF('Tournament Log'!$N$4:$N$203,"&lt;"&amp;J274)+COUNTIF('Guest Log'!$K$4:$K$203,"&lt;"&amp;J274)+1)</f>
        <v/>
      </c>
    </row>
    <row r="275" spans="1:11" ht="15" customHeight="1" x14ac:dyDescent="0.2">
      <c r="A275" s="9"/>
      <c r="B275" s="9"/>
      <c r="C275" s="9"/>
      <c r="D275" s="10"/>
      <c r="E275" s="10"/>
      <c r="F275" s="10"/>
      <c r="G275" s="10"/>
      <c r="H275" s="9"/>
      <c r="I275" s="10"/>
      <c r="J275" s="12" t="str">
        <f t="shared" si="4"/>
        <v/>
      </c>
      <c r="K275" s="12" t="str">
        <f>IF(J275="","",COUNTIF($J$3:$J$501,"&lt;"&amp;J275)+COUNTIF('Tournament Log'!$N$4:$N$203,"&lt;"&amp;J275)+COUNTIF('Guest Log'!$K$4:$K$203,"&lt;"&amp;J275)+1)</f>
        <v/>
      </c>
    </row>
    <row r="276" spans="1:11" ht="15" customHeight="1" x14ac:dyDescent="0.2">
      <c r="A276" s="9"/>
      <c r="B276" s="9"/>
      <c r="C276" s="9"/>
      <c r="D276" s="10"/>
      <c r="E276" s="10"/>
      <c r="F276" s="10"/>
      <c r="G276" s="10"/>
      <c r="H276" s="9"/>
      <c r="I276" s="10"/>
      <c r="J276" s="12" t="str">
        <f t="shared" si="4"/>
        <v/>
      </c>
      <c r="K276" s="12" t="str">
        <f>IF(J276="","",COUNTIF($J$3:$J$501,"&lt;"&amp;J276)+COUNTIF('Tournament Log'!$N$4:$N$203,"&lt;"&amp;J276)+COUNTIF('Guest Log'!$K$4:$K$203,"&lt;"&amp;J276)+1)</f>
        <v/>
      </c>
    </row>
    <row r="277" spans="1:11" ht="15" customHeight="1" x14ac:dyDescent="0.2">
      <c r="A277" s="9"/>
      <c r="B277" s="9"/>
      <c r="C277" s="9"/>
      <c r="D277" s="10"/>
      <c r="E277" s="10"/>
      <c r="F277" s="10"/>
      <c r="G277" s="10"/>
      <c r="H277" s="9"/>
      <c r="I277" s="10"/>
      <c r="J277" s="12" t="str">
        <f t="shared" si="4"/>
        <v/>
      </c>
      <c r="K277" s="12" t="str">
        <f>IF(J277="","",COUNTIF($J$3:$J$501,"&lt;"&amp;J277)+COUNTIF('Tournament Log'!$N$4:$N$203,"&lt;"&amp;J277)+COUNTIF('Guest Log'!$K$4:$K$203,"&lt;"&amp;J277)+1)</f>
        <v/>
      </c>
    </row>
    <row r="278" spans="1:11" ht="15" customHeight="1" x14ac:dyDescent="0.2">
      <c r="A278" s="9"/>
      <c r="B278" s="9"/>
      <c r="C278" s="9"/>
      <c r="D278" s="10"/>
      <c r="E278" s="10"/>
      <c r="F278" s="10"/>
      <c r="G278" s="10"/>
      <c r="H278" s="9"/>
      <c r="I278" s="10"/>
      <c r="J278" s="12" t="str">
        <f t="shared" si="4"/>
        <v/>
      </c>
      <c r="K278" s="12" t="str">
        <f>IF(J278="","",COUNTIF($J$3:$J$501,"&lt;"&amp;J278)+COUNTIF('Tournament Log'!$N$4:$N$203,"&lt;"&amp;J278)+COUNTIF('Guest Log'!$K$4:$K$203,"&lt;"&amp;J278)+1)</f>
        <v/>
      </c>
    </row>
    <row r="279" spans="1:11" ht="15" customHeight="1" x14ac:dyDescent="0.2">
      <c r="A279" s="9"/>
      <c r="B279" s="9"/>
      <c r="C279" s="9"/>
      <c r="D279" s="10"/>
      <c r="E279" s="10"/>
      <c r="F279" s="10"/>
      <c r="G279" s="10"/>
      <c r="H279" s="9"/>
      <c r="I279" s="10"/>
      <c r="J279" s="12" t="str">
        <f t="shared" si="4"/>
        <v/>
      </c>
      <c r="K279" s="12" t="str">
        <f>IF(J279="","",COUNTIF($J$3:$J$501,"&lt;"&amp;J279)+COUNTIF('Tournament Log'!$N$4:$N$203,"&lt;"&amp;J279)+COUNTIF('Guest Log'!$K$4:$K$203,"&lt;"&amp;J279)+1)</f>
        <v/>
      </c>
    </row>
    <row r="280" spans="1:11" ht="15" customHeight="1" x14ac:dyDescent="0.2">
      <c r="A280" s="9"/>
      <c r="B280" s="9"/>
      <c r="C280" s="9"/>
      <c r="D280" s="10"/>
      <c r="E280" s="10"/>
      <c r="F280" s="10"/>
      <c r="G280" s="10"/>
      <c r="H280" s="9"/>
      <c r="I280" s="10"/>
      <c r="J280" s="12" t="str">
        <f t="shared" si="4"/>
        <v/>
      </c>
      <c r="K280" s="12" t="str">
        <f>IF(J280="","",COUNTIF($J$3:$J$501,"&lt;"&amp;J280)+COUNTIF('Tournament Log'!$N$4:$N$203,"&lt;"&amp;J280)+COUNTIF('Guest Log'!$K$4:$K$203,"&lt;"&amp;J280)+1)</f>
        <v/>
      </c>
    </row>
    <row r="281" spans="1:11" ht="15" customHeight="1" x14ac:dyDescent="0.2">
      <c r="A281" s="9"/>
      <c r="B281" s="9"/>
      <c r="C281" s="9"/>
      <c r="D281" s="10"/>
      <c r="E281" s="10"/>
      <c r="F281" s="10"/>
      <c r="G281" s="10"/>
      <c r="H281" s="9"/>
      <c r="I281" s="10"/>
      <c r="J281" s="12" t="str">
        <f t="shared" si="4"/>
        <v/>
      </c>
      <c r="K281" s="12" t="str">
        <f>IF(J281="","",COUNTIF($J$3:$J$501,"&lt;"&amp;J281)+COUNTIF('Tournament Log'!$N$4:$N$203,"&lt;"&amp;J281)+COUNTIF('Guest Log'!$K$4:$K$203,"&lt;"&amp;J281)+1)</f>
        <v/>
      </c>
    </row>
    <row r="282" spans="1:11" ht="15" customHeight="1" x14ac:dyDescent="0.2">
      <c r="A282" s="9"/>
      <c r="B282" s="9"/>
      <c r="C282" s="9"/>
      <c r="D282" s="10"/>
      <c r="E282" s="10"/>
      <c r="F282" s="10"/>
      <c r="G282" s="10"/>
      <c r="H282" s="9"/>
      <c r="I282" s="10"/>
      <c r="J282" s="12" t="str">
        <f t="shared" si="4"/>
        <v/>
      </c>
      <c r="K282" s="12" t="str">
        <f>IF(J282="","",COUNTIF($J$3:$J$501,"&lt;"&amp;J282)+COUNTIF('Tournament Log'!$N$4:$N$203,"&lt;"&amp;J282)+COUNTIF('Guest Log'!$K$4:$K$203,"&lt;"&amp;J282)+1)</f>
        <v/>
      </c>
    </row>
    <row r="283" spans="1:11" ht="15" customHeight="1" x14ac:dyDescent="0.2">
      <c r="A283" s="9"/>
      <c r="B283" s="9"/>
      <c r="C283" s="9"/>
      <c r="D283" s="10"/>
      <c r="E283" s="10"/>
      <c r="F283" s="10"/>
      <c r="G283" s="10"/>
      <c r="H283" s="9"/>
      <c r="I283" s="10"/>
      <c r="J283" s="12" t="str">
        <f t="shared" si="4"/>
        <v/>
      </c>
      <c r="K283" s="12" t="str">
        <f>IF(J283="","",COUNTIF($J$3:$J$501,"&lt;"&amp;J283)+COUNTIF('Tournament Log'!$N$4:$N$203,"&lt;"&amp;J283)+COUNTIF('Guest Log'!$K$4:$K$203,"&lt;"&amp;J283)+1)</f>
        <v/>
      </c>
    </row>
    <row r="284" spans="1:11" ht="15" customHeight="1" x14ac:dyDescent="0.2">
      <c r="A284" s="9"/>
      <c r="B284" s="9"/>
      <c r="C284" s="9"/>
      <c r="D284" s="10"/>
      <c r="E284" s="10"/>
      <c r="F284" s="10"/>
      <c r="G284" s="10"/>
      <c r="H284" s="9"/>
      <c r="I284" s="10"/>
      <c r="J284" s="12" t="str">
        <f t="shared" si="4"/>
        <v/>
      </c>
      <c r="K284" s="12" t="str">
        <f>IF(J284="","",COUNTIF($J$3:$J$501,"&lt;"&amp;J284)+COUNTIF('Tournament Log'!$N$4:$N$203,"&lt;"&amp;J284)+COUNTIF('Guest Log'!$K$4:$K$203,"&lt;"&amp;J284)+1)</f>
        <v/>
      </c>
    </row>
    <row r="285" spans="1:11" ht="15" customHeight="1" x14ac:dyDescent="0.2">
      <c r="A285" s="9"/>
      <c r="B285" s="9"/>
      <c r="C285" s="9"/>
      <c r="D285" s="10"/>
      <c r="E285" s="10"/>
      <c r="F285" s="10"/>
      <c r="G285" s="10"/>
      <c r="H285" s="9"/>
      <c r="I285" s="10"/>
      <c r="J285" s="12" t="str">
        <f t="shared" si="4"/>
        <v/>
      </c>
      <c r="K285" s="12" t="str">
        <f>IF(J285="","",COUNTIF($J$3:$J$501,"&lt;"&amp;J285)+COUNTIF('Tournament Log'!$N$4:$N$203,"&lt;"&amp;J285)+COUNTIF('Guest Log'!$K$4:$K$203,"&lt;"&amp;J285)+1)</f>
        <v/>
      </c>
    </row>
    <row r="286" spans="1:11" ht="15" customHeight="1" x14ac:dyDescent="0.2">
      <c r="A286" s="9"/>
      <c r="B286" s="9"/>
      <c r="C286" s="9"/>
      <c r="D286" s="10"/>
      <c r="E286" s="10"/>
      <c r="F286" s="10"/>
      <c r="G286" s="10"/>
      <c r="H286" s="9"/>
      <c r="I286" s="10"/>
      <c r="J286" s="12" t="str">
        <f t="shared" si="4"/>
        <v/>
      </c>
      <c r="K286" s="12" t="str">
        <f>IF(J286="","",COUNTIF($J$3:$J$501,"&lt;"&amp;J286)+COUNTIF('Tournament Log'!$N$4:$N$203,"&lt;"&amp;J286)+COUNTIF('Guest Log'!$K$4:$K$203,"&lt;"&amp;J286)+1)</f>
        <v/>
      </c>
    </row>
    <row r="287" spans="1:11" ht="15" customHeight="1" x14ac:dyDescent="0.2">
      <c r="A287" s="9"/>
      <c r="B287" s="9"/>
      <c r="C287" s="9"/>
      <c r="D287" s="10"/>
      <c r="E287" s="10"/>
      <c r="F287" s="10"/>
      <c r="G287" s="10"/>
      <c r="H287" s="9"/>
      <c r="I287" s="10"/>
      <c r="J287" s="12" t="str">
        <f t="shared" si="4"/>
        <v/>
      </c>
      <c r="K287" s="12" t="str">
        <f>IF(J287="","",COUNTIF($J$3:$J$501,"&lt;"&amp;J287)+COUNTIF('Tournament Log'!$N$4:$N$203,"&lt;"&amp;J287)+COUNTIF('Guest Log'!$K$4:$K$203,"&lt;"&amp;J287)+1)</f>
        <v/>
      </c>
    </row>
    <row r="288" spans="1:11" ht="15" customHeight="1" x14ac:dyDescent="0.2">
      <c r="A288" s="9"/>
      <c r="B288" s="9"/>
      <c r="C288" s="9"/>
      <c r="D288" s="10"/>
      <c r="E288" s="10"/>
      <c r="F288" s="10"/>
      <c r="G288" s="10"/>
      <c r="H288" s="9"/>
      <c r="I288" s="10"/>
      <c r="J288" s="12" t="str">
        <f t="shared" si="4"/>
        <v/>
      </c>
      <c r="K288" s="12" t="str">
        <f>IF(J288="","",COUNTIF($J$3:$J$501,"&lt;"&amp;J288)+COUNTIF('Tournament Log'!$N$4:$N$203,"&lt;"&amp;J288)+COUNTIF('Guest Log'!$K$4:$K$203,"&lt;"&amp;J288)+1)</f>
        <v/>
      </c>
    </row>
    <row r="289" spans="1:11" ht="15" customHeight="1" x14ac:dyDescent="0.2">
      <c r="A289" s="9"/>
      <c r="B289" s="9"/>
      <c r="C289" s="9"/>
      <c r="D289" s="10"/>
      <c r="E289" s="10"/>
      <c r="F289" s="10"/>
      <c r="G289" s="10"/>
      <c r="H289" s="9"/>
      <c r="I289" s="10"/>
      <c r="J289" s="12" t="str">
        <f t="shared" si="4"/>
        <v/>
      </c>
      <c r="K289" s="12" t="str">
        <f>IF(J289="","",COUNTIF($J$3:$J$501,"&lt;"&amp;J289)+COUNTIF('Tournament Log'!$N$4:$N$203,"&lt;"&amp;J289)+COUNTIF('Guest Log'!$K$4:$K$203,"&lt;"&amp;J289)+1)</f>
        <v/>
      </c>
    </row>
    <row r="290" spans="1:11" ht="15" customHeight="1" x14ac:dyDescent="0.2">
      <c r="A290" s="9"/>
      <c r="B290" s="9"/>
      <c r="C290" s="9"/>
      <c r="D290" s="10"/>
      <c r="E290" s="10"/>
      <c r="F290" s="10"/>
      <c r="G290" s="10"/>
      <c r="H290" s="9"/>
      <c r="I290" s="10"/>
      <c r="J290" s="12" t="str">
        <f t="shared" si="4"/>
        <v/>
      </c>
      <c r="K290" s="12" t="str">
        <f>IF(J290="","",COUNTIF($J$3:$J$501,"&lt;"&amp;J290)+COUNTIF('Tournament Log'!$N$4:$N$203,"&lt;"&amp;J290)+COUNTIF('Guest Log'!$K$4:$K$203,"&lt;"&amp;J290)+1)</f>
        <v/>
      </c>
    </row>
    <row r="291" spans="1:11" ht="15" customHeight="1" x14ac:dyDescent="0.2">
      <c r="A291" s="9"/>
      <c r="B291" s="9"/>
      <c r="C291" s="9"/>
      <c r="D291" s="10"/>
      <c r="E291" s="10"/>
      <c r="F291" s="10"/>
      <c r="G291" s="10"/>
      <c r="H291" s="9"/>
      <c r="I291" s="10"/>
      <c r="J291" s="12" t="str">
        <f t="shared" si="4"/>
        <v/>
      </c>
      <c r="K291" s="12" t="str">
        <f>IF(J291="","",COUNTIF($J$3:$J$501,"&lt;"&amp;J291)+COUNTIF('Tournament Log'!$N$4:$N$203,"&lt;"&amp;J291)+COUNTIF('Guest Log'!$K$4:$K$203,"&lt;"&amp;J291)+1)</f>
        <v/>
      </c>
    </row>
    <row r="292" spans="1:11" ht="15" customHeight="1" x14ac:dyDescent="0.2">
      <c r="A292" s="9"/>
      <c r="B292" s="9"/>
      <c r="C292" s="9"/>
      <c r="D292" s="10"/>
      <c r="E292" s="10"/>
      <c r="F292" s="10"/>
      <c r="G292" s="10"/>
      <c r="H292" s="9"/>
      <c r="I292" s="10"/>
      <c r="J292" s="12" t="str">
        <f t="shared" si="4"/>
        <v/>
      </c>
      <c r="K292" s="12" t="str">
        <f>IF(J292="","",COUNTIF($J$3:$J$501,"&lt;"&amp;J292)+COUNTIF('Tournament Log'!$N$4:$N$203,"&lt;"&amp;J292)+COUNTIF('Guest Log'!$K$4:$K$203,"&lt;"&amp;J292)+1)</f>
        <v/>
      </c>
    </row>
    <row r="293" spans="1:11" ht="15" customHeight="1" x14ac:dyDescent="0.2">
      <c r="A293" s="9"/>
      <c r="B293" s="9"/>
      <c r="C293" s="9"/>
      <c r="D293" s="10"/>
      <c r="E293" s="10"/>
      <c r="F293" s="10"/>
      <c r="G293" s="10"/>
      <c r="H293" s="9"/>
      <c r="I293" s="10"/>
      <c r="J293" s="12" t="str">
        <f t="shared" si="4"/>
        <v/>
      </c>
      <c r="K293" s="12" t="str">
        <f>IF(J293="","",COUNTIF($J$3:$J$501,"&lt;"&amp;J293)+COUNTIF('Tournament Log'!$N$4:$N$203,"&lt;"&amp;J293)+COUNTIF('Guest Log'!$K$4:$K$203,"&lt;"&amp;J293)+1)</f>
        <v/>
      </c>
    </row>
    <row r="294" spans="1:11" ht="15" customHeight="1" x14ac:dyDescent="0.2">
      <c r="A294" s="9"/>
      <c r="B294" s="9"/>
      <c r="C294" s="9"/>
      <c r="D294" s="10"/>
      <c r="E294" s="10"/>
      <c r="F294" s="10"/>
      <c r="G294" s="10"/>
      <c r="H294" s="9"/>
      <c r="I294" s="10"/>
      <c r="J294" s="12" t="str">
        <f t="shared" si="4"/>
        <v/>
      </c>
      <c r="K294" s="12" t="str">
        <f>IF(J294="","",COUNTIF($J$3:$J$501,"&lt;"&amp;J294)+COUNTIF('Tournament Log'!$N$4:$N$203,"&lt;"&amp;J294)+COUNTIF('Guest Log'!$K$4:$K$203,"&lt;"&amp;J294)+1)</f>
        <v/>
      </c>
    </row>
    <row r="295" spans="1:11" ht="15" customHeight="1" x14ac:dyDescent="0.2">
      <c r="A295" s="9"/>
      <c r="B295" s="9"/>
      <c r="C295" s="9"/>
      <c r="D295" s="10"/>
      <c r="E295" s="10"/>
      <c r="F295" s="10"/>
      <c r="G295" s="10"/>
      <c r="H295" s="9"/>
      <c r="I295" s="10"/>
      <c r="J295" s="12" t="str">
        <f t="shared" si="4"/>
        <v/>
      </c>
      <c r="K295" s="12" t="str">
        <f>IF(J295="","",COUNTIF($J$3:$J$501,"&lt;"&amp;J295)+COUNTIF('Tournament Log'!$N$4:$N$203,"&lt;"&amp;J295)+COUNTIF('Guest Log'!$K$4:$K$203,"&lt;"&amp;J295)+1)</f>
        <v/>
      </c>
    </row>
    <row r="296" spans="1:11" ht="15" customHeight="1" x14ac:dyDescent="0.2">
      <c r="A296" s="9"/>
      <c r="B296" s="9"/>
      <c r="C296" s="9"/>
      <c r="D296" s="10"/>
      <c r="E296" s="10"/>
      <c r="F296" s="10"/>
      <c r="G296" s="10"/>
      <c r="H296" s="9"/>
      <c r="I296" s="10"/>
      <c r="J296" s="12" t="str">
        <f t="shared" si="4"/>
        <v/>
      </c>
      <c r="K296" s="12" t="str">
        <f>IF(J296="","",COUNTIF($J$3:$J$501,"&lt;"&amp;J296)+COUNTIF('Tournament Log'!$N$4:$N$203,"&lt;"&amp;J296)+COUNTIF('Guest Log'!$K$4:$K$203,"&lt;"&amp;J296)+1)</f>
        <v/>
      </c>
    </row>
    <row r="297" spans="1:11" ht="15" customHeight="1" x14ac:dyDescent="0.2">
      <c r="A297" s="9"/>
      <c r="B297" s="9"/>
      <c r="C297" s="9"/>
      <c r="D297" s="10"/>
      <c r="E297" s="10"/>
      <c r="F297" s="10"/>
      <c r="G297" s="10"/>
      <c r="H297" s="9"/>
      <c r="I297" s="10"/>
      <c r="J297" s="12" t="str">
        <f t="shared" si="4"/>
        <v/>
      </c>
      <c r="K297" s="12" t="str">
        <f>IF(J297="","",COUNTIF($J$3:$J$501,"&lt;"&amp;J297)+COUNTIF('Tournament Log'!$N$4:$N$203,"&lt;"&amp;J297)+COUNTIF('Guest Log'!$K$4:$K$203,"&lt;"&amp;J297)+1)</f>
        <v/>
      </c>
    </row>
    <row r="298" spans="1:11" ht="15" customHeight="1" x14ac:dyDescent="0.2">
      <c r="A298" s="9"/>
      <c r="B298" s="9"/>
      <c r="C298" s="9"/>
      <c r="D298" s="10"/>
      <c r="E298" s="10"/>
      <c r="F298" s="10"/>
      <c r="G298" s="10"/>
      <c r="H298" s="9"/>
      <c r="I298" s="10"/>
      <c r="J298" s="12" t="str">
        <f t="shared" si="4"/>
        <v/>
      </c>
      <c r="K298" s="12" t="str">
        <f>IF(J298="","",COUNTIF($J$3:$J$501,"&lt;"&amp;J298)+COUNTIF('Tournament Log'!$N$4:$N$203,"&lt;"&amp;J298)+COUNTIF('Guest Log'!$K$4:$K$203,"&lt;"&amp;J298)+1)</f>
        <v/>
      </c>
    </row>
    <row r="299" spans="1:11" ht="15" customHeight="1" x14ac:dyDescent="0.2">
      <c r="A299" s="9"/>
      <c r="B299" s="9"/>
      <c r="C299" s="9"/>
      <c r="D299" s="10"/>
      <c r="E299" s="10"/>
      <c r="F299" s="10"/>
      <c r="G299" s="10"/>
      <c r="H299" s="9"/>
      <c r="I299" s="10"/>
      <c r="J299" s="12" t="str">
        <f t="shared" si="4"/>
        <v/>
      </c>
      <c r="K299" s="12" t="str">
        <f>IF(J299="","",COUNTIF($J$3:$J$501,"&lt;"&amp;J299)+COUNTIF('Tournament Log'!$N$4:$N$203,"&lt;"&amp;J299)+COUNTIF('Guest Log'!$K$4:$K$203,"&lt;"&amp;J299)+1)</f>
        <v/>
      </c>
    </row>
    <row r="300" spans="1:11" ht="15" customHeight="1" x14ac:dyDescent="0.2">
      <c r="A300" s="9"/>
      <c r="B300" s="9"/>
      <c r="C300" s="9"/>
      <c r="D300" s="10"/>
      <c r="E300" s="10"/>
      <c r="F300" s="10"/>
      <c r="G300" s="10"/>
      <c r="H300" s="9"/>
      <c r="I300" s="10"/>
      <c r="J300" s="12" t="str">
        <f t="shared" si="4"/>
        <v/>
      </c>
      <c r="K300" s="12" t="str">
        <f>IF(J300="","",COUNTIF($J$3:$J$501,"&lt;"&amp;J300)+COUNTIF('Tournament Log'!$N$4:$N$203,"&lt;"&amp;J300)+COUNTIF('Guest Log'!$K$4:$K$203,"&lt;"&amp;J300)+1)</f>
        <v/>
      </c>
    </row>
    <row r="301" spans="1:11" ht="15" customHeight="1" x14ac:dyDescent="0.2">
      <c r="A301" s="9"/>
      <c r="B301" s="9"/>
      <c r="C301" s="9"/>
      <c r="D301" s="10"/>
      <c r="E301" s="10"/>
      <c r="F301" s="10"/>
      <c r="G301" s="10"/>
      <c r="H301" s="9"/>
      <c r="I301" s="10"/>
      <c r="J301" s="12" t="str">
        <f t="shared" si="4"/>
        <v/>
      </c>
      <c r="K301" s="12" t="str">
        <f>IF(J301="","",COUNTIF($J$3:$J$501,"&lt;"&amp;J301)+COUNTIF('Tournament Log'!$N$4:$N$203,"&lt;"&amp;J301)+COUNTIF('Guest Log'!$K$4:$K$203,"&lt;"&amp;J301)+1)</f>
        <v/>
      </c>
    </row>
    <row r="302" spans="1:11" ht="15" customHeight="1" x14ac:dyDescent="0.2">
      <c r="A302" s="9"/>
      <c r="B302" s="9"/>
      <c r="C302" s="9"/>
      <c r="D302" s="10"/>
      <c r="E302" s="10"/>
      <c r="F302" s="10"/>
      <c r="G302" s="10"/>
      <c r="H302" s="9"/>
      <c r="I302" s="10"/>
      <c r="J302" s="12" t="str">
        <f t="shared" si="4"/>
        <v/>
      </c>
      <c r="K302" s="12" t="str">
        <f>IF(J302="","",COUNTIF($J$3:$J$501,"&lt;"&amp;J302)+COUNTIF('Tournament Log'!$N$4:$N$203,"&lt;"&amp;J302)+COUNTIF('Guest Log'!$K$4:$K$203,"&lt;"&amp;J302)+1)</f>
        <v/>
      </c>
    </row>
    <row r="303" spans="1:11" ht="15" customHeight="1" x14ac:dyDescent="0.2">
      <c r="A303" s="9"/>
      <c r="B303" s="9"/>
      <c r="C303" s="9"/>
      <c r="D303" s="10"/>
      <c r="E303" s="10"/>
      <c r="F303" s="10"/>
      <c r="G303" s="10"/>
      <c r="H303" s="9"/>
      <c r="I303" s="10"/>
      <c r="J303" s="12" t="str">
        <f t="shared" si="4"/>
        <v/>
      </c>
      <c r="K303" s="12" t="str">
        <f>IF(J303="","",COUNTIF($J$3:$J$501,"&lt;"&amp;J303)+COUNTIF('Tournament Log'!$N$4:$N$203,"&lt;"&amp;J303)+COUNTIF('Guest Log'!$K$4:$K$203,"&lt;"&amp;J303)+1)</f>
        <v/>
      </c>
    </row>
    <row r="304" spans="1:11" ht="15" customHeight="1" x14ac:dyDescent="0.2">
      <c r="A304" s="9"/>
      <c r="B304" s="9"/>
      <c r="C304" s="9"/>
      <c r="D304" s="10"/>
      <c r="E304" s="10"/>
      <c r="F304" s="10"/>
      <c r="G304" s="10"/>
      <c r="H304" s="9"/>
      <c r="I304" s="10"/>
      <c r="J304" s="12" t="str">
        <f t="shared" si="4"/>
        <v/>
      </c>
      <c r="K304" s="12" t="str">
        <f>IF(J304="","",COUNTIF($J$3:$J$501,"&lt;"&amp;J304)+COUNTIF('Tournament Log'!$N$4:$N$203,"&lt;"&amp;J304)+COUNTIF('Guest Log'!$K$4:$K$203,"&lt;"&amp;J304)+1)</f>
        <v/>
      </c>
    </row>
    <row r="305" spans="1:11" ht="15" customHeight="1" x14ac:dyDescent="0.2">
      <c r="A305" s="9"/>
      <c r="B305" s="9"/>
      <c r="C305" s="9"/>
      <c r="D305" s="10"/>
      <c r="E305" s="10"/>
      <c r="F305" s="10"/>
      <c r="G305" s="10"/>
      <c r="H305" s="9"/>
      <c r="I305" s="10"/>
      <c r="J305" s="12" t="str">
        <f t="shared" si="4"/>
        <v/>
      </c>
      <c r="K305" s="12" t="str">
        <f>IF(J305="","",COUNTIF($J$3:$J$501,"&lt;"&amp;J305)+COUNTIF('Tournament Log'!$N$4:$N$203,"&lt;"&amp;J305)+COUNTIF('Guest Log'!$K$4:$K$203,"&lt;"&amp;J305)+1)</f>
        <v/>
      </c>
    </row>
    <row r="306" spans="1:11" ht="15" customHeight="1" x14ac:dyDescent="0.2">
      <c r="A306" s="9"/>
      <c r="B306" s="9"/>
      <c r="C306" s="9"/>
      <c r="D306" s="10"/>
      <c r="E306" s="10"/>
      <c r="F306" s="10"/>
      <c r="G306" s="10"/>
      <c r="H306" s="9"/>
      <c r="I306" s="10"/>
      <c r="J306" s="12" t="str">
        <f t="shared" si="4"/>
        <v/>
      </c>
      <c r="K306" s="12" t="str">
        <f>IF(J306="","",COUNTIF($J$3:$J$501,"&lt;"&amp;J306)+COUNTIF('Tournament Log'!$N$4:$N$203,"&lt;"&amp;J306)+COUNTIF('Guest Log'!$K$4:$K$203,"&lt;"&amp;J306)+1)</f>
        <v/>
      </c>
    </row>
    <row r="307" spans="1:11" ht="15" customHeight="1" x14ac:dyDescent="0.2">
      <c r="A307" s="9"/>
      <c r="B307" s="9"/>
      <c r="C307" s="9"/>
      <c r="D307" s="10"/>
      <c r="E307" s="10"/>
      <c r="F307" s="10"/>
      <c r="G307" s="10"/>
      <c r="H307" s="9"/>
      <c r="I307" s="10"/>
      <c r="J307" s="12" t="str">
        <f t="shared" si="4"/>
        <v/>
      </c>
      <c r="K307" s="12" t="str">
        <f>IF(J307="","",COUNTIF($J$3:$J$501,"&lt;"&amp;J307)+COUNTIF('Tournament Log'!$N$4:$N$203,"&lt;"&amp;J307)+COUNTIF('Guest Log'!$K$4:$K$203,"&lt;"&amp;J307)+1)</f>
        <v/>
      </c>
    </row>
    <row r="308" spans="1:11" ht="15" customHeight="1" x14ac:dyDescent="0.2">
      <c r="A308" s="9"/>
      <c r="B308" s="9"/>
      <c r="C308" s="9"/>
      <c r="D308" s="10"/>
      <c r="E308" s="10"/>
      <c r="F308" s="10"/>
      <c r="G308" s="10"/>
      <c r="H308" s="9"/>
      <c r="I308" s="10"/>
      <c r="J308" s="12" t="str">
        <f t="shared" si="4"/>
        <v/>
      </c>
      <c r="K308" s="12" t="str">
        <f>IF(J308="","",COUNTIF($J$3:$J$501,"&lt;"&amp;J308)+COUNTIF('Tournament Log'!$N$4:$N$203,"&lt;"&amp;J308)+COUNTIF('Guest Log'!$K$4:$K$203,"&lt;"&amp;J308)+1)</f>
        <v/>
      </c>
    </row>
    <row r="309" spans="1:11" ht="15" customHeight="1" x14ac:dyDescent="0.2">
      <c r="A309" s="9"/>
      <c r="B309" s="9"/>
      <c r="C309" s="9"/>
      <c r="D309" s="10"/>
      <c r="E309" s="10"/>
      <c r="F309" s="10"/>
      <c r="G309" s="10"/>
      <c r="H309" s="9"/>
      <c r="I309" s="10"/>
      <c r="J309" s="12" t="str">
        <f t="shared" si="4"/>
        <v/>
      </c>
      <c r="K309" s="12" t="str">
        <f>IF(J309="","",COUNTIF($J$3:$J$501,"&lt;"&amp;J309)+COUNTIF('Tournament Log'!$N$4:$N$203,"&lt;"&amp;J309)+COUNTIF('Guest Log'!$K$4:$K$203,"&lt;"&amp;J309)+1)</f>
        <v/>
      </c>
    </row>
    <row r="310" spans="1:11" ht="15" customHeight="1" x14ac:dyDescent="0.2">
      <c r="A310" s="9"/>
      <c r="B310" s="9"/>
      <c r="C310" s="9"/>
      <c r="D310" s="10"/>
      <c r="E310" s="10"/>
      <c r="F310" s="10"/>
      <c r="G310" s="10"/>
      <c r="H310" s="9"/>
      <c r="I310" s="10"/>
      <c r="J310" s="12" t="str">
        <f t="shared" si="4"/>
        <v/>
      </c>
      <c r="K310" s="12" t="str">
        <f>IF(J310="","",COUNTIF($J$3:$J$501,"&lt;"&amp;J310)+COUNTIF('Tournament Log'!$N$4:$N$203,"&lt;"&amp;J310)+COUNTIF('Guest Log'!$K$4:$K$203,"&lt;"&amp;J310)+1)</f>
        <v/>
      </c>
    </row>
    <row r="311" spans="1:11" ht="15" customHeight="1" x14ac:dyDescent="0.2">
      <c r="A311" s="9"/>
      <c r="B311" s="9"/>
      <c r="C311" s="9"/>
      <c r="D311" s="10"/>
      <c r="E311" s="10"/>
      <c r="F311" s="10"/>
      <c r="G311" s="10"/>
      <c r="H311" s="9"/>
      <c r="I311" s="10"/>
      <c r="J311" s="12" t="str">
        <f t="shared" si="4"/>
        <v/>
      </c>
      <c r="K311" s="12" t="str">
        <f>IF(J311="","",COUNTIF($J$3:$J$501,"&lt;"&amp;J311)+COUNTIF('Tournament Log'!$N$4:$N$203,"&lt;"&amp;J311)+COUNTIF('Guest Log'!$K$4:$K$203,"&lt;"&amp;J311)+1)</f>
        <v/>
      </c>
    </row>
    <row r="312" spans="1:11" ht="15" customHeight="1" x14ac:dyDescent="0.2">
      <c r="A312" s="9"/>
      <c r="B312" s="9"/>
      <c r="C312" s="9"/>
      <c r="D312" s="10"/>
      <c r="E312" s="10"/>
      <c r="F312" s="10"/>
      <c r="G312" s="10"/>
      <c r="H312" s="9"/>
      <c r="I312" s="10"/>
      <c r="J312" s="12" t="str">
        <f t="shared" si="4"/>
        <v/>
      </c>
      <c r="K312" s="12" t="str">
        <f>IF(J312="","",COUNTIF($J$3:$J$501,"&lt;"&amp;J312)+COUNTIF('Tournament Log'!$N$4:$N$203,"&lt;"&amp;J312)+COUNTIF('Guest Log'!$K$4:$K$203,"&lt;"&amp;J312)+1)</f>
        <v/>
      </c>
    </row>
    <row r="313" spans="1:11" ht="15" customHeight="1" x14ac:dyDescent="0.2">
      <c r="A313" s="9"/>
      <c r="B313" s="9"/>
      <c r="C313" s="9"/>
      <c r="D313" s="10"/>
      <c r="E313" s="10"/>
      <c r="F313" s="10"/>
      <c r="G313" s="10"/>
      <c r="H313" s="9"/>
      <c r="I313" s="10"/>
      <c r="J313" s="12" t="str">
        <f t="shared" si="4"/>
        <v/>
      </c>
      <c r="K313" s="12" t="str">
        <f>IF(J313="","",COUNTIF($J$3:$J$501,"&lt;"&amp;J313)+COUNTIF('Tournament Log'!$N$4:$N$203,"&lt;"&amp;J313)+COUNTIF('Guest Log'!$K$4:$K$203,"&lt;"&amp;J313)+1)</f>
        <v/>
      </c>
    </row>
    <row r="314" spans="1:11" ht="15" customHeight="1" x14ac:dyDescent="0.2">
      <c r="A314" s="9"/>
      <c r="B314" s="9"/>
      <c r="C314" s="9"/>
      <c r="D314" s="10"/>
      <c r="E314" s="10"/>
      <c r="F314" s="10"/>
      <c r="G314" s="10"/>
      <c r="H314" s="9"/>
      <c r="I314" s="10"/>
      <c r="J314" s="12" t="str">
        <f t="shared" si="4"/>
        <v/>
      </c>
      <c r="K314" s="12" t="str">
        <f>IF(J314="","",COUNTIF($J$3:$J$501,"&lt;"&amp;J314)+COUNTIF('Tournament Log'!$N$4:$N$203,"&lt;"&amp;J314)+COUNTIF('Guest Log'!$K$4:$K$203,"&lt;"&amp;J314)+1)</f>
        <v/>
      </c>
    </row>
    <row r="315" spans="1:11" ht="15" customHeight="1" x14ac:dyDescent="0.2">
      <c r="A315" s="9"/>
      <c r="B315" s="9"/>
      <c r="C315" s="9"/>
      <c r="D315" s="10"/>
      <c r="E315" s="10"/>
      <c r="F315" s="10"/>
      <c r="G315" s="10"/>
      <c r="H315" s="9"/>
      <c r="I315" s="10"/>
      <c r="J315" s="12" t="str">
        <f t="shared" si="4"/>
        <v/>
      </c>
      <c r="K315" s="12" t="str">
        <f>IF(J315="","",COUNTIF($J$3:$J$501,"&lt;"&amp;J315)+COUNTIF('Tournament Log'!$N$4:$N$203,"&lt;"&amp;J315)+COUNTIF('Guest Log'!$K$4:$K$203,"&lt;"&amp;J315)+1)</f>
        <v/>
      </c>
    </row>
    <row r="316" spans="1:11" ht="15" customHeight="1" x14ac:dyDescent="0.2">
      <c r="A316" s="9"/>
      <c r="B316" s="9"/>
      <c r="C316" s="9"/>
      <c r="D316" s="10"/>
      <c r="E316" s="10"/>
      <c r="F316" s="10"/>
      <c r="G316" s="10"/>
      <c r="H316" s="9"/>
      <c r="I316" s="10"/>
      <c r="J316" s="12" t="str">
        <f t="shared" si="4"/>
        <v/>
      </c>
      <c r="K316" s="12" t="str">
        <f>IF(J316="","",COUNTIF($J$3:$J$501,"&lt;"&amp;J316)+COUNTIF('Tournament Log'!$N$4:$N$203,"&lt;"&amp;J316)+COUNTIF('Guest Log'!$K$4:$K$203,"&lt;"&amp;J316)+1)</f>
        <v/>
      </c>
    </row>
    <row r="317" spans="1:11" ht="15" customHeight="1" x14ac:dyDescent="0.2">
      <c r="A317" s="9"/>
      <c r="B317" s="9"/>
      <c r="C317" s="9"/>
      <c r="D317" s="10"/>
      <c r="E317" s="10"/>
      <c r="F317" s="10"/>
      <c r="G317" s="10"/>
      <c r="H317" s="9"/>
      <c r="I317" s="10"/>
      <c r="J317" s="12" t="str">
        <f t="shared" si="4"/>
        <v/>
      </c>
      <c r="K317" s="12" t="str">
        <f>IF(J317="","",COUNTIF($J$3:$J$501,"&lt;"&amp;J317)+COUNTIF('Tournament Log'!$N$4:$N$203,"&lt;"&amp;J317)+COUNTIF('Guest Log'!$K$4:$K$203,"&lt;"&amp;J317)+1)</f>
        <v/>
      </c>
    </row>
    <row r="318" spans="1:11" ht="15" customHeight="1" x14ac:dyDescent="0.2">
      <c r="A318" s="9"/>
      <c r="B318" s="9"/>
      <c r="C318" s="9"/>
      <c r="D318" s="10"/>
      <c r="E318" s="10"/>
      <c r="F318" s="10"/>
      <c r="G318" s="10"/>
      <c r="H318" s="9"/>
      <c r="I318" s="10"/>
      <c r="J318" s="12" t="str">
        <f t="shared" si="4"/>
        <v/>
      </c>
      <c r="K318" s="12" t="str">
        <f>IF(J318="","",COUNTIF($J$3:$J$501,"&lt;"&amp;J318)+COUNTIF('Tournament Log'!$N$4:$N$203,"&lt;"&amp;J318)+COUNTIF('Guest Log'!$K$4:$K$203,"&lt;"&amp;J318)+1)</f>
        <v/>
      </c>
    </row>
    <row r="319" spans="1:11" ht="15" customHeight="1" x14ac:dyDescent="0.2">
      <c r="A319" s="9"/>
      <c r="B319" s="9"/>
      <c r="C319" s="9"/>
      <c r="D319" s="10"/>
      <c r="E319" s="10"/>
      <c r="F319" s="10"/>
      <c r="G319" s="10"/>
      <c r="H319" s="9"/>
      <c r="I319" s="10"/>
      <c r="J319" s="12" t="str">
        <f t="shared" si="4"/>
        <v/>
      </c>
      <c r="K319" s="12" t="str">
        <f>IF(J319="","",COUNTIF($J$3:$J$501,"&lt;"&amp;J319)+COUNTIF('Tournament Log'!$N$4:$N$203,"&lt;"&amp;J319)+COUNTIF('Guest Log'!$K$4:$K$203,"&lt;"&amp;J319)+1)</f>
        <v/>
      </c>
    </row>
    <row r="320" spans="1:11" ht="15" customHeight="1" x14ac:dyDescent="0.2">
      <c r="A320" s="9"/>
      <c r="B320" s="9"/>
      <c r="C320" s="9"/>
      <c r="D320" s="10"/>
      <c r="E320" s="10"/>
      <c r="F320" s="10"/>
      <c r="G320" s="10"/>
      <c r="H320" s="9"/>
      <c r="I320" s="10"/>
      <c r="J320" s="12" t="str">
        <f t="shared" si="4"/>
        <v/>
      </c>
      <c r="K320" s="12" t="str">
        <f>IF(J320="","",COUNTIF($J$3:$J$501,"&lt;"&amp;J320)+COUNTIF('Tournament Log'!$N$4:$N$203,"&lt;"&amp;J320)+COUNTIF('Guest Log'!$K$4:$K$203,"&lt;"&amp;J320)+1)</f>
        <v/>
      </c>
    </row>
    <row r="321" spans="1:11" ht="15" customHeight="1" x14ac:dyDescent="0.2">
      <c r="A321" s="9"/>
      <c r="B321" s="9"/>
      <c r="C321" s="9"/>
      <c r="D321" s="10"/>
      <c r="E321" s="10"/>
      <c r="F321" s="10"/>
      <c r="G321" s="10"/>
      <c r="H321" s="9"/>
      <c r="I321" s="10"/>
      <c r="J321" s="12" t="str">
        <f t="shared" si="4"/>
        <v/>
      </c>
      <c r="K321" s="12" t="str">
        <f>IF(J321="","",COUNTIF($J$3:$J$501,"&lt;"&amp;J321)+COUNTIF('Tournament Log'!$N$4:$N$203,"&lt;"&amp;J321)+COUNTIF('Guest Log'!$K$4:$K$203,"&lt;"&amp;J321)+1)</f>
        <v/>
      </c>
    </row>
    <row r="322" spans="1:11" ht="15" customHeight="1" x14ac:dyDescent="0.2">
      <c r="A322" s="9"/>
      <c r="B322" s="9"/>
      <c r="C322" s="9"/>
      <c r="D322" s="10"/>
      <c r="E322" s="10"/>
      <c r="F322" s="10"/>
      <c r="G322" s="10"/>
      <c r="H322" s="9"/>
      <c r="I322" s="10"/>
      <c r="J322" s="12" t="str">
        <f t="shared" si="4"/>
        <v/>
      </c>
      <c r="K322" s="12" t="str">
        <f>IF(J322="","",COUNTIF($J$3:$J$501,"&lt;"&amp;J322)+COUNTIF('Tournament Log'!$N$4:$N$203,"&lt;"&amp;J322)+COUNTIF('Guest Log'!$K$4:$K$203,"&lt;"&amp;J322)+1)</f>
        <v/>
      </c>
    </row>
    <row r="323" spans="1:11" ht="15" customHeight="1" x14ac:dyDescent="0.2">
      <c r="A323" s="9"/>
      <c r="B323" s="9"/>
      <c r="C323" s="9"/>
      <c r="D323" s="10"/>
      <c r="E323" s="10"/>
      <c r="F323" s="10"/>
      <c r="G323" s="10"/>
      <c r="H323" s="9"/>
      <c r="I323" s="10"/>
      <c r="J323" s="12" t="str">
        <f t="shared" ref="J323:J386" si="5">IF(A323="","",A323+ROW()/10000000)</f>
        <v/>
      </c>
      <c r="K323" s="12" t="str">
        <f>IF(J323="","",COUNTIF($J$3:$J$501,"&lt;"&amp;J323)+COUNTIF('Tournament Log'!$N$4:$N$203,"&lt;"&amp;J323)+COUNTIF('Guest Log'!$K$4:$K$203,"&lt;"&amp;J323)+1)</f>
        <v/>
      </c>
    </row>
    <row r="324" spans="1:11" ht="15" customHeight="1" x14ac:dyDescent="0.2">
      <c r="A324" s="9"/>
      <c r="B324" s="9"/>
      <c r="C324" s="9"/>
      <c r="D324" s="10"/>
      <c r="E324" s="10"/>
      <c r="F324" s="10"/>
      <c r="G324" s="10"/>
      <c r="H324" s="9"/>
      <c r="I324" s="10"/>
      <c r="J324" s="12" t="str">
        <f t="shared" si="5"/>
        <v/>
      </c>
      <c r="K324" s="12" t="str">
        <f>IF(J324="","",COUNTIF($J$3:$J$501,"&lt;"&amp;J324)+COUNTIF('Tournament Log'!$N$4:$N$203,"&lt;"&amp;J324)+COUNTIF('Guest Log'!$K$4:$K$203,"&lt;"&amp;J324)+1)</f>
        <v/>
      </c>
    </row>
    <row r="325" spans="1:11" ht="15" customHeight="1" x14ac:dyDescent="0.2">
      <c r="A325" s="9"/>
      <c r="B325" s="9"/>
      <c r="C325" s="9"/>
      <c r="D325" s="10"/>
      <c r="E325" s="10"/>
      <c r="F325" s="10"/>
      <c r="G325" s="10"/>
      <c r="H325" s="9"/>
      <c r="I325" s="10"/>
      <c r="J325" s="12" t="str">
        <f t="shared" si="5"/>
        <v/>
      </c>
      <c r="K325" s="12" t="str">
        <f>IF(J325="","",COUNTIF($J$3:$J$501,"&lt;"&amp;J325)+COUNTIF('Tournament Log'!$N$4:$N$203,"&lt;"&amp;J325)+COUNTIF('Guest Log'!$K$4:$K$203,"&lt;"&amp;J325)+1)</f>
        <v/>
      </c>
    </row>
    <row r="326" spans="1:11" ht="15" customHeight="1" x14ac:dyDescent="0.2">
      <c r="A326" s="9"/>
      <c r="B326" s="9"/>
      <c r="C326" s="9"/>
      <c r="D326" s="10"/>
      <c r="E326" s="10"/>
      <c r="F326" s="10"/>
      <c r="G326" s="10"/>
      <c r="H326" s="9"/>
      <c r="I326" s="10"/>
      <c r="J326" s="12" t="str">
        <f t="shared" si="5"/>
        <v/>
      </c>
      <c r="K326" s="12" t="str">
        <f>IF(J326="","",COUNTIF($J$3:$J$501,"&lt;"&amp;J326)+COUNTIF('Tournament Log'!$N$4:$N$203,"&lt;"&amp;J326)+COUNTIF('Guest Log'!$K$4:$K$203,"&lt;"&amp;J326)+1)</f>
        <v/>
      </c>
    </row>
    <row r="327" spans="1:11" ht="15" customHeight="1" x14ac:dyDescent="0.2">
      <c r="A327" s="9"/>
      <c r="B327" s="9"/>
      <c r="C327" s="9"/>
      <c r="D327" s="10"/>
      <c r="E327" s="10"/>
      <c r="F327" s="10"/>
      <c r="G327" s="10"/>
      <c r="H327" s="9"/>
      <c r="I327" s="10"/>
      <c r="J327" s="12" t="str">
        <f t="shared" si="5"/>
        <v/>
      </c>
      <c r="K327" s="12" t="str">
        <f>IF(J327="","",COUNTIF($J$3:$J$501,"&lt;"&amp;J327)+COUNTIF('Tournament Log'!$N$4:$N$203,"&lt;"&amp;J327)+COUNTIF('Guest Log'!$K$4:$K$203,"&lt;"&amp;J327)+1)</f>
        <v/>
      </c>
    </row>
    <row r="328" spans="1:11" ht="15" customHeight="1" x14ac:dyDescent="0.2">
      <c r="A328" s="9"/>
      <c r="B328" s="9"/>
      <c r="C328" s="9"/>
      <c r="D328" s="10"/>
      <c r="E328" s="10"/>
      <c r="F328" s="10"/>
      <c r="G328" s="10"/>
      <c r="H328" s="9"/>
      <c r="I328" s="10"/>
      <c r="J328" s="12" t="str">
        <f t="shared" si="5"/>
        <v/>
      </c>
      <c r="K328" s="12" t="str">
        <f>IF(J328="","",COUNTIF($J$3:$J$501,"&lt;"&amp;J328)+COUNTIF('Tournament Log'!$N$4:$N$203,"&lt;"&amp;J328)+COUNTIF('Guest Log'!$K$4:$K$203,"&lt;"&amp;J328)+1)</f>
        <v/>
      </c>
    </row>
    <row r="329" spans="1:11" ht="15" customHeight="1" x14ac:dyDescent="0.2">
      <c r="A329" s="9"/>
      <c r="B329" s="9"/>
      <c r="C329" s="9"/>
      <c r="D329" s="10"/>
      <c r="E329" s="10"/>
      <c r="F329" s="10"/>
      <c r="G329" s="10"/>
      <c r="H329" s="9"/>
      <c r="I329" s="10"/>
      <c r="J329" s="12" t="str">
        <f t="shared" si="5"/>
        <v/>
      </c>
      <c r="K329" s="12" t="str">
        <f>IF(J329="","",COUNTIF($J$3:$J$501,"&lt;"&amp;J329)+COUNTIF('Tournament Log'!$N$4:$N$203,"&lt;"&amp;J329)+COUNTIF('Guest Log'!$K$4:$K$203,"&lt;"&amp;J329)+1)</f>
        <v/>
      </c>
    </row>
    <row r="330" spans="1:11" ht="15" customHeight="1" x14ac:dyDescent="0.2">
      <c r="A330" s="9"/>
      <c r="B330" s="9"/>
      <c r="C330" s="9"/>
      <c r="D330" s="10"/>
      <c r="E330" s="10"/>
      <c r="F330" s="10"/>
      <c r="G330" s="10"/>
      <c r="H330" s="9"/>
      <c r="I330" s="10"/>
      <c r="J330" s="12" t="str">
        <f t="shared" si="5"/>
        <v/>
      </c>
      <c r="K330" s="12" t="str">
        <f>IF(J330="","",COUNTIF($J$3:$J$501,"&lt;"&amp;J330)+COUNTIF('Tournament Log'!$N$4:$N$203,"&lt;"&amp;J330)+COUNTIF('Guest Log'!$K$4:$K$203,"&lt;"&amp;J330)+1)</f>
        <v/>
      </c>
    </row>
    <row r="331" spans="1:11" ht="15" customHeight="1" x14ac:dyDescent="0.2">
      <c r="A331" s="9"/>
      <c r="B331" s="9"/>
      <c r="C331" s="9"/>
      <c r="D331" s="10"/>
      <c r="E331" s="10"/>
      <c r="F331" s="10"/>
      <c r="G331" s="10"/>
      <c r="H331" s="9"/>
      <c r="I331" s="10"/>
      <c r="J331" s="12" t="str">
        <f t="shared" si="5"/>
        <v/>
      </c>
      <c r="K331" s="12" t="str">
        <f>IF(J331="","",COUNTIF($J$3:$J$501,"&lt;"&amp;J331)+COUNTIF('Tournament Log'!$N$4:$N$203,"&lt;"&amp;J331)+COUNTIF('Guest Log'!$K$4:$K$203,"&lt;"&amp;J331)+1)</f>
        <v/>
      </c>
    </row>
    <row r="332" spans="1:11" ht="15" customHeight="1" x14ac:dyDescent="0.2">
      <c r="A332" s="9"/>
      <c r="B332" s="9"/>
      <c r="C332" s="9"/>
      <c r="D332" s="10"/>
      <c r="E332" s="10"/>
      <c r="F332" s="10"/>
      <c r="G332" s="10"/>
      <c r="H332" s="9"/>
      <c r="I332" s="10"/>
      <c r="J332" s="12" t="str">
        <f t="shared" si="5"/>
        <v/>
      </c>
      <c r="K332" s="12" t="str">
        <f>IF(J332="","",COUNTIF($J$3:$J$501,"&lt;"&amp;J332)+COUNTIF('Tournament Log'!$N$4:$N$203,"&lt;"&amp;J332)+COUNTIF('Guest Log'!$K$4:$K$203,"&lt;"&amp;J332)+1)</f>
        <v/>
      </c>
    </row>
    <row r="333" spans="1:11" ht="15" customHeight="1" x14ac:dyDescent="0.2">
      <c r="A333" s="9"/>
      <c r="B333" s="9"/>
      <c r="C333" s="9"/>
      <c r="D333" s="10"/>
      <c r="E333" s="10"/>
      <c r="F333" s="10"/>
      <c r="G333" s="10"/>
      <c r="H333" s="9"/>
      <c r="I333" s="10"/>
      <c r="J333" s="12" t="str">
        <f t="shared" si="5"/>
        <v/>
      </c>
      <c r="K333" s="12" t="str">
        <f>IF(J333="","",COUNTIF($J$3:$J$501,"&lt;"&amp;J333)+COUNTIF('Tournament Log'!$N$4:$N$203,"&lt;"&amp;J333)+COUNTIF('Guest Log'!$K$4:$K$203,"&lt;"&amp;J333)+1)</f>
        <v/>
      </c>
    </row>
    <row r="334" spans="1:11" ht="15" customHeight="1" x14ac:dyDescent="0.2">
      <c r="A334" s="9"/>
      <c r="B334" s="9"/>
      <c r="C334" s="9"/>
      <c r="D334" s="10"/>
      <c r="E334" s="10"/>
      <c r="F334" s="10"/>
      <c r="G334" s="10"/>
      <c r="H334" s="9"/>
      <c r="I334" s="10"/>
      <c r="J334" s="12" t="str">
        <f t="shared" si="5"/>
        <v/>
      </c>
      <c r="K334" s="12" t="str">
        <f>IF(J334="","",COUNTIF($J$3:$J$501,"&lt;"&amp;J334)+COUNTIF('Tournament Log'!$N$4:$N$203,"&lt;"&amp;J334)+COUNTIF('Guest Log'!$K$4:$K$203,"&lt;"&amp;J334)+1)</f>
        <v/>
      </c>
    </row>
    <row r="335" spans="1:11" ht="15" customHeight="1" x14ac:dyDescent="0.2">
      <c r="A335" s="9"/>
      <c r="B335" s="9"/>
      <c r="C335" s="9"/>
      <c r="D335" s="10"/>
      <c r="E335" s="10"/>
      <c r="F335" s="10"/>
      <c r="G335" s="10"/>
      <c r="H335" s="9"/>
      <c r="I335" s="10"/>
      <c r="J335" s="12" t="str">
        <f t="shared" si="5"/>
        <v/>
      </c>
      <c r="K335" s="12" t="str">
        <f>IF(J335="","",COUNTIF($J$3:$J$501,"&lt;"&amp;J335)+COUNTIF('Tournament Log'!$N$4:$N$203,"&lt;"&amp;J335)+COUNTIF('Guest Log'!$K$4:$K$203,"&lt;"&amp;J335)+1)</f>
        <v/>
      </c>
    </row>
    <row r="336" spans="1:11" ht="15" customHeight="1" x14ac:dyDescent="0.2">
      <c r="A336" s="9"/>
      <c r="B336" s="9"/>
      <c r="C336" s="9"/>
      <c r="D336" s="10"/>
      <c r="E336" s="10"/>
      <c r="F336" s="10"/>
      <c r="G336" s="10"/>
      <c r="H336" s="9"/>
      <c r="I336" s="10"/>
      <c r="J336" s="12" t="str">
        <f t="shared" si="5"/>
        <v/>
      </c>
      <c r="K336" s="12" t="str">
        <f>IF(J336="","",COUNTIF($J$3:$J$501,"&lt;"&amp;J336)+COUNTIF('Tournament Log'!$N$4:$N$203,"&lt;"&amp;J336)+COUNTIF('Guest Log'!$K$4:$K$203,"&lt;"&amp;J336)+1)</f>
        <v/>
      </c>
    </row>
    <row r="337" spans="1:11" ht="15" customHeight="1" x14ac:dyDescent="0.2">
      <c r="A337" s="9"/>
      <c r="B337" s="9"/>
      <c r="C337" s="9"/>
      <c r="D337" s="10"/>
      <c r="E337" s="10"/>
      <c r="F337" s="10"/>
      <c r="G337" s="10"/>
      <c r="H337" s="9"/>
      <c r="I337" s="10"/>
      <c r="J337" s="12" t="str">
        <f t="shared" si="5"/>
        <v/>
      </c>
      <c r="K337" s="12" t="str">
        <f>IF(J337="","",COUNTIF($J$3:$J$501,"&lt;"&amp;J337)+COUNTIF('Tournament Log'!$N$4:$N$203,"&lt;"&amp;J337)+COUNTIF('Guest Log'!$K$4:$K$203,"&lt;"&amp;J337)+1)</f>
        <v/>
      </c>
    </row>
    <row r="338" spans="1:11" ht="15" customHeight="1" x14ac:dyDescent="0.2">
      <c r="A338" s="9"/>
      <c r="B338" s="9"/>
      <c r="C338" s="9"/>
      <c r="D338" s="10"/>
      <c r="E338" s="10"/>
      <c r="F338" s="10"/>
      <c r="G338" s="10"/>
      <c r="H338" s="9"/>
      <c r="I338" s="10"/>
      <c r="J338" s="12" t="str">
        <f t="shared" si="5"/>
        <v/>
      </c>
      <c r="K338" s="12" t="str">
        <f>IF(J338="","",COUNTIF($J$3:$J$501,"&lt;"&amp;J338)+COUNTIF('Tournament Log'!$N$4:$N$203,"&lt;"&amp;J338)+COUNTIF('Guest Log'!$K$4:$K$203,"&lt;"&amp;J338)+1)</f>
        <v/>
      </c>
    </row>
    <row r="339" spans="1:11" ht="15" customHeight="1" x14ac:dyDescent="0.2">
      <c r="A339" s="9"/>
      <c r="B339" s="9"/>
      <c r="C339" s="9"/>
      <c r="D339" s="10"/>
      <c r="E339" s="10"/>
      <c r="F339" s="10"/>
      <c r="G339" s="10"/>
      <c r="H339" s="9"/>
      <c r="I339" s="10"/>
      <c r="J339" s="12" t="str">
        <f t="shared" si="5"/>
        <v/>
      </c>
      <c r="K339" s="12" t="str">
        <f>IF(J339="","",COUNTIF($J$3:$J$501,"&lt;"&amp;J339)+COUNTIF('Tournament Log'!$N$4:$N$203,"&lt;"&amp;J339)+COUNTIF('Guest Log'!$K$4:$K$203,"&lt;"&amp;J339)+1)</f>
        <v/>
      </c>
    </row>
    <row r="340" spans="1:11" ht="15" customHeight="1" x14ac:dyDescent="0.2">
      <c r="A340" s="9"/>
      <c r="B340" s="9"/>
      <c r="C340" s="9"/>
      <c r="D340" s="10"/>
      <c r="E340" s="10"/>
      <c r="F340" s="10"/>
      <c r="G340" s="10"/>
      <c r="H340" s="9"/>
      <c r="I340" s="10"/>
      <c r="J340" s="12" t="str">
        <f t="shared" si="5"/>
        <v/>
      </c>
      <c r="K340" s="12" t="str">
        <f>IF(J340="","",COUNTIF($J$3:$J$501,"&lt;"&amp;J340)+COUNTIF('Tournament Log'!$N$4:$N$203,"&lt;"&amp;J340)+COUNTIF('Guest Log'!$K$4:$K$203,"&lt;"&amp;J340)+1)</f>
        <v/>
      </c>
    </row>
    <row r="341" spans="1:11" ht="15" customHeight="1" x14ac:dyDescent="0.2">
      <c r="A341" s="9"/>
      <c r="B341" s="9"/>
      <c r="C341" s="9"/>
      <c r="D341" s="10"/>
      <c r="E341" s="10"/>
      <c r="F341" s="10"/>
      <c r="G341" s="10"/>
      <c r="H341" s="9"/>
      <c r="I341" s="10"/>
      <c r="J341" s="12" t="str">
        <f t="shared" si="5"/>
        <v/>
      </c>
      <c r="K341" s="12" t="str">
        <f>IF(J341="","",COUNTIF($J$3:$J$501,"&lt;"&amp;J341)+COUNTIF('Tournament Log'!$N$4:$N$203,"&lt;"&amp;J341)+COUNTIF('Guest Log'!$K$4:$K$203,"&lt;"&amp;J341)+1)</f>
        <v/>
      </c>
    </row>
    <row r="342" spans="1:11" ht="15" customHeight="1" x14ac:dyDescent="0.2">
      <c r="A342" s="9"/>
      <c r="B342" s="9"/>
      <c r="C342" s="9"/>
      <c r="D342" s="10"/>
      <c r="E342" s="10"/>
      <c r="F342" s="10"/>
      <c r="G342" s="10"/>
      <c r="H342" s="9"/>
      <c r="I342" s="10"/>
      <c r="J342" s="12" t="str">
        <f t="shared" si="5"/>
        <v/>
      </c>
      <c r="K342" s="12" t="str">
        <f>IF(J342="","",COUNTIF($J$3:$J$501,"&lt;"&amp;J342)+COUNTIF('Tournament Log'!$N$4:$N$203,"&lt;"&amp;J342)+COUNTIF('Guest Log'!$K$4:$K$203,"&lt;"&amp;J342)+1)</f>
        <v/>
      </c>
    </row>
    <row r="343" spans="1:11" ht="15" customHeight="1" x14ac:dyDescent="0.2">
      <c r="A343" s="9"/>
      <c r="B343" s="9"/>
      <c r="C343" s="9"/>
      <c r="D343" s="10"/>
      <c r="E343" s="10"/>
      <c r="F343" s="10"/>
      <c r="G343" s="10"/>
      <c r="H343" s="9"/>
      <c r="I343" s="10"/>
      <c r="J343" s="12" t="str">
        <f t="shared" si="5"/>
        <v/>
      </c>
      <c r="K343" s="12" t="str">
        <f>IF(J343="","",COUNTIF($J$3:$J$501,"&lt;"&amp;J343)+COUNTIF('Tournament Log'!$N$4:$N$203,"&lt;"&amp;J343)+COUNTIF('Guest Log'!$K$4:$K$203,"&lt;"&amp;J343)+1)</f>
        <v/>
      </c>
    </row>
    <row r="344" spans="1:11" ht="15" customHeight="1" x14ac:dyDescent="0.2">
      <c r="A344" s="9"/>
      <c r="B344" s="9"/>
      <c r="C344" s="9"/>
      <c r="D344" s="10"/>
      <c r="E344" s="10"/>
      <c r="F344" s="10"/>
      <c r="G344" s="10"/>
      <c r="H344" s="9"/>
      <c r="I344" s="10"/>
      <c r="J344" s="12" t="str">
        <f t="shared" si="5"/>
        <v/>
      </c>
      <c r="K344" s="12" t="str">
        <f>IF(J344="","",COUNTIF($J$3:$J$501,"&lt;"&amp;J344)+COUNTIF('Tournament Log'!$N$4:$N$203,"&lt;"&amp;J344)+COUNTIF('Guest Log'!$K$4:$K$203,"&lt;"&amp;J344)+1)</f>
        <v/>
      </c>
    </row>
    <row r="345" spans="1:11" ht="15" customHeight="1" x14ac:dyDescent="0.2">
      <c r="A345" s="9"/>
      <c r="B345" s="9"/>
      <c r="C345" s="9"/>
      <c r="D345" s="10"/>
      <c r="E345" s="10"/>
      <c r="F345" s="10"/>
      <c r="G345" s="10"/>
      <c r="H345" s="9"/>
      <c r="I345" s="10"/>
      <c r="J345" s="12" t="str">
        <f t="shared" si="5"/>
        <v/>
      </c>
      <c r="K345" s="12" t="str">
        <f>IF(J345="","",COUNTIF($J$3:$J$501,"&lt;"&amp;J345)+COUNTIF('Tournament Log'!$N$4:$N$203,"&lt;"&amp;J345)+COUNTIF('Guest Log'!$K$4:$K$203,"&lt;"&amp;J345)+1)</f>
        <v/>
      </c>
    </row>
    <row r="346" spans="1:11" ht="15" customHeight="1" x14ac:dyDescent="0.2">
      <c r="A346" s="9"/>
      <c r="B346" s="9"/>
      <c r="C346" s="9"/>
      <c r="D346" s="10"/>
      <c r="E346" s="10"/>
      <c r="F346" s="10"/>
      <c r="G346" s="10"/>
      <c r="H346" s="9"/>
      <c r="I346" s="10"/>
      <c r="J346" s="12" t="str">
        <f t="shared" si="5"/>
        <v/>
      </c>
      <c r="K346" s="12" t="str">
        <f>IF(J346="","",COUNTIF($J$3:$J$501,"&lt;"&amp;J346)+COUNTIF('Tournament Log'!$N$4:$N$203,"&lt;"&amp;J346)+COUNTIF('Guest Log'!$K$4:$K$203,"&lt;"&amp;J346)+1)</f>
        <v/>
      </c>
    </row>
    <row r="347" spans="1:11" ht="15" customHeight="1" x14ac:dyDescent="0.2">
      <c r="A347" s="9"/>
      <c r="B347" s="9"/>
      <c r="C347" s="9"/>
      <c r="D347" s="10"/>
      <c r="E347" s="10"/>
      <c r="F347" s="10"/>
      <c r="G347" s="10"/>
      <c r="H347" s="9"/>
      <c r="I347" s="10"/>
      <c r="J347" s="12" t="str">
        <f t="shared" si="5"/>
        <v/>
      </c>
      <c r="K347" s="12" t="str">
        <f>IF(J347="","",COUNTIF($J$3:$J$501,"&lt;"&amp;J347)+COUNTIF('Tournament Log'!$N$4:$N$203,"&lt;"&amp;J347)+COUNTIF('Guest Log'!$K$4:$K$203,"&lt;"&amp;J347)+1)</f>
        <v/>
      </c>
    </row>
    <row r="348" spans="1:11" ht="15" customHeight="1" x14ac:dyDescent="0.2">
      <c r="A348" s="9"/>
      <c r="B348" s="9"/>
      <c r="C348" s="9"/>
      <c r="D348" s="10"/>
      <c r="E348" s="10"/>
      <c r="F348" s="10"/>
      <c r="G348" s="10"/>
      <c r="H348" s="9"/>
      <c r="I348" s="10"/>
      <c r="J348" s="12" t="str">
        <f t="shared" si="5"/>
        <v/>
      </c>
      <c r="K348" s="12" t="str">
        <f>IF(J348="","",COUNTIF($J$3:$J$501,"&lt;"&amp;J348)+COUNTIF('Tournament Log'!$N$4:$N$203,"&lt;"&amp;J348)+COUNTIF('Guest Log'!$K$4:$K$203,"&lt;"&amp;J348)+1)</f>
        <v/>
      </c>
    </row>
    <row r="349" spans="1:11" ht="15" customHeight="1" x14ac:dyDescent="0.2">
      <c r="A349" s="9"/>
      <c r="B349" s="9"/>
      <c r="C349" s="9"/>
      <c r="D349" s="10"/>
      <c r="E349" s="10"/>
      <c r="F349" s="10"/>
      <c r="G349" s="10"/>
      <c r="H349" s="9"/>
      <c r="I349" s="10"/>
      <c r="J349" s="12" t="str">
        <f t="shared" si="5"/>
        <v/>
      </c>
      <c r="K349" s="12" t="str">
        <f>IF(J349="","",COUNTIF($J$3:$J$501,"&lt;"&amp;J349)+COUNTIF('Tournament Log'!$N$4:$N$203,"&lt;"&amp;J349)+COUNTIF('Guest Log'!$K$4:$K$203,"&lt;"&amp;J349)+1)</f>
        <v/>
      </c>
    </row>
    <row r="350" spans="1:11" ht="15" customHeight="1" x14ac:dyDescent="0.2">
      <c r="A350" s="9"/>
      <c r="B350" s="9"/>
      <c r="C350" s="9"/>
      <c r="D350" s="10"/>
      <c r="E350" s="10"/>
      <c r="F350" s="10"/>
      <c r="G350" s="10"/>
      <c r="H350" s="9"/>
      <c r="I350" s="10"/>
      <c r="J350" s="12" t="str">
        <f t="shared" si="5"/>
        <v/>
      </c>
      <c r="K350" s="12" t="str">
        <f>IF(J350="","",COUNTIF($J$3:$J$501,"&lt;"&amp;J350)+COUNTIF('Tournament Log'!$N$4:$N$203,"&lt;"&amp;J350)+COUNTIF('Guest Log'!$K$4:$K$203,"&lt;"&amp;J350)+1)</f>
        <v/>
      </c>
    </row>
    <row r="351" spans="1:11" ht="15" customHeight="1" x14ac:dyDescent="0.2">
      <c r="A351" s="9"/>
      <c r="B351" s="9"/>
      <c r="C351" s="9"/>
      <c r="D351" s="10"/>
      <c r="E351" s="10"/>
      <c r="F351" s="10"/>
      <c r="G351" s="10"/>
      <c r="H351" s="9"/>
      <c r="I351" s="10"/>
      <c r="J351" s="12" t="str">
        <f t="shared" si="5"/>
        <v/>
      </c>
      <c r="K351" s="12" t="str">
        <f>IF(J351="","",COUNTIF($J$3:$J$501,"&lt;"&amp;J351)+COUNTIF('Tournament Log'!$N$4:$N$203,"&lt;"&amp;J351)+COUNTIF('Guest Log'!$K$4:$K$203,"&lt;"&amp;J351)+1)</f>
        <v/>
      </c>
    </row>
    <row r="352" spans="1:11" ht="15" customHeight="1" x14ac:dyDescent="0.2">
      <c r="A352" s="9"/>
      <c r="B352" s="9"/>
      <c r="C352" s="9"/>
      <c r="D352" s="10"/>
      <c r="E352" s="10"/>
      <c r="F352" s="10"/>
      <c r="G352" s="10"/>
      <c r="H352" s="9"/>
      <c r="I352" s="10"/>
      <c r="J352" s="12" t="str">
        <f t="shared" si="5"/>
        <v/>
      </c>
      <c r="K352" s="12" t="str">
        <f>IF(J352="","",COUNTIF($J$3:$J$501,"&lt;"&amp;J352)+COUNTIF('Tournament Log'!$N$4:$N$203,"&lt;"&amp;J352)+COUNTIF('Guest Log'!$K$4:$K$203,"&lt;"&amp;J352)+1)</f>
        <v/>
      </c>
    </row>
    <row r="353" spans="1:11" ht="15" customHeight="1" x14ac:dyDescent="0.2">
      <c r="A353" s="9"/>
      <c r="B353" s="9"/>
      <c r="C353" s="9"/>
      <c r="D353" s="10"/>
      <c r="E353" s="10"/>
      <c r="F353" s="10"/>
      <c r="G353" s="10"/>
      <c r="H353" s="9"/>
      <c r="I353" s="10"/>
      <c r="J353" s="12" t="str">
        <f t="shared" si="5"/>
        <v/>
      </c>
      <c r="K353" s="12" t="str">
        <f>IF(J353="","",COUNTIF($J$3:$J$501,"&lt;"&amp;J353)+COUNTIF('Tournament Log'!$N$4:$N$203,"&lt;"&amp;J353)+COUNTIF('Guest Log'!$K$4:$K$203,"&lt;"&amp;J353)+1)</f>
        <v/>
      </c>
    </row>
    <row r="354" spans="1:11" ht="15" customHeight="1" x14ac:dyDescent="0.2">
      <c r="A354" s="9"/>
      <c r="B354" s="9"/>
      <c r="C354" s="9"/>
      <c r="D354" s="10"/>
      <c r="E354" s="10"/>
      <c r="F354" s="10"/>
      <c r="G354" s="10"/>
      <c r="H354" s="9"/>
      <c r="I354" s="10"/>
      <c r="J354" s="12" t="str">
        <f t="shared" si="5"/>
        <v/>
      </c>
      <c r="K354" s="12" t="str">
        <f>IF(J354="","",COUNTIF($J$3:$J$501,"&lt;"&amp;J354)+COUNTIF('Tournament Log'!$N$4:$N$203,"&lt;"&amp;J354)+COUNTIF('Guest Log'!$K$4:$K$203,"&lt;"&amp;J354)+1)</f>
        <v/>
      </c>
    </row>
    <row r="355" spans="1:11" ht="15" customHeight="1" x14ac:dyDescent="0.2">
      <c r="A355" s="9"/>
      <c r="B355" s="9"/>
      <c r="C355" s="9"/>
      <c r="D355" s="10"/>
      <c r="E355" s="10"/>
      <c r="F355" s="10"/>
      <c r="G355" s="10"/>
      <c r="H355" s="9"/>
      <c r="I355" s="10"/>
      <c r="J355" s="12" t="str">
        <f t="shared" si="5"/>
        <v/>
      </c>
      <c r="K355" s="12" t="str">
        <f>IF(J355="","",COUNTIF($J$3:$J$501,"&lt;"&amp;J355)+COUNTIF('Tournament Log'!$N$4:$N$203,"&lt;"&amp;J355)+COUNTIF('Guest Log'!$K$4:$K$203,"&lt;"&amp;J355)+1)</f>
        <v/>
      </c>
    </row>
    <row r="356" spans="1:11" ht="15" customHeight="1" x14ac:dyDescent="0.2">
      <c r="A356" s="9"/>
      <c r="B356" s="9"/>
      <c r="C356" s="9"/>
      <c r="D356" s="10"/>
      <c r="E356" s="10"/>
      <c r="F356" s="10"/>
      <c r="G356" s="10"/>
      <c r="H356" s="9"/>
      <c r="I356" s="10"/>
      <c r="J356" s="12" t="str">
        <f t="shared" si="5"/>
        <v/>
      </c>
      <c r="K356" s="12" t="str">
        <f>IF(J356="","",COUNTIF($J$3:$J$501,"&lt;"&amp;J356)+COUNTIF('Tournament Log'!$N$4:$N$203,"&lt;"&amp;J356)+COUNTIF('Guest Log'!$K$4:$K$203,"&lt;"&amp;J356)+1)</f>
        <v/>
      </c>
    </row>
    <row r="357" spans="1:11" ht="15" customHeight="1" x14ac:dyDescent="0.2">
      <c r="A357" s="9"/>
      <c r="B357" s="9"/>
      <c r="C357" s="9"/>
      <c r="D357" s="10"/>
      <c r="E357" s="10"/>
      <c r="F357" s="10"/>
      <c r="G357" s="10"/>
      <c r="H357" s="9"/>
      <c r="I357" s="10"/>
      <c r="J357" s="12" t="str">
        <f t="shared" si="5"/>
        <v/>
      </c>
      <c r="K357" s="12" t="str">
        <f>IF(J357="","",COUNTIF($J$3:$J$501,"&lt;"&amp;J357)+COUNTIF('Tournament Log'!$N$4:$N$203,"&lt;"&amp;J357)+COUNTIF('Guest Log'!$K$4:$K$203,"&lt;"&amp;J357)+1)</f>
        <v/>
      </c>
    </row>
    <row r="358" spans="1:11" ht="15" customHeight="1" x14ac:dyDescent="0.2">
      <c r="A358" s="9"/>
      <c r="B358" s="9"/>
      <c r="C358" s="9"/>
      <c r="D358" s="10"/>
      <c r="E358" s="10"/>
      <c r="F358" s="10"/>
      <c r="G358" s="10"/>
      <c r="H358" s="9"/>
      <c r="I358" s="10"/>
      <c r="J358" s="12" t="str">
        <f t="shared" si="5"/>
        <v/>
      </c>
      <c r="K358" s="12" t="str">
        <f>IF(J358="","",COUNTIF($J$3:$J$501,"&lt;"&amp;J358)+COUNTIF('Tournament Log'!$N$4:$N$203,"&lt;"&amp;J358)+COUNTIF('Guest Log'!$K$4:$K$203,"&lt;"&amp;J358)+1)</f>
        <v/>
      </c>
    </row>
    <row r="359" spans="1:11" ht="15" customHeight="1" x14ac:dyDescent="0.2">
      <c r="A359" s="9"/>
      <c r="B359" s="9"/>
      <c r="C359" s="9"/>
      <c r="D359" s="10"/>
      <c r="E359" s="10"/>
      <c r="F359" s="10"/>
      <c r="G359" s="10"/>
      <c r="H359" s="9"/>
      <c r="I359" s="10"/>
      <c r="J359" s="12" t="str">
        <f t="shared" si="5"/>
        <v/>
      </c>
      <c r="K359" s="12" t="str">
        <f>IF(J359="","",COUNTIF($J$3:$J$501,"&lt;"&amp;J359)+COUNTIF('Tournament Log'!$N$4:$N$203,"&lt;"&amp;J359)+COUNTIF('Guest Log'!$K$4:$K$203,"&lt;"&amp;J359)+1)</f>
        <v/>
      </c>
    </row>
    <row r="360" spans="1:11" ht="15" customHeight="1" x14ac:dyDescent="0.2">
      <c r="A360" s="9"/>
      <c r="B360" s="9"/>
      <c r="C360" s="9"/>
      <c r="D360" s="10"/>
      <c r="E360" s="10"/>
      <c r="F360" s="10"/>
      <c r="G360" s="10"/>
      <c r="H360" s="9"/>
      <c r="I360" s="10"/>
      <c r="J360" s="12" t="str">
        <f t="shared" si="5"/>
        <v/>
      </c>
      <c r="K360" s="12" t="str">
        <f>IF(J360="","",COUNTIF($J$3:$J$501,"&lt;"&amp;J360)+COUNTIF('Tournament Log'!$N$4:$N$203,"&lt;"&amp;J360)+COUNTIF('Guest Log'!$K$4:$K$203,"&lt;"&amp;J360)+1)</f>
        <v/>
      </c>
    </row>
    <row r="361" spans="1:11" ht="15" customHeight="1" x14ac:dyDescent="0.2">
      <c r="A361" s="9"/>
      <c r="B361" s="9"/>
      <c r="C361" s="9"/>
      <c r="D361" s="10"/>
      <c r="E361" s="10"/>
      <c r="F361" s="10"/>
      <c r="G361" s="10"/>
      <c r="H361" s="9"/>
      <c r="I361" s="10"/>
      <c r="J361" s="12" t="str">
        <f t="shared" si="5"/>
        <v/>
      </c>
      <c r="K361" s="12" t="str">
        <f>IF(J361="","",COUNTIF($J$3:$J$501,"&lt;"&amp;J361)+COUNTIF('Tournament Log'!$N$4:$N$203,"&lt;"&amp;J361)+COUNTIF('Guest Log'!$K$4:$K$203,"&lt;"&amp;J361)+1)</f>
        <v/>
      </c>
    </row>
    <row r="362" spans="1:11" ht="15" customHeight="1" x14ac:dyDescent="0.2">
      <c r="A362" s="9"/>
      <c r="B362" s="9"/>
      <c r="C362" s="9"/>
      <c r="D362" s="10"/>
      <c r="E362" s="10"/>
      <c r="F362" s="10"/>
      <c r="G362" s="10"/>
      <c r="H362" s="9"/>
      <c r="I362" s="10"/>
      <c r="J362" s="12" t="str">
        <f t="shared" si="5"/>
        <v/>
      </c>
      <c r="K362" s="12" t="str">
        <f>IF(J362="","",COUNTIF($J$3:$J$501,"&lt;"&amp;J362)+COUNTIF('Tournament Log'!$N$4:$N$203,"&lt;"&amp;J362)+COUNTIF('Guest Log'!$K$4:$K$203,"&lt;"&amp;J362)+1)</f>
        <v/>
      </c>
    </row>
    <row r="363" spans="1:11" ht="15" customHeight="1" x14ac:dyDescent="0.2">
      <c r="A363" s="9"/>
      <c r="B363" s="9"/>
      <c r="C363" s="9"/>
      <c r="D363" s="10"/>
      <c r="E363" s="10"/>
      <c r="F363" s="10"/>
      <c r="G363" s="10"/>
      <c r="H363" s="9"/>
      <c r="I363" s="10"/>
      <c r="J363" s="12" t="str">
        <f t="shared" si="5"/>
        <v/>
      </c>
      <c r="K363" s="12" t="str">
        <f>IF(J363="","",COUNTIF($J$3:$J$501,"&lt;"&amp;J363)+COUNTIF('Tournament Log'!$N$4:$N$203,"&lt;"&amp;J363)+COUNTIF('Guest Log'!$K$4:$K$203,"&lt;"&amp;J363)+1)</f>
        <v/>
      </c>
    </row>
    <row r="364" spans="1:11" ht="15" customHeight="1" x14ac:dyDescent="0.2">
      <c r="A364" s="9"/>
      <c r="B364" s="9"/>
      <c r="C364" s="9"/>
      <c r="D364" s="10"/>
      <c r="E364" s="10"/>
      <c r="F364" s="10"/>
      <c r="G364" s="10"/>
      <c r="H364" s="9"/>
      <c r="I364" s="10"/>
      <c r="J364" s="12" t="str">
        <f t="shared" si="5"/>
        <v/>
      </c>
      <c r="K364" s="12" t="str">
        <f>IF(J364="","",COUNTIF($J$3:$J$501,"&lt;"&amp;J364)+COUNTIF('Tournament Log'!$N$4:$N$203,"&lt;"&amp;J364)+COUNTIF('Guest Log'!$K$4:$K$203,"&lt;"&amp;J364)+1)</f>
        <v/>
      </c>
    </row>
    <row r="365" spans="1:11" ht="15" customHeight="1" x14ac:dyDescent="0.2">
      <c r="A365" s="9"/>
      <c r="B365" s="9"/>
      <c r="C365" s="9"/>
      <c r="D365" s="10"/>
      <c r="E365" s="10"/>
      <c r="F365" s="10"/>
      <c r="G365" s="10"/>
      <c r="H365" s="9"/>
      <c r="I365" s="10"/>
      <c r="J365" s="12" t="str">
        <f t="shared" si="5"/>
        <v/>
      </c>
      <c r="K365" s="12" t="str">
        <f>IF(J365="","",COUNTIF($J$3:$J$501,"&lt;"&amp;J365)+COUNTIF('Tournament Log'!$N$4:$N$203,"&lt;"&amp;J365)+COUNTIF('Guest Log'!$K$4:$K$203,"&lt;"&amp;J365)+1)</f>
        <v/>
      </c>
    </row>
    <row r="366" spans="1:11" ht="15" customHeight="1" x14ac:dyDescent="0.2">
      <c r="A366" s="9"/>
      <c r="B366" s="9"/>
      <c r="C366" s="9"/>
      <c r="D366" s="10"/>
      <c r="E366" s="10"/>
      <c r="F366" s="10"/>
      <c r="G366" s="10"/>
      <c r="H366" s="9"/>
      <c r="I366" s="10"/>
      <c r="J366" s="12" t="str">
        <f t="shared" si="5"/>
        <v/>
      </c>
      <c r="K366" s="12" t="str">
        <f>IF(J366="","",COUNTIF($J$3:$J$501,"&lt;"&amp;J366)+COUNTIF('Tournament Log'!$N$4:$N$203,"&lt;"&amp;J366)+COUNTIF('Guest Log'!$K$4:$K$203,"&lt;"&amp;J366)+1)</f>
        <v/>
      </c>
    </row>
    <row r="367" spans="1:11" ht="15" customHeight="1" x14ac:dyDescent="0.2">
      <c r="A367" s="9"/>
      <c r="B367" s="9"/>
      <c r="C367" s="9"/>
      <c r="D367" s="10"/>
      <c r="E367" s="10"/>
      <c r="F367" s="10"/>
      <c r="G367" s="10"/>
      <c r="H367" s="9"/>
      <c r="I367" s="10"/>
      <c r="J367" s="12" t="str">
        <f t="shared" si="5"/>
        <v/>
      </c>
      <c r="K367" s="12" t="str">
        <f>IF(J367="","",COUNTIF($J$3:$J$501,"&lt;"&amp;J367)+COUNTIF('Tournament Log'!$N$4:$N$203,"&lt;"&amp;J367)+COUNTIF('Guest Log'!$K$4:$K$203,"&lt;"&amp;J367)+1)</f>
        <v/>
      </c>
    </row>
    <row r="368" spans="1:11" ht="15" customHeight="1" x14ac:dyDescent="0.2">
      <c r="A368" s="9"/>
      <c r="B368" s="9"/>
      <c r="C368" s="9"/>
      <c r="D368" s="10"/>
      <c r="E368" s="10"/>
      <c r="F368" s="10"/>
      <c r="G368" s="10"/>
      <c r="H368" s="9"/>
      <c r="I368" s="10"/>
      <c r="J368" s="12" t="str">
        <f t="shared" si="5"/>
        <v/>
      </c>
      <c r="K368" s="12" t="str">
        <f>IF(J368="","",COUNTIF($J$3:$J$501,"&lt;"&amp;J368)+COUNTIF('Tournament Log'!$N$4:$N$203,"&lt;"&amp;J368)+COUNTIF('Guest Log'!$K$4:$K$203,"&lt;"&amp;J368)+1)</f>
        <v/>
      </c>
    </row>
    <row r="369" spans="1:11" ht="15" customHeight="1" x14ac:dyDescent="0.2">
      <c r="A369" s="9"/>
      <c r="B369" s="9"/>
      <c r="C369" s="9"/>
      <c r="D369" s="10"/>
      <c r="E369" s="10"/>
      <c r="F369" s="10"/>
      <c r="G369" s="10"/>
      <c r="H369" s="9"/>
      <c r="I369" s="10"/>
      <c r="J369" s="12" t="str">
        <f t="shared" si="5"/>
        <v/>
      </c>
      <c r="K369" s="12" t="str">
        <f>IF(J369="","",COUNTIF($J$3:$J$501,"&lt;"&amp;J369)+COUNTIF('Tournament Log'!$N$4:$N$203,"&lt;"&amp;J369)+COUNTIF('Guest Log'!$K$4:$K$203,"&lt;"&amp;J369)+1)</f>
        <v/>
      </c>
    </row>
    <row r="370" spans="1:11" ht="15" customHeight="1" x14ac:dyDescent="0.2">
      <c r="A370" s="9"/>
      <c r="B370" s="9"/>
      <c r="C370" s="9"/>
      <c r="D370" s="10"/>
      <c r="E370" s="10"/>
      <c r="F370" s="10"/>
      <c r="G370" s="10"/>
      <c r="H370" s="9"/>
      <c r="I370" s="10"/>
      <c r="J370" s="12" t="str">
        <f t="shared" si="5"/>
        <v/>
      </c>
      <c r="K370" s="12" t="str">
        <f>IF(J370="","",COUNTIF($J$3:$J$501,"&lt;"&amp;J370)+COUNTIF('Tournament Log'!$N$4:$N$203,"&lt;"&amp;J370)+COUNTIF('Guest Log'!$K$4:$K$203,"&lt;"&amp;J370)+1)</f>
        <v/>
      </c>
    </row>
    <row r="371" spans="1:11" ht="15" customHeight="1" x14ac:dyDescent="0.2">
      <c r="A371" s="9"/>
      <c r="B371" s="9"/>
      <c r="C371" s="9"/>
      <c r="D371" s="10"/>
      <c r="E371" s="10"/>
      <c r="F371" s="10"/>
      <c r="G371" s="10"/>
      <c r="H371" s="9"/>
      <c r="I371" s="10"/>
      <c r="J371" s="12" t="str">
        <f t="shared" si="5"/>
        <v/>
      </c>
      <c r="K371" s="12" t="str">
        <f>IF(J371="","",COUNTIF($J$3:$J$501,"&lt;"&amp;J371)+COUNTIF('Tournament Log'!$N$4:$N$203,"&lt;"&amp;J371)+COUNTIF('Guest Log'!$K$4:$K$203,"&lt;"&amp;J371)+1)</f>
        <v/>
      </c>
    </row>
    <row r="372" spans="1:11" ht="15" customHeight="1" x14ac:dyDescent="0.2">
      <c r="A372" s="9"/>
      <c r="B372" s="9"/>
      <c r="C372" s="9"/>
      <c r="D372" s="10"/>
      <c r="E372" s="10"/>
      <c r="F372" s="10"/>
      <c r="G372" s="10"/>
      <c r="H372" s="9"/>
      <c r="I372" s="10"/>
      <c r="J372" s="12" t="str">
        <f t="shared" si="5"/>
        <v/>
      </c>
      <c r="K372" s="12" t="str">
        <f>IF(J372="","",COUNTIF($J$3:$J$501,"&lt;"&amp;J372)+COUNTIF('Tournament Log'!$N$4:$N$203,"&lt;"&amp;J372)+COUNTIF('Guest Log'!$K$4:$K$203,"&lt;"&amp;J372)+1)</f>
        <v/>
      </c>
    </row>
    <row r="373" spans="1:11" ht="15" customHeight="1" x14ac:dyDescent="0.2">
      <c r="A373" s="9"/>
      <c r="B373" s="9"/>
      <c r="C373" s="9"/>
      <c r="D373" s="10"/>
      <c r="E373" s="10"/>
      <c r="F373" s="10"/>
      <c r="G373" s="10"/>
      <c r="H373" s="9"/>
      <c r="I373" s="10"/>
      <c r="J373" s="12" t="str">
        <f t="shared" si="5"/>
        <v/>
      </c>
      <c r="K373" s="12" t="str">
        <f>IF(J373="","",COUNTIF($J$3:$J$501,"&lt;"&amp;J373)+COUNTIF('Tournament Log'!$N$4:$N$203,"&lt;"&amp;J373)+COUNTIF('Guest Log'!$K$4:$K$203,"&lt;"&amp;J373)+1)</f>
        <v/>
      </c>
    </row>
    <row r="374" spans="1:11" ht="15" customHeight="1" x14ac:dyDescent="0.2">
      <c r="A374" s="9"/>
      <c r="B374" s="9"/>
      <c r="C374" s="9"/>
      <c r="D374" s="10"/>
      <c r="E374" s="10"/>
      <c r="F374" s="10"/>
      <c r="G374" s="10"/>
      <c r="H374" s="9"/>
      <c r="I374" s="10"/>
      <c r="J374" s="12" t="str">
        <f t="shared" si="5"/>
        <v/>
      </c>
      <c r="K374" s="12" t="str">
        <f>IF(J374="","",COUNTIF($J$3:$J$501,"&lt;"&amp;J374)+COUNTIF('Tournament Log'!$N$4:$N$203,"&lt;"&amp;J374)+COUNTIF('Guest Log'!$K$4:$K$203,"&lt;"&amp;J374)+1)</f>
        <v/>
      </c>
    </row>
    <row r="375" spans="1:11" ht="15" customHeight="1" x14ac:dyDescent="0.2">
      <c r="A375" s="9"/>
      <c r="B375" s="9"/>
      <c r="C375" s="9"/>
      <c r="D375" s="10"/>
      <c r="E375" s="10"/>
      <c r="F375" s="10"/>
      <c r="G375" s="10"/>
      <c r="H375" s="9"/>
      <c r="I375" s="10"/>
      <c r="J375" s="12" t="str">
        <f t="shared" si="5"/>
        <v/>
      </c>
      <c r="K375" s="12" t="str">
        <f>IF(J375="","",COUNTIF($J$3:$J$501,"&lt;"&amp;J375)+COUNTIF('Tournament Log'!$N$4:$N$203,"&lt;"&amp;J375)+COUNTIF('Guest Log'!$K$4:$K$203,"&lt;"&amp;J375)+1)</f>
        <v/>
      </c>
    </row>
    <row r="376" spans="1:11" ht="15" customHeight="1" x14ac:dyDescent="0.2">
      <c r="A376" s="9"/>
      <c r="B376" s="9"/>
      <c r="C376" s="9"/>
      <c r="D376" s="10"/>
      <c r="E376" s="10"/>
      <c r="F376" s="10"/>
      <c r="G376" s="10"/>
      <c r="H376" s="9"/>
      <c r="I376" s="10"/>
      <c r="J376" s="12" t="str">
        <f t="shared" si="5"/>
        <v/>
      </c>
      <c r="K376" s="12" t="str">
        <f>IF(J376="","",COUNTIF($J$3:$J$501,"&lt;"&amp;J376)+COUNTIF('Tournament Log'!$N$4:$N$203,"&lt;"&amp;J376)+COUNTIF('Guest Log'!$K$4:$K$203,"&lt;"&amp;J376)+1)</f>
        <v/>
      </c>
    </row>
    <row r="377" spans="1:11" ht="15" customHeight="1" x14ac:dyDescent="0.2">
      <c r="A377" s="9"/>
      <c r="B377" s="9"/>
      <c r="C377" s="9"/>
      <c r="D377" s="10"/>
      <c r="E377" s="10"/>
      <c r="F377" s="10"/>
      <c r="G377" s="10"/>
      <c r="H377" s="9"/>
      <c r="I377" s="10"/>
      <c r="J377" s="12" t="str">
        <f t="shared" si="5"/>
        <v/>
      </c>
      <c r="K377" s="12" t="str">
        <f>IF(J377="","",COUNTIF($J$3:$J$501,"&lt;"&amp;J377)+COUNTIF('Tournament Log'!$N$4:$N$203,"&lt;"&amp;J377)+COUNTIF('Guest Log'!$K$4:$K$203,"&lt;"&amp;J377)+1)</f>
        <v/>
      </c>
    </row>
    <row r="378" spans="1:11" ht="15" customHeight="1" x14ac:dyDescent="0.2">
      <c r="A378" s="9"/>
      <c r="B378" s="9"/>
      <c r="C378" s="9"/>
      <c r="D378" s="10"/>
      <c r="E378" s="10"/>
      <c r="F378" s="10"/>
      <c r="G378" s="10"/>
      <c r="H378" s="9"/>
      <c r="I378" s="10"/>
      <c r="J378" s="12" t="str">
        <f t="shared" si="5"/>
        <v/>
      </c>
      <c r="K378" s="12" t="str">
        <f>IF(J378="","",COUNTIF($J$3:$J$501,"&lt;"&amp;J378)+COUNTIF('Tournament Log'!$N$4:$N$203,"&lt;"&amp;J378)+COUNTIF('Guest Log'!$K$4:$K$203,"&lt;"&amp;J378)+1)</f>
        <v/>
      </c>
    </row>
    <row r="379" spans="1:11" ht="15" customHeight="1" x14ac:dyDescent="0.2">
      <c r="A379" s="9"/>
      <c r="B379" s="9"/>
      <c r="C379" s="9"/>
      <c r="D379" s="10"/>
      <c r="E379" s="10"/>
      <c r="F379" s="10"/>
      <c r="G379" s="10"/>
      <c r="H379" s="9"/>
      <c r="I379" s="10"/>
      <c r="J379" s="12" t="str">
        <f t="shared" si="5"/>
        <v/>
      </c>
      <c r="K379" s="12" t="str">
        <f>IF(J379="","",COUNTIF($J$3:$J$501,"&lt;"&amp;J379)+COUNTIF('Tournament Log'!$N$4:$N$203,"&lt;"&amp;J379)+COUNTIF('Guest Log'!$K$4:$K$203,"&lt;"&amp;J379)+1)</f>
        <v/>
      </c>
    </row>
    <row r="380" spans="1:11" ht="15" customHeight="1" x14ac:dyDescent="0.2">
      <c r="A380" s="9"/>
      <c r="B380" s="9"/>
      <c r="C380" s="9"/>
      <c r="D380" s="10"/>
      <c r="E380" s="10"/>
      <c r="F380" s="10"/>
      <c r="G380" s="10"/>
      <c r="H380" s="9"/>
      <c r="I380" s="10"/>
      <c r="J380" s="12" t="str">
        <f t="shared" si="5"/>
        <v/>
      </c>
      <c r="K380" s="12" t="str">
        <f>IF(J380="","",COUNTIF($J$3:$J$501,"&lt;"&amp;J380)+COUNTIF('Tournament Log'!$N$4:$N$203,"&lt;"&amp;J380)+COUNTIF('Guest Log'!$K$4:$K$203,"&lt;"&amp;J380)+1)</f>
        <v/>
      </c>
    </row>
    <row r="381" spans="1:11" ht="15" customHeight="1" x14ac:dyDescent="0.2">
      <c r="A381" s="9"/>
      <c r="B381" s="9"/>
      <c r="C381" s="9"/>
      <c r="D381" s="10"/>
      <c r="E381" s="10"/>
      <c r="F381" s="10"/>
      <c r="G381" s="10"/>
      <c r="H381" s="9"/>
      <c r="I381" s="10"/>
      <c r="J381" s="12" t="str">
        <f t="shared" si="5"/>
        <v/>
      </c>
      <c r="K381" s="12" t="str">
        <f>IF(J381="","",COUNTIF($J$3:$J$501,"&lt;"&amp;J381)+COUNTIF('Tournament Log'!$N$4:$N$203,"&lt;"&amp;J381)+COUNTIF('Guest Log'!$K$4:$K$203,"&lt;"&amp;J381)+1)</f>
        <v/>
      </c>
    </row>
    <row r="382" spans="1:11" ht="15" customHeight="1" x14ac:dyDescent="0.2">
      <c r="A382" s="9"/>
      <c r="B382" s="9"/>
      <c r="C382" s="9"/>
      <c r="D382" s="10"/>
      <c r="E382" s="10"/>
      <c r="F382" s="10"/>
      <c r="G382" s="10"/>
      <c r="H382" s="9"/>
      <c r="I382" s="10"/>
      <c r="J382" s="12" t="str">
        <f t="shared" si="5"/>
        <v/>
      </c>
      <c r="K382" s="12" t="str">
        <f>IF(J382="","",COUNTIF($J$3:$J$501,"&lt;"&amp;J382)+COUNTIF('Tournament Log'!$N$4:$N$203,"&lt;"&amp;J382)+COUNTIF('Guest Log'!$K$4:$K$203,"&lt;"&amp;J382)+1)</f>
        <v/>
      </c>
    </row>
    <row r="383" spans="1:11" ht="15" customHeight="1" x14ac:dyDescent="0.2">
      <c r="A383" s="9"/>
      <c r="B383" s="9"/>
      <c r="C383" s="9"/>
      <c r="D383" s="10"/>
      <c r="E383" s="10"/>
      <c r="F383" s="10"/>
      <c r="G383" s="10"/>
      <c r="H383" s="9"/>
      <c r="I383" s="10"/>
      <c r="J383" s="12" t="str">
        <f t="shared" si="5"/>
        <v/>
      </c>
      <c r="K383" s="12" t="str">
        <f>IF(J383="","",COUNTIF($J$3:$J$501,"&lt;"&amp;J383)+COUNTIF('Tournament Log'!$N$4:$N$203,"&lt;"&amp;J383)+COUNTIF('Guest Log'!$K$4:$K$203,"&lt;"&amp;J383)+1)</f>
        <v/>
      </c>
    </row>
    <row r="384" spans="1:11" ht="15" customHeight="1" x14ac:dyDescent="0.2">
      <c r="A384" s="9"/>
      <c r="B384" s="9"/>
      <c r="C384" s="9"/>
      <c r="D384" s="10"/>
      <c r="E384" s="10"/>
      <c r="F384" s="10"/>
      <c r="G384" s="10"/>
      <c r="H384" s="9"/>
      <c r="I384" s="10"/>
      <c r="J384" s="12" t="str">
        <f t="shared" si="5"/>
        <v/>
      </c>
      <c r="K384" s="12" t="str">
        <f>IF(J384="","",COUNTIF($J$3:$J$501,"&lt;"&amp;J384)+COUNTIF('Tournament Log'!$N$4:$N$203,"&lt;"&amp;J384)+COUNTIF('Guest Log'!$K$4:$K$203,"&lt;"&amp;J384)+1)</f>
        <v/>
      </c>
    </row>
    <row r="385" spans="1:11" ht="15" customHeight="1" x14ac:dyDescent="0.2">
      <c r="A385" s="9"/>
      <c r="B385" s="9"/>
      <c r="C385" s="9"/>
      <c r="D385" s="10"/>
      <c r="E385" s="10"/>
      <c r="F385" s="10"/>
      <c r="G385" s="10"/>
      <c r="H385" s="9"/>
      <c r="I385" s="10"/>
      <c r="J385" s="12" t="str">
        <f t="shared" si="5"/>
        <v/>
      </c>
      <c r="K385" s="12" t="str">
        <f>IF(J385="","",COUNTIF($J$3:$J$501,"&lt;"&amp;J385)+COUNTIF('Tournament Log'!$N$4:$N$203,"&lt;"&amp;J385)+COUNTIF('Guest Log'!$K$4:$K$203,"&lt;"&amp;J385)+1)</f>
        <v/>
      </c>
    </row>
    <row r="386" spans="1:11" ht="15" customHeight="1" x14ac:dyDescent="0.2">
      <c r="A386" s="9"/>
      <c r="B386" s="9"/>
      <c r="C386" s="9"/>
      <c r="D386" s="10"/>
      <c r="E386" s="10"/>
      <c r="F386" s="10"/>
      <c r="G386" s="10"/>
      <c r="H386" s="9"/>
      <c r="I386" s="10"/>
      <c r="J386" s="12" t="str">
        <f t="shared" si="5"/>
        <v/>
      </c>
      <c r="K386" s="12" t="str">
        <f>IF(J386="","",COUNTIF($J$3:$J$501,"&lt;"&amp;J386)+COUNTIF('Tournament Log'!$N$4:$N$203,"&lt;"&amp;J386)+COUNTIF('Guest Log'!$K$4:$K$203,"&lt;"&amp;J386)+1)</f>
        <v/>
      </c>
    </row>
    <row r="387" spans="1:11" ht="15" customHeight="1" x14ac:dyDescent="0.2">
      <c r="A387" s="9"/>
      <c r="B387" s="9"/>
      <c r="C387" s="9"/>
      <c r="D387" s="10"/>
      <c r="E387" s="10"/>
      <c r="F387" s="10"/>
      <c r="G387" s="10"/>
      <c r="H387" s="9"/>
      <c r="I387" s="10"/>
      <c r="J387" s="12" t="str">
        <f t="shared" ref="J387:J450" si="6">IF(A387="","",A387+ROW()/10000000)</f>
        <v/>
      </c>
      <c r="K387" s="12" t="str">
        <f>IF(J387="","",COUNTIF($J$3:$J$501,"&lt;"&amp;J387)+COUNTIF('Tournament Log'!$N$4:$N$203,"&lt;"&amp;J387)+COUNTIF('Guest Log'!$K$4:$K$203,"&lt;"&amp;J387)+1)</f>
        <v/>
      </c>
    </row>
    <row r="388" spans="1:11" ht="15" customHeight="1" x14ac:dyDescent="0.2">
      <c r="A388" s="9"/>
      <c r="B388" s="9"/>
      <c r="C388" s="9"/>
      <c r="D388" s="10"/>
      <c r="E388" s="10"/>
      <c r="F388" s="10"/>
      <c r="G388" s="10"/>
      <c r="H388" s="9"/>
      <c r="I388" s="10"/>
      <c r="J388" s="12" t="str">
        <f t="shared" si="6"/>
        <v/>
      </c>
      <c r="K388" s="12" t="str">
        <f>IF(J388="","",COUNTIF($J$3:$J$501,"&lt;"&amp;J388)+COUNTIF('Tournament Log'!$N$4:$N$203,"&lt;"&amp;J388)+COUNTIF('Guest Log'!$K$4:$K$203,"&lt;"&amp;J388)+1)</f>
        <v/>
      </c>
    </row>
    <row r="389" spans="1:11" ht="15" customHeight="1" x14ac:dyDescent="0.2">
      <c r="A389" s="9"/>
      <c r="B389" s="9"/>
      <c r="C389" s="9"/>
      <c r="D389" s="10"/>
      <c r="E389" s="10"/>
      <c r="F389" s="10"/>
      <c r="G389" s="10"/>
      <c r="H389" s="9"/>
      <c r="I389" s="10"/>
      <c r="J389" s="12" t="str">
        <f t="shared" si="6"/>
        <v/>
      </c>
      <c r="K389" s="12" t="str">
        <f>IF(J389="","",COUNTIF($J$3:$J$501,"&lt;"&amp;J389)+COUNTIF('Tournament Log'!$N$4:$N$203,"&lt;"&amp;J389)+COUNTIF('Guest Log'!$K$4:$K$203,"&lt;"&amp;J389)+1)</f>
        <v/>
      </c>
    </row>
    <row r="390" spans="1:11" ht="15" customHeight="1" x14ac:dyDescent="0.2">
      <c r="A390" s="9"/>
      <c r="B390" s="9"/>
      <c r="C390" s="9"/>
      <c r="D390" s="10"/>
      <c r="E390" s="10"/>
      <c r="F390" s="10"/>
      <c r="G390" s="10"/>
      <c r="H390" s="9"/>
      <c r="I390" s="10"/>
      <c r="J390" s="12" t="str">
        <f t="shared" si="6"/>
        <v/>
      </c>
      <c r="K390" s="12" t="str">
        <f>IF(J390="","",COUNTIF($J$3:$J$501,"&lt;"&amp;J390)+COUNTIF('Tournament Log'!$N$4:$N$203,"&lt;"&amp;J390)+COUNTIF('Guest Log'!$K$4:$K$203,"&lt;"&amp;J390)+1)</f>
        <v/>
      </c>
    </row>
    <row r="391" spans="1:11" ht="15" customHeight="1" x14ac:dyDescent="0.2">
      <c r="A391" s="9"/>
      <c r="B391" s="9"/>
      <c r="C391" s="9"/>
      <c r="D391" s="10"/>
      <c r="E391" s="10"/>
      <c r="F391" s="10"/>
      <c r="G391" s="10"/>
      <c r="H391" s="9"/>
      <c r="I391" s="10"/>
      <c r="J391" s="12" t="str">
        <f t="shared" si="6"/>
        <v/>
      </c>
      <c r="K391" s="12" t="str">
        <f>IF(J391="","",COUNTIF($J$3:$J$501,"&lt;"&amp;J391)+COUNTIF('Tournament Log'!$N$4:$N$203,"&lt;"&amp;J391)+COUNTIF('Guest Log'!$K$4:$K$203,"&lt;"&amp;J391)+1)</f>
        <v/>
      </c>
    </row>
    <row r="392" spans="1:11" ht="15" customHeight="1" x14ac:dyDescent="0.2">
      <c r="A392" s="9"/>
      <c r="B392" s="9"/>
      <c r="C392" s="9"/>
      <c r="D392" s="10"/>
      <c r="E392" s="10"/>
      <c r="F392" s="10"/>
      <c r="G392" s="10"/>
      <c r="H392" s="9"/>
      <c r="I392" s="10"/>
      <c r="J392" s="12" t="str">
        <f t="shared" si="6"/>
        <v/>
      </c>
      <c r="K392" s="12" t="str">
        <f>IF(J392="","",COUNTIF($J$3:$J$501,"&lt;"&amp;J392)+COUNTIF('Tournament Log'!$N$4:$N$203,"&lt;"&amp;J392)+COUNTIF('Guest Log'!$K$4:$K$203,"&lt;"&amp;J392)+1)</f>
        <v/>
      </c>
    </row>
    <row r="393" spans="1:11" ht="15" customHeight="1" x14ac:dyDescent="0.2">
      <c r="A393" s="9"/>
      <c r="B393" s="9"/>
      <c r="C393" s="9"/>
      <c r="D393" s="10"/>
      <c r="E393" s="10"/>
      <c r="F393" s="10"/>
      <c r="G393" s="10"/>
      <c r="H393" s="9"/>
      <c r="I393" s="10"/>
      <c r="J393" s="12" t="str">
        <f t="shared" si="6"/>
        <v/>
      </c>
      <c r="K393" s="12" t="str">
        <f>IF(J393="","",COUNTIF($J$3:$J$501,"&lt;"&amp;J393)+COUNTIF('Tournament Log'!$N$4:$N$203,"&lt;"&amp;J393)+COUNTIF('Guest Log'!$K$4:$K$203,"&lt;"&amp;J393)+1)</f>
        <v/>
      </c>
    </row>
    <row r="394" spans="1:11" ht="15" customHeight="1" x14ac:dyDescent="0.2">
      <c r="A394" s="9"/>
      <c r="B394" s="9"/>
      <c r="C394" s="9"/>
      <c r="D394" s="10"/>
      <c r="E394" s="10"/>
      <c r="F394" s="10"/>
      <c r="G394" s="10"/>
      <c r="H394" s="9"/>
      <c r="I394" s="10"/>
      <c r="J394" s="12" t="str">
        <f t="shared" si="6"/>
        <v/>
      </c>
      <c r="K394" s="12" t="str">
        <f>IF(J394="","",COUNTIF($J$3:$J$501,"&lt;"&amp;J394)+COUNTIF('Tournament Log'!$N$4:$N$203,"&lt;"&amp;J394)+COUNTIF('Guest Log'!$K$4:$K$203,"&lt;"&amp;J394)+1)</f>
        <v/>
      </c>
    </row>
    <row r="395" spans="1:11" ht="15" customHeight="1" x14ac:dyDescent="0.2">
      <c r="A395" s="9"/>
      <c r="B395" s="9"/>
      <c r="C395" s="9"/>
      <c r="D395" s="10"/>
      <c r="E395" s="10"/>
      <c r="F395" s="10"/>
      <c r="G395" s="10"/>
      <c r="H395" s="9"/>
      <c r="I395" s="10"/>
      <c r="J395" s="12" t="str">
        <f t="shared" si="6"/>
        <v/>
      </c>
      <c r="K395" s="12" t="str">
        <f>IF(J395="","",COUNTIF($J$3:$J$501,"&lt;"&amp;J395)+COUNTIF('Tournament Log'!$N$4:$N$203,"&lt;"&amp;J395)+COUNTIF('Guest Log'!$K$4:$K$203,"&lt;"&amp;J395)+1)</f>
        <v/>
      </c>
    </row>
    <row r="396" spans="1:11" ht="15" customHeight="1" x14ac:dyDescent="0.2">
      <c r="A396" s="9"/>
      <c r="B396" s="9"/>
      <c r="C396" s="9"/>
      <c r="D396" s="10"/>
      <c r="E396" s="10"/>
      <c r="F396" s="10"/>
      <c r="G396" s="10"/>
      <c r="H396" s="9"/>
      <c r="I396" s="10"/>
      <c r="J396" s="12" t="str">
        <f t="shared" si="6"/>
        <v/>
      </c>
      <c r="K396" s="12" t="str">
        <f>IF(J396="","",COUNTIF($J$3:$J$501,"&lt;"&amp;J396)+COUNTIF('Tournament Log'!$N$4:$N$203,"&lt;"&amp;J396)+COUNTIF('Guest Log'!$K$4:$K$203,"&lt;"&amp;J396)+1)</f>
        <v/>
      </c>
    </row>
    <row r="397" spans="1:11" ht="15" customHeight="1" x14ac:dyDescent="0.2">
      <c r="A397" s="9"/>
      <c r="B397" s="9"/>
      <c r="C397" s="9"/>
      <c r="D397" s="10"/>
      <c r="E397" s="10"/>
      <c r="F397" s="10"/>
      <c r="G397" s="10"/>
      <c r="H397" s="9"/>
      <c r="I397" s="10"/>
      <c r="J397" s="12" t="str">
        <f t="shared" si="6"/>
        <v/>
      </c>
      <c r="K397" s="12" t="str">
        <f>IF(J397="","",COUNTIF($J$3:$J$501,"&lt;"&amp;J397)+COUNTIF('Tournament Log'!$N$4:$N$203,"&lt;"&amp;J397)+COUNTIF('Guest Log'!$K$4:$K$203,"&lt;"&amp;J397)+1)</f>
        <v/>
      </c>
    </row>
    <row r="398" spans="1:11" ht="15" customHeight="1" x14ac:dyDescent="0.2">
      <c r="A398" s="9"/>
      <c r="B398" s="9"/>
      <c r="C398" s="9"/>
      <c r="D398" s="10"/>
      <c r="E398" s="10"/>
      <c r="F398" s="10"/>
      <c r="G398" s="10"/>
      <c r="H398" s="9"/>
      <c r="I398" s="10"/>
      <c r="J398" s="12" t="str">
        <f t="shared" si="6"/>
        <v/>
      </c>
      <c r="K398" s="12" t="str">
        <f>IF(J398="","",COUNTIF($J$3:$J$501,"&lt;"&amp;J398)+COUNTIF('Tournament Log'!$N$4:$N$203,"&lt;"&amp;J398)+COUNTIF('Guest Log'!$K$4:$K$203,"&lt;"&amp;J398)+1)</f>
        <v/>
      </c>
    </row>
    <row r="399" spans="1:11" ht="15" customHeight="1" x14ac:dyDescent="0.2">
      <c r="A399" s="9"/>
      <c r="B399" s="9"/>
      <c r="C399" s="9"/>
      <c r="D399" s="10"/>
      <c r="E399" s="10"/>
      <c r="F399" s="10"/>
      <c r="G399" s="10"/>
      <c r="H399" s="9"/>
      <c r="I399" s="10"/>
      <c r="J399" s="12" t="str">
        <f t="shared" si="6"/>
        <v/>
      </c>
      <c r="K399" s="12" t="str">
        <f>IF(J399="","",COUNTIF($J$3:$J$501,"&lt;"&amp;J399)+COUNTIF('Tournament Log'!$N$4:$N$203,"&lt;"&amp;J399)+COUNTIF('Guest Log'!$K$4:$K$203,"&lt;"&amp;J399)+1)</f>
        <v/>
      </c>
    </row>
    <row r="400" spans="1:11" ht="15" customHeight="1" x14ac:dyDescent="0.2">
      <c r="A400" s="9"/>
      <c r="B400" s="9"/>
      <c r="C400" s="9"/>
      <c r="D400" s="10"/>
      <c r="E400" s="10"/>
      <c r="F400" s="10"/>
      <c r="G400" s="10"/>
      <c r="H400" s="9"/>
      <c r="I400" s="10"/>
      <c r="J400" s="12" t="str">
        <f t="shared" si="6"/>
        <v/>
      </c>
      <c r="K400" s="12" t="str">
        <f>IF(J400="","",COUNTIF($J$3:$J$501,"&lt;"&amp;J400)+COUNTIF('Tournament Log'!$N$4:$N$203,"&lt;"&amp;J400)+COUNTIF('Guest Log'!$K$4:$K$203,"&lt;"&amp;J400)+1)</f>
        <v/>
      </c>
    </row>
    <row r="401" spans="1:11" ht="15" customHeight="1" x14ac:dyDescent="0.2">
      <c r="A401" s="9"/>
      <c r="B401" s="9"/>
      <c r="C401" s="9"/>
      <c r="D401" s="10"/>
      <c r="E401" s="10"/>
      <c r="F401" s="10"/>
      <c r="G401" s="10"/>
      <c r="H401" s="9"/>
      <c r="I401" s="10"/>
      <c r="J401" s="12" t="str">
        <f t="shared" si="6"/>
        <v/>
      </c>
      <c r="K401" s="12" t="str">
        <f>IF(J401="","",COUNTIF($J$3:$J$501,"&lt;"&amp;J401)+COUNTIF('Tournament Log'!$N$4:$N$203,"&lt;"&amp;J401)+COUNTIF('Guest Log'!$K$4:$K$203,"&lt;"&amp;J401)+1)</f>
        <v/>
      </c>
    </row>
    <row r="402" spans="1:11" ht="15" customHeight="1" x14ac:dyDescent="0.2">
      <c r="A402" s="9"/>
      <c r="B402" s="9"/>
      <c r="C402" s="9"/>
      <c r="D402" s="10"/>
      <c r="E402" s="10"/>
      <c r="F402" s="10"/>
      <c r="G402" s="10"/>
      <c r="H402" s="9"/>
      <c r="I402" s="10"/>
      <c r="J402" s="12" t="str">
        <f t="shared" si="6"/>
        <v/>
      </c>
      <c r="K402" s="12" t="str">
        <f>IF(J402="","",COUNTIF($J$3:$J$501,"&lt;"&amp;J402)+COUNTIF('Tournament Log'!$N$4:$N$203,"&lt;"&amp;J402)+COUNTIF('Guest Log'!$K$4:$K$203,"&lt;"&amp;J402)+1)</f>
        <v/>
      </c>
    </row>
    <row r="403" spans="1:11" ht="15" customHeight="1" x14ac:dyDescent="0.2">
      <c r="A403" s="9"/>
      <c r="B403" s="9"/>
      <c r="C403" s="9"/>
      <c r="D403" s="10"/>
      <c r="E403" s="10"/>
      <c r="F403" s="10"/>
      <c r="G403" s="10"/>
      <c r="H403" s="9"/>
      <c r="I403" s="10"/>
      <c r="J403" s="12" t="str">
        <f t="shared" si="6"/>
        <v/>
      </c>
      <c r="K403" s="12" t="str">
        <f>IF(J403="","",COUNTIF($J$3:$J$501,"&lt;"&amp;J403)+COUNTIF('Tournament Log'!$N$4:$N$203,"&lt;"&amp;J403)+COUNTIF('Guest Log'!$K$4:$K$203,"&lt;"&amp;J403)+1)</f>
        <v/>
      </c>
    </row>
    <row r="404" spans="1:11" ht="15" customHeight="1" x14ac:dyDescent="0.2">
      <c r="A404" s="9"/>
      <c r="B404" s="9"/>
      <c r="C404" s="9"/>
      <c r="D404" s="10"/>
      <c r="E404" s="10"/>
      <c r="F404" s="10"/>
      <c r="G404" s="10"/>
      <c r="H404" s="9"/>
      <c r="I404" s="10"/>
      <c r="J404" s="12" t="str">
        <f t="shared" si="6"/>
        <v/>
      </c>
      <c r="K404" s="12" t="str">
        <f>IF(J404="","",COUNTIF($J$3:$J$501,"&lt;"&amp;J404)+COUNTIF('Tournament Log'!$N$4:$N$203,"&lt;"&amp;J404)+COUNTIF('Guest Log'!$K$4:$K$203,"&lt;"&amp;J404)+1)</f>
        <v/>
      </c>
    </row>
    <row r="405" spans="1:11" ht="15" customHeight="1" x14ac:dyDescent="0.2">
      <c r="A405" s="9"/>
      <c r="B405" s="9"/>
      <c r="C405" s="9"/>
      <c r="D405" s="10"/>
      <c r="E405" s="10"/>
      <c r="F405" s="10"/>
      <c r="G405" s="10"/>
      <c r="H405" s="9"/>
      <c r="I405" s="10"/>
      <c r="J405" s="12" t="str">
        <f t="shared" si="6"/>
        <v/>
      </c>
      <c r="K405" s="12" t="str">
        <f>IF(J405="","",COUNTIF($J$3:$J$501,"&lt;"&amp;J405)+COUNTIF('Tournament Log'!$N$4:$N$203,"&lt;"&amp;J405)+COUNTIF('Guest Log'!$K$4:$K$203,"&lt;"&amp;J405)+1)</f>
        <v/>
      </c>
    </row>
    <row r="406" spans="1:11" ht="15" customHeight="1" x14ac:dyDescent="0.2">
      <c r="A406" s="9"/>
      <c r="B406" s="9"/>
      <c r="C406" s="9"/>
      <c r="D406" s="10"/>
      <c r="E406" s="10"/>
      <c r="F406" s="10"/>
      <c r="G406" s="10"/>
      <c r="H406" s="9"/>
      <c r="I406" s="10"/>
      <c r="J406" s="12" t="str">
        <f t="shared" si="6"/>
        <v/>
      </c>
      <c r="K406" s="12" t="str">
        <f>IF(J406="","",COUNTIF($J$3:$J$501,"&lt;"&amp;J406)+COUNTIF('Tournament Log'!$N$4:$N$203,"&lt;"&amp;J406)+COUNTIF('Guest Log'!$K$4:$K$203,"&lt;"&amp;J406)+1)</f>
        <v/>
      </c>
    </row>
    <row r="407" spans="1:11" ht="15" customHeight="1" x14ac:dyDescent="0.2">
      <c r="A407" s="9"/>
      <c r="B407" s="9"/>
      <c r="C407" s="9"/>
      <c r="D407" s="10"/>
      <c r="E407" s="10"/>
      <c r="F407" s="10"/>
      <c r="G407" s="10"/>
      <c r="H407" s="9"/>
      <c r="I407" s="10"/>
      <c r="J407" s="12" t="str">
        <f t="shared" si="6"/>
        <v/>
      </c>
      <c r="K407" s="12" t="str">
        <f>IF(J407="","",COUNTIF($J$3:$J$501,"&lt;"&amp;J407)+COUNTIF('Tournament Log'!$N$4:$N$203,"&lt;"&amp;J407)+COUNTIF('Guest Log'!$K$4:$K$203,"&lt;"&amp;J407)+1)</f>
        <v/>
      </c>
    </row>
    <row r="408" spans="1:11" ht="15" customHeight="1" x14ac:dyDescent="0.2">
      <c r="A408" s="9"/>
      <c r="B408" s="9"/>
      <c r="C408" s="9"/>
      <c r="D408" s="10"/>
      <c r="E408" s="10"/>
      <c r="F408" s="10"/>
      <c r="G408" s="10"/>
      <c r="H408" s="9"/>
      <c r="I408" s="10"/>
      <c r="J408" s="12" t="str">
        <f t="shared" si="6"/>
        <v/>
      </c>
      <c r="K408" s="12" t="str">
        <f>IF(J408="","",COUNTIF($J$3:$J$501,"&lt;"&amp;J408)+COUNTIF('Tournament Log'!$N$4:$N$203,"&lt;"&amp;J408)+COUNTIF('Guest Log'!$K$4:$K$203,"&lt;"&amp;J408)+1)</f>
        <v/>
      </c>
    </row>
    <row r="409" spans="1:11" ht="15" customHeight="1" x14ac:dyDescent="0.2">
      <c r="A409" s="9"/>
      <c r="B409" s="9"/>
      <c r="C409" s="9"/>
      <c r="D409" s="10"/>
      <c r="E409" s="10"/>
      <c r="F409" s="10"/>
      <c r="G409" s="10"/>
      <c r="H409" s="9"/>
      <c r="I409" s="10"/>
      <c r="J409" s="12" t="str">
        <f t="shared" si="6"/>
        <v/>
      </c>
      <c r="K409" s="12" t="str">
        <f>IF(J409="","",COUNTIF($J$3:$J$501,"&lt;"&amp;J409)+COUNTIF('Tournament Log'!$N$4:$N$203,"&lt;"&amp;J409)+COUNTIF('Guest Log'!$K$4:$K$203,"&lt;"&amp;J409)+1)</f>
        <v/>
      </c>
    </row>
    <row r="410" spans="1:11" ht="15" customHeight="1" x14ac:dyDescent="0.2">
      <c r="A410" s="9"/>
      <c r="B410" s="9"/>
      <c r="C410" s="9"/>
      <c r="D410" s="10"/>
      <c r="E410" s="10"/>
      <c r="F410" s="10"/>
      <c r="G410" s="10"/>
      <c r="H410" s="9"/>
      <c r="I410" s="10"/>
      <c r="J410" s="12" t="str">
        <f t="shared" si="6"/>
        <v/>
      </c>
      <c r="K410" s="12" t="str">
        <f>IF(J410="","",COUNTIF($J$3:$J$501,"&lt;"&amp;J410)+COUNTIF('Tournament Log'!$N$4:$N$203,"&lt;"&amp;J410)+COUNTIF('Guest Log'!$K$4:$K$203,"&lt;"&amp;J410)+1)</f>
        <v/>
      </c>
    </row>
    <row r="411" spans="1:11" ht="15" customHeight="1" x14ac:dyDescent="0.2">
      <c r="A411" s="9"/>
      <c r="B411" s="9"/>
      <c r="C411" s="9"/>
      <c r="D411" s="10"/>
      <c r="E411" s="10"/>
      <c r="F411" s="10"/>
      <c r="G411" s="10"/>
      <c r="H411" s="9"/>
      <c r="I411" s="10"/>
      <c r="J411" s="12" t="str">
        <f t="shared" si="6"/>
        <v/>
      </c>
      <c r="K411" s="12" t="str">
        <f>IF(J411="","",COUNTIF($J$3:$J$501,"&lt;"&amp;J411)+COUNTIF('Tournament Log'!$N$4:$N$203,"&lt;"&amp;J411)+COUNTIF('Guest Log'!$K$4:$K$203,"&lt;"&amp;J411)+1)</f>
        <v/>
      </c>
    </row>
    <row r="412" spans="1:11" ht="15" customHeight="1" x14ac:dyDescent="0.2">
      <c r="A412" s="9"/>
      <c r="B412" s="9"/>
      <c r="C412" s="9"/>
      <c r="D412" s="10"/>
      <c r="E412" s="10"/>
      <c r="F412" s="10"/>
      <c r="G412" s="10"/>
      <c r="H412" s="9"/>
      <c r="I412" s="10"/>
      <c r="J412" s="12" t="str">
        <f t="shared" si="6"/>
        <v/>
      </c>
      <c r="K412" s="12" t="str">
        <f>IF(J412="","",COUNTIF($J$3:$J$501,"&lt;"&amp;J412)+COUNTIF('Tournament Log'!$N$4:$N$203,"&lt;"&amp;J412)+COUNTIF('Guest Log'!$K$4:$K$203,"&lt;"&amp;J412)+1)</f>
        <v/>
      </c>
    </row>
    <row r="413" spans="1:11" ht="15" customHeight="1" x14ac:dyDescent="0.2">
      <c r="A413" s="9"/>
      <c r="B413" s="9"/>
      <c r="C413" s="9"/>
      <c r="D413" s="10"/>
      <c r="E413" s="10"/>
      <c r="F413" s="10"/>
      <c r="G413" s="10"/>
      <c r="H413" s="9"/>
      <c r="I413" s="10"/>
      <c r="J413" s="12" t="str">
        <f t="shared" si="6"/>
        <v/>
      </c>
      <c r="K413" s="12" t="str">
        <f>IF(J413="","",COUNTIF($J$3:$J$501,"&lt;"&amp;J413)+COUNTIF('Tournament Log'!$N$4:$N$203,"&lt;"&amp;J413)+COUNTIF('Guest Log'!$K$4:$K$203,"&lt;"&amp;J413)+1)</f>
        <v/>
      </c>
    </row>
    <row r="414" spans="1:11" ht="15" customHeight="1" x14ac:dyDescent="0.2">
      <c r="A414" s="9"/>
      <c r="B414" s="9"/>
      <c r="C414" s="9"/>
      <c r="D414" s="10"/>
      <c r="E414" s="10"/>
      <c r="F414" s="10"/>
      <c r="G414" s="10"/>
      <c r="H414" s="9"/>
      <c r="I414" s="10"/>
      <c r="J414" s="12" t="str">
        <f t="shared" si="6"/>
        <v/>
      </c>
      <c r="K414" s="12" t="str">
        <f>IF(J414="","",COUNTIF($J$3:$J$501,"&lt;"&amp;J414)+COUNTIF('Tournament Log'!$N$4:$N$203,"&lt;"&amp;J414)+COUNTIF('Guest Log'!$K$4:$K$203,"&lt;"&amp;J414)+1)</f>
        <v/>
      </c>
    </row>
    <row r="415" spans="1:11" ht="15" customHeight="1" x14ac:dyDescent="0.2">
      <c r="A415" s="9"/>
      <c r="B415" s="9"/>
      <c r="C415" s="9"/>
      <c r="D415" s="10"/>
      <c r="E415" s="10"/>
      <c r="F415" s="10"/>
      <c r="G415" s="10"/>
      <c r="H415" s="9"/>
      <c r="I415" s="10"/>
      <c r="J415" s="12" t="str">
        <f t="shared" si="6"/>
        <v/>
      </c>
      <c r="K415" s="12" t="str">
        <f>IF(J415="","",COUNTIF($J$3:$J$501,"&lt;"&amp;J415)+COUNTIF('Tournament Log'!$N$4:$N$203,"&lt;"&amp;J415)+COUNTIF('Guest Log'!$K$4:$K$203,"&lt;"&amp;J415)+1)</f>
        <v/>
      </c>
    </row>
    <row r="416" spans="1:11" ht="15" customHeight="1" x14ac:dyDescent="0.2">
      <c r="A416" s="9"/>
      <c r="B416" s="9"/>
      <c r="C416" s="9"/>
      <c r="D416" s="10"/>
      <c r="E416" s="10"/>
      <c r="F416" s="10"/>
      <c r="G416" s="10"/>
      <c r="H416" s="9"/>
      <c r="I416" s="10"/>
      <c r="J416" s="12" t="str">
        <f t="shared" si="6"/>
        <v/>
      </c>
      <c r="K416" s="12" t="str">
        <f>IF(J416="","",COUNTIF($J$3:$J$501,"&lt;"&amp;J416)+COUNTIF('Tournament Log'!$N$4:$N$203,"&lt;"&amp;J416)+COUNTIF('Guest Log'!$K$4:$K$203,"&lt;"&amp;J416)+1)</f>
        <v/>
      </c>
    </row>
    <row r="417" spans="1:11" ht="15" customHeight="1" x14ac:dyDescent="0.2">
      <c r="A417" s="9"/>
      <c r="B417" s="9"/>
      <c r="C417" s="9"/>
      <c r="D417" s="10"/>
      <c r="E417" s="10"/>
      <c r="F417" s="10"/>
      <c r="G417" s="10"/>
      <c r="H417" s="9"/>
      <c r="I417" s="10"/>
      <c r="J417" s="12" t="str">
        <f t="shared" si="6"/>
        <v/>
      </c>
      <c r="K417" s="12" t="str">
        <f>IF(J417="","",COUNTIF($J$3:$J$501,"&lt;"&amp;J417)+COUNTIF('Tournament Log'!$N$4:$N$203,"&lt;"&amp;J417)+COUNTIF('Guest Log'!$K$4:$K$203,"&lt;"&amp;J417)+1)</f>
        <v/>
      </c>
    </row>
    <row r="418" spans="1:11" ht="15" customHeight="1" x14ac:dyDescent="0.2">
      <c r="A418" s="9"/>
      <c r="B418" s="9"/>
      <c r="C418" s="9"/>
      <c r="D418" s="10"/>
      <c r="E418" s="10"/>
      <c r="F418" s="10"/>
      <c r="G418" s="10"/>
      <c r="H418" s="9"/>
      <c r="I418" s="10"/>
      <c r="J418" s="12" t="str">
        <f t="shared" si="6"/>
        <v/>
      </c>
      <c r="K418" s="12" t="str">
        <f>IF(J418="","",COUNTIF($J$3:$J$501,"&lt;"&amp;J418)+COUNTIF('Tournament Log'!$N$4:$N$203,"&lt;"&amp;J418)+COUNTIF('Guest Log'!$K$4:$K$203,"&lt;"&amp;J418)+1)</f>
        <v/>
      </c>
    </row>
    <row r="419" spans="1:11" ht="15" customHeight="1" x14ac:dyDescent="0.2">
      <c r="A419" s="9"/>
      <c r="B419" s="9"/>
      <c r="C419" s="9"/>
      <c r="D419" s="10"/>
      <c r="E419" s="10"/>
      <c r="F419" s="10"/>
      <c r="G419" s="10"/>
      <c r="H419" s="9"/>
      <c r="I419" s="10"/>
      <c r="J419" s="12" t="str">
        <f t="shared" si="6"/>
        <v/>
      </c>
      <c r="K419" s="12" t="str">
        <f>IF(J419="","",COUNTIF($J$3:$J$501,"&lt;"&amp;J419)+COUNTIF('Tournament Log'!$N$4:$N$203,"&lt;"&amp;J419)+COUNTIF('Guest Log'!$K$4:$K$203,"&lt;"&amp;J419)+1)</f>
        <v/>
      </c>
    </row>
    <row r="420" spans="1:11" ht="15" customHeight="1" x14ac:dyDescent="0.2">
      <c r="A420" s="9"/>
      <c r="B420" s="9"/>
      <c r="C420" s="9"/>
      <c r="D420" s="10"/>
      <c r="E420" s="10"/>
      <c r="F420" s="10"/>
      <c r="G420" s="10"/>
      <c r="H420" s="9"/>
      <c r="I420" s="10"/>
      <c r="J420" s="12" t="str">
        <f t="shared" si="6"/>
        <v/>
      </c>
      <c r="K420" s="12" t="str">
        <f>IF(J420="","",COUNTIF($J$3:$J$501,"&lt;"&amp;J420)+COUNTIF('Tournament Log'!$N$4:$N$203,"&lt;"&amp;J420)+COUNTIF('Guest Log'!$K$4:$K$203,"&lt;"&amp;J420)+1)</f>
        <v/>
      </c>
    </row>
    <row r="421" spans="1:11" ht="15" customHeight="1" x14ac:dyDescent="0.2">
      <c r="A421" s="9"/>
      <c r="B421" s="9"/>
      <c r="C421" s="9"/>
      <c r="D421" s="10"/>
      <c r="E421" s="10"/>
      <c r="F421" s="10"/>
      <c r="G421" s="10"/>
      <c r="H421" s="9"/>
      <c r="I421" s="10"/>
      <c r="J421" s="12" t="str">
        <f t="shared" si="6"/>
        <v/>
      </c>
      <c r="K421" s="12" t="str">
        <f>IF(J421="","",COUNTIF($J$3:$J$501,"&lt;"&amp;J421)+COUNTIF('Tournament Log'!$N$4:$N$203,"&lt;"&amp;J421)+COUNTIF('Guest Log'!$K$4:$K$203,"&lt;"&amp;J421)+1)</f>
        <v/>
      </c>
    </row>
    <row r="422" spans="1:11" ht="15" customHeight="1" x14ac:dyDescent="0.2">
      <c r="A422" s="9"/>
      <c r="B422" s="9"/>
      <c r="C422" s="9"/>
      <c r="D422" s="10"/>
      <c r="E422" s="10"/>
      <c r="F422" s="10"/>
      <c r="G422" s="10"/>
      <c r="H422" s="9"/>
      <c r="I422" s="10"/>
      <c r="J422" s="12" t="str">
        <f t="shared" si="6"/>
        <v/>
      </c>
      <c r="K422" s="12" t="str">
        <f>IF(J422="","",COUNTIF($J$3:$J$501,"&lt;"&amp;J422)+COUNTIF('Tournament Log'!$N$4:$N$203,"&lt;"&amp;J422)+COUNTIF('Guest Log'!$K$4:$K$203,"&lt;"&amp;J422)+1)</f>
        <v/>
      </c>
    </row>
    <row r="423" spans="1:11" ht="15" customHeight="1" x14ac:dyDescent="0.2">
      <c r="A423" s="9"/>
      <c r="B423" s="9"/>
      <c r="C423" s="9"/>
      <c r="D423" s="10"/>
      <c r="E423" s="10"/>
      <c r="F423" s="10"/>
      <c r="G423" s="10"/>
      <c r="H423" s="9"/>
      <c r="I423" s="10"/>
      <c r="J423" s="12" t="str">
        <f t="shared" si="6"/>
        <v/>
      </c>
      <c r="K423" s="12" t="str">
        <f>IF(J423="","",COUNTIF($J$3:$J$501,"&lt;"&amp;J423)+COUNTIF('Tournament Log'!$N$4:$N$203,"&lt;"&amp;J423)+COUNTIF('Guest Log'!$K$4:$K$203,"&lt;"&amp;J423)+1)</f>
        <v/>
      </c>
    </row>
    <row r="424" spans="1:11" ht="15" customHeight="1" x14ac:dyDescent="0.2">
      <c r="A424" s="9"/>
      <c r="B424" s="9"/>
      <c r="C424" s="9"/>
      <c r="D424" s="10"/>
      <c r="E424" s="10"/>
      <c r="F424" s="10"/>
      <c r="G424" s="10"/>
      <c r="H424" s="9"/>
      <c r="I424" s="10"/>
      <c r="J424" s="12" t="str">
        <f t="shared" si="6"/>
        <v/>
      </c>
      <c r="K424" s="12" t="str">
        <f>IF(J424="","",COUNTIF($J$3:$J$501,"&lt;"&amp;J424)+COUNTIF('Tournament Log'!$N$4:$N$203,"&lt;"&amp;J424)+COUNTIF('Guest Log'!$K$4:$K$203,"&lt;"&amp;J424)+1)</f>
        <v/>
      </c>
    </row>
    <row r="425" spans="1:11" ht="15" customHeight="1" x14ac:dyDescent="0.2">
      <c r="A425" s="9"/>
      <c r="B425" s="9"/>
      <c r="C425" s="9"/>
      <c r="D425" s="10"/>
      <c r="E425" s="10"/>
      <c r="F425" s="10"/>
      <c r="G425" s="10"/>
      <c r="H425" s="9"/>
      <c r="I425" s="10"/>
      <c r="J425" s="12" t="str">
        <f t="shared" si="6"/>
        <v/>
      </c>
      <c r="K425" s="12" t="str">
        <f>IF(J425="","",COUNTIF($J$3:$J$501,"&lt;"&amp;J425)+COUNTIF('Tournament Log'!$N$4:$N$203,"&lt;"&amp;J425)+COUNTIF('Guest Log'!$K$4:$K$203,"&lt;"&amp;J425)+1)</f>
        <v/>
      </c>
    </row>
    <row r="426" spans="1:11" ht="15" customHeight="1" x14ac:dyDescent="0.2">
      <c r="A426" s="9"/>
      <c r="B426" s="9"/>
      <c r="C426" s="9"/>
      <c r="D426" s="10"/>
      <c r="E426" s="10"/>
      <c r="F426" s="10"/>
      <c r="G426" s="10"/>
      <c r="H426" s="9"/>
      <c r="I426" s="10"/>
      <c r="J426" s="12" t="str">
        <f t="shared" si="6"/>
        <v/>
      </c>
      <c r="K426" s="12" t="str">
        <f>IF(J426="","",COUNTIF($J$3:$J$501,"&lt;"&amp;J426)+COUNTIF('Tournament Log'!$N$4:$N$203,"&lt;"&amp;J426)+COUNTIF('Guest Log'!$K$4:$K$203,"&lt;"&amp;J426)+1)</f>
        <v/>
      </c>
    </row>
    <row r="427" spans="1:11" ht="15" customHeight="1" x14ac:dyDescent="0.2">
      <c r="A427" s="9"/>
      <c r="B427" s="9"/>
      <c r="C427" s="9"/>
      <c r="D427" s="10"/>
      <c r="E427" s="10"/>
      <c r="F427" s="10"/>
      <c r="G427" s="10"/>
      <c r="H427" s="9"/>
      <c r="I427" s="10"/>
      <c r="J427" s="12" t="str">
        <f t="shared" si="6"/>
        <v/>
      </c>
      <c r="K427" s="12" t="str">
        <f>IF(J427="","",COUNTIF($J$3:$J$501,"&lt;"&amp;J427)+COUNTIF('Tournament Log'!$N$4:$N$203,"&lt;"&amp;J427)+COUNTIF('Guest Log'!$K$4:$K$203,"&lt;"&amp;J427)+1)</f>
        <v/>
      </c>
    </row>
    <row r="428" spans="1:11" ht="15" customHeight="1" x14ac:dyDescent="0.2">
      <c r="A428" s="9"/>
      <c r="B428" s="9"/>
      <c r="C428" s="9"/>
      <c r="D428" s="10"/>
      <c r="E428" s="10"/>
      <c r="F428" s="10"/>
      <c r="G428" s="10"/>
      <c r="H428" s="9"/>
      <c r="I428" s="10"/>
      <c r="J428" s="12" t="str">
        <f t="shared" si="6"/>
        <v/>
      </c>
      <c r="K428" s="12" t="str">
        <f>IF(J428="","",COUNTIF($J$3:$J$501,"&lt;"&amp;J428)+COUNTIF('Tournament Log'!$N$4:$N$203,"&lt;"&amp;J428)+COUNTIF('Guest Log'!$K$4:$K$203,"&lt;"&amp;J428)+1)</f>
        <v/>
      </c>
    </row>
    <row r="429" spans="1:11" ht="15" customHeight="1" x14ac:dyDescent="0.2">
      <c r="A429" s="9"/>
      <c r="B429" s="9"/>
      <c r="C429" s="9"/>
      <c r="D429" s="10"/>
      <c r="E429" s="10"/>
      <c r="F429" s="10"/>
      <c r="G429" s="10"/>
      <c r="H429" s="9"/>
      <c r="I429" s="10"/>
      <c r="J429" s="12" t="str">
        <f t="shared" si="6"/>
        <v/>
      </c>
      <c r="K429" s="12" t="str">
        <f>IF(J429="","",COUNTIF($J$3:$J$501,"&lt;"&amp;J429)+COUNTIF('Tournament Log'!$N$4:$N$203,"&lt;"&amp;J429)+COUNTIF('Guest Log'!$K$4:$K$203,"&lt;"&amp;J429)+1)</f>
        <v/>
      </c>
    </row>
    <row r="430" spans="1:11" ht="15" customHeight="1" x14ac:dyDescent="0.2">
      <c r="A430" s="9"/>
      <c r="B430" s="9"/>
      <c r="C430" s="9"/>
      <c r="D430" s="10"/>
      <c r="E430" s="10"/>
      <c r="F430" s="10"/>
      <c r="G430" s="10"/>
      <c r="H430" s="9"/>
      <c r="I430" s="10"/>
      <c r="J430" s="12" t="str">
        <f t="shared" si="6"/>
        <v/>
      </c>
      <c r="K430" s="12" t="str">
        <f>IF(J430="","",COUNTIF($J$3:$J$501,"&lt;"&amp;J430)+COUNTIF('Tournament Log'!$N$4:$N$203,"&lt;"&amp;J430)+COUNTIF('Guest Log'!$K$4:$K$203,"&lt;"&amp;J430)+1)</f>
        <v/>
      </c>
    </row>
    <row r="431" spans="1:11" ht="15" customHeight="1" x14ac:dyDescent="0.2">
      <c r="A431" s="9"/>
      <c r="B431" s="9"/>
      <c r="C431" s="9"/>
      <c r="D431" s="10"/>
      <c r="E431" s="10"/>
      <c r="F431" s="10"/>
      <c r="G431" s="10"/>
      <c r="H431" s="9"/>
      <c r="I431" s="10"/>
      <c r="J431" s="12" t="str">
        <f t="shared" si="6"/>
        <v/>
      </c>
      <c r="K431" s="12" t="str">
        <f>IF(J431="","",COUNTIF($J$3:$J$501,"&lt;"&amp;J431)+COUNTIF('Tournament Log'!$N$4:$N$203,"&lt;"&amp;J431)+COUNTIF('Guest Log'!$K$4:$K$203,"&lt;"&amp;J431)+1)</f>
        <v/>
      </c>
    </row>
    <row r="432" spans="1:11" ht="15" customHeight="1" x14ac:dyDescent="0.2">
      <c r="A432" s="9"/>
      <c r="B432" s="9"/>
      <c r="C432" s="9"/>
      <c r="D432" s="10"/>
      <c r="E432" s="10"/>
      <c r="F432" s="10"/>
      <c r="G432" s="10"/>
      <c r="H432" s="9"/>
      <c r="I432" s="10"/>
      <c r="J432" s="12" t="str">
        <f t="shared" si="6"/>
        <v/>
      </c>
      <c r="K432" s="12" t="str">
        <f>IF(J432="","",COUNTIF($J$3:$J$501,"&lt;"&amp;J432)+COUNTIF('Tournament Log'!$N$4:$N$203,"&lt;"&amp;J432)+COUNTIF('Guest Log'!$K$4:$K$203,"&lt;"&amp;J432)+1)</f>
        <v/>
      </c>
    </row>
    <row r="433" spans="1:11" ht="15" customHeight="1" x14ac:dyDescent="0.2">
      <c r="A433" s="9"/>
      <c r="B433" s="9"/>
      <c r="C433" s="9"/>
      <c r="D433" s="10"/>
      <c r="E433" s="10"/>
      <c r="F433" s="10"/>
      <c r="G433" s="10"/>
      <c r="H433" s="9"/>
      <c r="I433" s="10"/>
      <c r="J433" s="12" t="str">
        <f t="shared" si="6"/>
        <v/>
      </c>
      <c r="K433" s="12" t="str">
        <f>IF(J433="","",COUNTIF($J$3:$J$501,"&lt;"&amp;J433)+COUNTIF('Tournament Log'!$N$4:$N$203,"&lt;"&amp;J433)+COUNTIF('Guest Log'!$K$4:$K$203,"&lt;"&amp;J433)+1)</f>
        <v/>
      </c>
    </row>
    <row r="434" spans="1:11" ht="15" customHeight="1" x14ac:dyDescent="0.2">
      <c r="A434" s="9"/>
      <c r="B434" s="9"/>
      <c r="C434" s="9"/>
      <c r="D434" s="10"/>
      <c r="E434" s="10"/>
      <c r="F434" s="10"/>
      <c r="G434" s="10"/>
      <c r="H434" s="9"/>
      <c r="I434" s="10"/>
      <c r="J434" s="12" t="str">
        <f t="shared" si="6"/>
        <v/>
      </c>
      <c r="K434" s="12" t="str">
        <f>IF(J434="","",COUNTIF($J$3:$J$501,"&lt;"&amp;J434)+COUNTIF('Tournament Log'!$N$4:$N$203,"&lt;"&amp;J434)+COUNTIF('Guest Log'!$K$4:$K$203,"&lt;"&amp;J434)+1)</f>
        <v/>
      </c>
    </row>
    <row r="435" spans="1:11" ht="15" customHeight="1" x14ac:dyDescent="0.2">
      <c r="A435" s="9"/>
      <c r="B435" s="9"/>
      <c r="C435" s="9"/>
      <c r="D435" s="10"/>
      <c r="E435" s="10"/>
      <c r="F435" s="10"/>
      <c r="G435" s="10"/>
      <c r="H435" s="9"/>
      <c r="I435" s="10"/>
      <c r="J435" s="12" t="str">
        <f t="shared" si="6"/>
        <v/>
      </c>
      <c r="K435" s="12" t="str">
        <f>IF(J435="","",COUNTIF($J$3:$J$501,"&lt;"&amp;J435)+COUNTIF('Tournament Log'!$N$4:$N$203,"&lt;"&amp;J435)+COUNTIF('Guest Log'!$K$4:$K$203,"&lt;"&amp;J435)+1)</f>
        <v/>
      </c>
    </row>
    <row r="436" spans="1:11" ht="15" customHeight="1" x14ac:dyDescent="0.2">
      <c r="A436" s="9"/>
      <c r="B436" s="9"/>
      <c r="C436" s="9"/>
      <c r="D436" s="10"/>
      <c r="E436" s="10"/>
      <c r="F436" s="10"/>
      <c r="G436" s="10"/>
      <c r="H436" s="9"/>
      <c r="I436" s="10"/>
      <c r="J436" s="12" t="str">
        <f t="shared" si="6"/>
        <v/>
      </c>
      <c r="K436" s="12" t="str">
        <f>IF(J436="","",COUNTIF($J$3:$J$501,"&lt;"&amp;J436)+COUNTIF('Tournament Log'!$N$4:$N$203,"&lt;"&amp;J436)+COUNTIF('Guest Log'!$K$4:$K$203,"&lt;"&amp;J436)+1)</f>
        <v/>
      </c>
    </row>
    <row r="437" spans="1:11" ht="15" customHeight="1" x14ac:dyDescent="0.2">
      <c r="A437" s="9"/>
      <c r="B437" s="9"/>
      <c r="C437" s="9"/>
      <c r="D437" s="10"/>
      <c r="E437" s="10"/>
      <c r="F437" s="10"/>
      <c r="G437" s="10"/>
      <c r="H437" s="9"/>
      <c r="I437" s="10"/>
      <c r="J437" s="12" t="str">
        <f t="shared" si="6"/>
        <v/>
      </c>
      <c r="K437" s="12" t="str">
        <f>IF(J437="","",COUNTIF($J$3:$J$501,"&lt;"&amp;J437)+COUNTIF('Tournament Log'!$N$4:$N$203,"&lt;"&amp;J437)+COUNTIF('Guest Log'!$K$4:$K$203,"&lt;"&amp;J437)+1)</f>
        <v/>
      </c>
    </row>
    <row r="438" spans="1:11" ht="15" customHeight="1" x14ac:dyDescent="0.2">
      <c r="A438" s="9"/>
      <c r="B438" s="9"/>
      <c r="C438" s="9"/>
      <c r="D438" s="10"/>
      <c r="E438" s="10"/>
      <c r="F438" s="10"/>
      <c r="G438" s="10"/>
      <c r="H438" s="9"/>
      <c r="I438" s="10"/>
      <c r="J438" s="12" t="str">
        <f t="shared" si="6"/>
        <v/>
      </c>
      <c r="K438" s="12" t="str">
        <f>IF(J438="","",COUNTIF($J$3:$J$501,"&lt;"&amp;J438)+COUNTIF('Tournament Log'!$N$4:$N$203,"&lt;"&amp;J438)+COUNTIF('Guest Log'!$K$4:$K$203,"&lt;"&amp;J438)+1)</f>
        <v/>
      </c>
    </row>
    <row r="439" spans="1:11" ht="15" customHeight="1" x14ac:dyDescent="0.2">
      <c r="A439" s="9"/>
      <c r="B439" s="9"/>
      <c r="C439" s="9"/>
      <c r="D439" s="10"/>
      <c r="E439" s="10"/>
      <c r="F439" s="10"/>
      <c r="G439" s="10"/>
      <c r="H439" s="9"/>
      <c r="I439" s="10"/>
      <c r="J439" s="12" t="str">
        <f t="shared" si="6"/>
        <v/>
      </c>
      <c r="K439" s="12" t="str">
        <f>IF(J439="","",COUNTIF($J$3:$J$501,"&lt;"&amp;J439)+COUNTIF('Tournament Log'!$N$4:$N$203,"&lt;"&amp;J439)+COUNTIF('Guest Log'!$K$4:$K$203,"&lt;"&amp;J439)+1)</f>
        <v/>
      </c>
    </row>
    <row r="440" spans="1:11" ht="15" customHeight="1" x14ac:dyDescent="0.2">
      <c r="A440" s="9"/>
      <c r="B440" s="9"/>
      <c r="C440" s="9"/>
      <c r="D440" s="10"/>
      <c r="E440" s="10"/>
      <c r="F440" s="10"/>
      <c r="G440" s="10"/>
      <c r="H440" s="9"/>
      <c r="I440" s="10"/>
      <c r="J440" s="12" t="str">
        <f t="shared" si="6"/>
        <v/>
      </c>
      <c r="K440" s="12" t="str">
        <f>IF(J440="","",COUNTIF($J$3:$J$501,"&lt;"&amp;J440)+COUNTIF('Tournament Log'!$N$4:$N$203,"&lt;"&amp;J440)+COUNTIF('Guest Log'!$K$4:$K$203,"&lt;"&amp;J440)+1)</f>
        <v/>
      </c>
    </row>
    <row r="441" spans="1:11" ht="15" customHeight="1" x14ac:dyDescent="0.2">
      <c r="A441" s="9"/>
      <c r="B441" s="9"/>
      <c r="C441" s="9"/>
      <c r="D441" s="10"/>
      <c r="E441" s="10"/>
      <c r="F441" s="10"/>
      <c r="G441" s="10"/>
      <c r="H441" s="9"/>
      <c r="I441" s="10"/>
      <c r="J441" s="12" t="str">
        <f t="shared" si="6"/>
        <v/>
      </c>
      <c r="K441" s="12" t="str">
        <f>IF(J441="","",COUNTIF($J$3:$J$501,"&lt;"&amp;J441)+COUNTIF('Tournament Log'!$N$4:$N$203,"&lt;"&amp;J441)+COUNTIF('Guest Log'!$K$4:$K$203,"&lt;"&amp;J441)+1)</f>
        <v/>
      </c>
    </row>
    <row r="442" spans="1:11" ht="15" customHeight="1" x14ac:dyDescent="0.2">
      <c r="A442" s="9"/>
      <c r="B442" s="9"/>
      <c r="C442" s="9"/>
      <c r="D442" s="10"/>
      <c r="E442" s="10"/>
      <c r="F442" s="10"/>
      <c r="G442" s="10"/>
      <c r="H442" s="9"/>
      <c r="I442" s="10"/>
      <c r="J442" s="12" t="str">
        <f t="shared" si="6"/>
        <v/>
      </c>
      <c r="K442" s="12" t="str">
        <f>IF(J442="","",COUNTIF($J$3:$J$501,"&lt;"&amp;J442)+COUNTIF('Tournament Log'!$N$4:$N$203,"&lt;"&amp;J442)+COUNTIF('Guest Log'!$K$4:$K$203,"&lt;"&amp;J442)+1)</f>
        <v/>
      </c>
    </row>
    <row r="443" spans="1:11" ht="15" customHeight="1" x14ac:dyDescent="0.2">
      <c r="A443" s="9"/>
      <c r="B443" s="9"/>
      <c r="C443" s="9"/>
      <c r="D443" s="10"/>
      <c r="E443" s="10"/>
      <c r="F443" s="10"/>
      <c r="G443" s="10"/>
      <c r="H443" s="9"/>
      <c r="I443" s="10"/>
      <c r="J443" s="12" t="str">
        <f t="shared" si="6"/>
        <v/>
      </c>
      <c r="K443" s="12" t="str">
        <f>IF(J443="","",COUNTIF($J$3:$J$501,"&lt;"&amp;J443)+COUNTIF('Tournament Log'!$N$4:$N$203,"&lt;"&amp;J443)+COUNTIF('Guest Log'!$K$4:$K$203,"&lt;"&amp;J443)+1)</f>
        <v/>
      </c>
    </row>
    <row r="444" spans="1:11" ht="15" customHeight="1" x14ac:dyDescent="0.2">
      <c r="A444" s="9"/>
      <c r="B444" s="9"/>
      <c r="C444" s="9"/>
      <c r="D444" s="10"/>
      <c r="E444" s="10"/>
      <c r="F444" s="10"/>
      <c r="G444" s="10"/>
      <c r="H444" s="9"/>
      <c r="I444" s="10"/>
      <c r="J444" s="12" t="str">
        <f t="shared" si="6"/>
        <v/>
      </c>
      <c r="K444" s="12" t="str">
        <f>IF(J444="","",COUNTIF($J$3:$J$501,"&lt;"&amp;J444)+COUNTIF('Tournament Log'!$N$4:$N$203,"&lt;"&amp;J444)+COUNTIF('Guest Log'!$K$4:$K$203,"&lt;"&amp;J444)+1)</f>
        <v/>
      </c>
    </row>
    <row r="445" spans="1:11" ht="15" customHeight="1" x14ac:dyDescent="0.2">
      <c r="A445" s="9"/>
      <c r="B445" s="9"/>
      <c r="C445" s="9"/>
      <c r="D445" s="10"/>
      <c r="E445" s="10"/>
      <c r="F445" s="10"/>
      <c r="G445" s="10"/>
      <c r="H445" s="9"/>
      <c r="I445" s="10"/>
      <c r="J445" s="12" t="str">
        <f t="shared" si="6"/>
        <v/>
      </c>
      <c r="K445" s="12" t="str">
        <f>IF(J445="","",COUNTIF($J$3:$J$501,"&lt;"&amp;J445)+COUNTIF('Tournament Log'!$N$4:$N$203,"&lt;"&amp;J445)+COUNTIF('Guest Log'!$K$4:$K$203,"&lt;"&amp;J445)+1)</f>
        <v/>
      </c>
    </row>
    <row r="446" spans="1:11" ht="15" customHeight="1" x14ac:dyDescent="0.2">
      <c r="A446" s="9"/>
      <c r="B446" s="9"/>
      <c r="C446" s="9"/>
      <c r="D446" s="10"/>
      <c r="E446" s="10"/>
      <c r="F446" s="10"/>
      <c r="G446" s="10"/>
      <c r="H446" s="9"/>
      <c r="I446" s="10"/>
      <c r="J446" s="12" t="str">
        <f t="shared" si="6"/>
        <v/>
      </c>
      <c r="K446" s="12" t="str">
        <f>IF(J446="","",COUNTIF($J$3:$J$501,"&lt;"&amp;J446)+COUNTIF('Tournament Log'!$N$4:$N$203,"&lt;"&amp;J446)+COUNTIF('Guest Log'!$K$4:$K$203,"&lt;"&amp;J446)+1)</f>
        <v/>
      </c>
    </row>
    <row r="447" spans="1:11" ht="15" customHeight="1" x14ac:dyDescent="0.2">
      <c r="A447" s="9"/>
      <c r="B447" s="9"/>
      <c r="C447" s="9"/>
      <c r="D447" s="10"/>
      <c r="E447" s="10"/>
      <c r="F447" s="10"/>
      <c r="G447" s="10"/>
      <c r="H447" s="9"/>
      <c r="I447" s="10"/>
      <c r="J447" s="12" t="str">
        <f t="shared" si="6"/>
        <v/>
      </c>
      <c r="K447" s="12" t="str">
        <f>IF(J447="","",COUNTIF($J$3:$J$501,"&lt;"&amp;J447)+COUNTIF('Tournament Log'!$N$4:$N$203,"&lt;"&amp;J447)+COUNTIF('Guest Log'!$K$4:$K$203,"&lt;"&amp;J447)+1)</f>
        <v/>
      </c>
    </row>
    <row r="448" spans="1:11" ht="15" customHeight="1" x14ac:dyDescent="0.2">
      <c r="A448" s="9"/>
      <c r="B448" s="9"/>
      <c r="C448" s="9"/>
      <c r="D448" s="10"/>
      <c r="E448" s="10"/>
      <c r="F448" s="10"/>
      <c r="G448" s="10"/>
      <c r="H448" s="9"/>
      <c r="I448" s="10"/>
      <c r="J448" s="12" t="str">
        <f t="shared" si="6"/>
        <v/>
      </c>
      <c r="K448" s="12" t="str">
        <f>IF(J448="","",COUNTIF($J$3:$J$501,"&lt;"&amp;J448)+COUNTIF('Tournament Log'!$N$4:$N$203,"&lt;"&amp;J448)+COUNTIF('Guest Log'!$K$4:$K$203,"&lt;"&amp;J448)+1)</f>
        <v/>
      </c>
    </row>
    <row r="449" spans="1:11" ht="15" customHeight="1" x14ac:dyDescent="0.2">
      <c r="A449" s="9"/>
      <c r="B449" s="9"/>
      <c r="C449" s="9"/>
      <c r="D449" s="10"/>
      <c r="E449" s="10"/>
      <c r="F449" s="10"/>
      <c r="G449" s="10"/>
      <c r="H449" s="9"/>
      <c r="I449" s="10"/>
      <c r="J449" s="12" t="str">
        <f t="shared" si="6"/>
        <v/>
      </c>
      <c r="K449" s="12" t="str">
        <f>IF(J449="","",COUNTIF($J$3:$J$501,"&lt;"&amp;J449)+COUNTIF('Tournament Log'!$N$4:$N$203,"&lt;"&amp;J449)+COUNTIF('Guest Log'!$K$4:$K$203,"&lt;"&amp;J449)+1)</f>
        <v/>
      </c>
    </row>
    <row r="450" spans="1:11" ht="15" customHeight="1" x14ac:dyDescent="0.2">
      <c r="A450" s="9"/>
      <c r="B450" s="9"/>
      <c r="C450" s="9"/>
      <c r="D450" s="10"/>
      <c r="E450" s="10"/>
      <c r="F450" s="10"/>
      <c r="G450" s="10"/>
      <c r="H450" s="9"/>
      <c r="I450" s="10"/>
      <c r="J450" s="12" t="str">
        <f t="shared" si="6"/>
        <v/>
      </c>
      <c r="K450" s="12" t="str">
        <f>IF(J450="","",COUNTIF($J$3:$J$501,"&lt;"&amp;J450)+COUNTIF('Tournament Log'!$N$4:$N$203,"&lt;"&amp;J450)+COUNTIF('Guest Log'!$K$4:$K$203,"&lt;"&amp;J450)+1)</f>
        <v/>
      </c>
    </row>
    <row r="451" spans="1:11" ht="15" customHeight="1" x14ac:dyDescent="0.2">
      <c r="A451" s="9"/>
      <c r="B451" s="9"/>
      <c r="C451" s="9"/>
      <c r="D451" s="10"/>
      <c r="E451" s="10"/>
      <c r="F451" s="10"/>
      <c r="G451" s="10"/>
      <c r="H451" s="9"/>
      <c r="I451" s="10"/>
      <c r="J451" s="12" t="str">
        <f t="shared" ref="J451:J501" si="7">IF(A451="","",A451+ROW()/10000000)</f>
        <v/>
      </c>
      <c r="K451" s="12" t="str">
        <f>IF(J451="","",COUNTIF($J$3:$J$501,"&lt;"&amp;J451)+COUNTIF('Tournament Log'!$N$4:$N$203,"&lt;"&amp;J451)+COUNTIF('Guest Log'!$K$4:$K$203,"&lt;"&amp;J451)+1)</f>
        <v/>
      </c>
    </row>
    <row r="452" spans="1:11" ht="15" customHeight="1" x14ac:dyDescent="0.2">
      <c r="A452" s="9"/>
      <c r="B452" s="9"/>
      <c r="C452" s="9"/>
      <c r="D452" s="10"/>
      <c r="E452" s="10"/>
      <c r="F452" s="10"/>
      <c r="G452" s="10"/>
      <c r="H452" s="9"/>
      <c r="I452" s="10"/>
      <c r="J452" s="12" t="str">
        <f t="shared" si="7"/>
        <v/>
      </c>
      <c r="K452" s="12" t="str">
        <f>IF(J452="","",COUNTIF($J$3:$J$501,"&lt;"&amp;J452)+COUNTIF('Tournament Log'!$N$4:$N$203,"&lt;"&amp;J452)+COUNTIF('Guest Log'!$K$4:$K$203,"&lt;"&amp;J452)+1)</f>
        <v/>
      </c>
    </row>
    <row r="453" spans="1:11" ht="15" customHeight="1" x14ac:dyDescent="0.2">
      <c r="A453" s="9"/>
      <c r="B453" s="9"/>
      <c r="C453" s="9"/>
      <c r="D453" s="10"/>
      <c r="E453" s="10"/>
      <c r="F453" s="10"/>
      <c r="G453" s="10"/>
      <c r="H453" s="9"/>
      <c r="I453" s="10"/>
      <c r="J453" s="12" t="str">
        <f t="shared" si="7"/>
        <v/>
      </c>
      <c r="K453" s="12" t="str">
        <f>IF(J453="","",COUNTIF($J$3:$J$501,"&lt;"&amp;J453)+COUNTIF('Tournament Log'!$N$4:$N$203,"&lt;"&amp;J453)+COUNTIF('Guest Log'!$K$4:$K$203,"&lt;"&amp;J453)+1)</f>
        <v/>
      </c>
    </row>
    <row r="454" spans="1:11" ht="15" customHeight="1" x14ac:dyDescent="0.2">
      <c r="A454" s="9"/>
      <c r="B454" s="9"/>
      <c r="C454" s="9"/>
      <c r="D454" s="10"/>
      <c r="E454" s="10"/>
      <c r="F454" s="10"/>
      <c r="G454" s="10"/>
      <c r="H454" s="9"/>
      <c r="I454" s="10"/>
      <c r="J454" s="12" t="str">
        <f t="shared" si="7"/>
        <v/>
      </c>
      <c r="K454" s="12" t="str">
        <f>IF(J454="","",COUNTIF($J$3:$J$501,"&lt;"&amp;J454)+COUNTIF('Tournament Log'!$N$4:$N$203,"&lt;"&amp;J454)+COUNTIF('Guest Log'!$K$4:$K$203,"&lt;"&amp;J454)+1)</f>
        <v/>
      </c>
    </row>
    <row r="455" spans="1:11" ht="15" customHeight="1" x14ac:dyDescent="0.2">
      <c r="A455" s="9"/>
      <c r="B455" s="9"/>
      <c r="C455" s="9"/>
      <c r="D455" s="10"/>
      <c r="E455" s="10"/>
      <c r="F455" s="10"/>
      <c r="G455" s="10"/>
      <c r="H455" s="9"/>
      <c r="I455" s="10"/>
      <c r="J455" s="12" t="str">
        <f t="shared" si="7"/>
        <v/>
      </c>
      <c r="K455" s="12" t="str">
        <f>IF(J455="","",COUNTIF($J$3:$J$501,"&lt;"&amp;J455)+COUNTIF('Tournament Log'!$N$4:$N$203,"&lt;"&amp;J455)+COUNTIF('Guest Log'!$K$4:$K$203,"&lt;"&amp;J455)+1)</f>
        <v/>
      </c>
    </row>
    <row r="456" spans="1:11" ht="15" customHeight="1" x14ac:dyDescent="0.2">
      <c r="A456" s="9"/>
      <c r="B456" s="9"/>
      <c r="C456" s="9"/>
      <c r="D456" s="10"/>
      <c r="E456" s="10"/>
      <c r="F456" s="10"/>
      <c r="G456" s="10"/>
      <c r="H456" s="9"/>
      <c r="I456" s="10"/>
      <c r="J456" s="12" t="str">
        <f t="shared" si="7"/>
        <v/>
      </c>
      <c r="K456" s="12" t="str">
        <f>IF(J456="","",COUNTIF($J$3:$J$501,"&lt;"&amp;J456)+COUNTIF('Tournament Log'!$N$4:$N$203,"&lt;"&amp;J456)+COUNTIF('Guest Log'!$K$4:$K$203,"&lt;"&amp;J456)+1)</f>
        <v/>
      </c>
    </row>
    <row r="457" spans="1:11" ht="15" customHeight="1" x14ac:dyDescent="0.2">
      <c r="A457" s="9"/>
      <c r="B457" s="9"/>
      <c r="C457" s="9"/>
      <c r="D457" s="10"/>
      <c r="E457" s="10"/>
      <c r="F457" s="10"/>
      <c r="G457" s="10"/>
      <c r="H457" s="9"/>
      <c r="I457" s="10"/>
      <c r="J457" s="12" t="str">
        <f t="shared" si="7"/>
        <v/>
      </c>
      <c r="K457" s="12" t="str">
        <f>IF(J457="","",COUNTIF($J$3:$J$501,"&lt;"&amp;J457)+COUNTIF('Tournament Log'!$N$4:$N$203,"&lt;"&amp;J457)+COUNTIF('Guest Log'!$K$4:$K$203,"&lt;"&amp;J457)+1)</f>
        <v/>
      </c>
    </row>
    <row r="458" spans="1:11" ht="15" customHeight="1" x14ac:dyDescent="0.2">
      <c r="A458" s="9"/>
      <c r="B458" s="9"/>
      <c r="C458" s="9"/>
      <c r="D458" s="10"/>
      <c r="E458" s="10"/>
      <c r="F458" s="10"/>
      <c r="G458" s="10"/>
      <c r="H458" s="9"/>
      <c r="I458" s="10"/>
      <c r="J458" s="12" t="str">
        <f t="shared" si="7"/>
        <v/>
      </c>
      <c r="K458" s="12" t="str">
        <f>IF(J458="","",COUNTIF($J$3:$J$501,"&lt;"&amp;J458)+COUNTIF('Tournament Log'!$N$4:$N$203,"&lt;"&amp;J458)+COUNTIF('Guest Log'!$K$4:$K$203,"&lt;"&amp;J458)+1)</f>
        <v/>
      </c>
    </row>
    <row r="459" spans="1:11" ht="15" customHeight="1" x14ac:dyDescent="0.2">
      <c r="A459" s="9"/>
      <c r="B459" s="9"/>
      <c r="C459" s="9"/>
      <c r="D459" s="10"/>
      <c r="E459" s="10"/>
      <c r="F459" s="10"/>
      <c r="G459" s="10"/>
      <c r="H459" s="9"/>
      <c r="I459" s="10"/>
      <c r="J459" s="12" t="str">
        <f t="shared" si="7"/>
        <v/>
      </c>
      <c r="K459" s="12" t="str">
        <f>IF(J459="","",COUNTIF($J$3:$J$501,"&lt;"&amp;J459)+COUNTIF('Tournament Log'!$N$4:$N$203,"&lt;"&amp;J459)+COUNTIF('Guest Log'!$K$4:$K$203,"&lt;"&amp;J459)+1)</f>
        <v/>
      </c>
    </row>
    <row r="460" spans="1:11" ht="15" customHeight="1" x14ac:dyDescent="0.2">
      <c r="A460" s="9"/>
      <c r="B460" s="9"/>
      <c r="C460" s="9"/>
      <c r="D460" s="10"/>
      <c r="E460" s="10"/>
      <c r="F460" s="10"/>
      <c r="G460" s="10"/>
      <c r="H460" s="9"/>
      <c r="I460" s="10"/>
      <c r="J460" s="12" t="str">
        <f t="shared" si="7"/>
        <v/>
      </c>
      <c r="K460" s="12" t="str">
        <f>IF(J460="","",COUNTIF($J$3:$J$501,"&lt;"&amp;J460)+COUNTIF('Tournament Log'!$N$4:$N$203,"&lt;"&amp;J460)+COUNTIF('Guest Log'!$K$4:$K$203,"&lt;"&amp;J460)+1)</f>
        <v/>
      </c>
    </row>
    <row r="461" spans="1:11" ht="15" customHeight="1" x14ac:dyDescent="0.2">
      <c r="A461" s="9"/>
      <c r="B461" s="9"/>
      <c r="C461" s="9"/>
      <c r="D461" s="10"/>
      <c r="E461" s="10"/>
      <c r="F461" s="10"/>
      <c r="G461" s="10"/>
      <c r="H461" s="9"/>
      <c r="I461" s="10"/>
      <c r="J461" s="12" t="str">
        <f t="shared" si="7"/>
        <v/>
      </c>
      <c r="K461" s="12" t="str">
        <f>IF(J461="","",COUNTIF($J$3:$J$501,"&lt;"&amp;J461)+COUNTIF('Tournament Log'!$N$4:$N$203,"&lt;"&amp;J461)+COUNTIF('Guest Log'!$K$4:$K$203,"&lt;"&amp;J461)+1)</f>
        <v/>
      </c>
    </row>
    <row r="462" spans="1:11" ht="15" customHeight="1" x14ac:dyDescent="0.2">
      <c r="A462" s="9"/>
      <c r="B462" s="9"/>
      <c r="C462" s="9"/>
      <c r="D462" s="10"/>
      <c r="E462" s="10"/>
      <c r="F462" s="10"/>
      <c r="G462" s="10"/>
      <c r="H462" s="9"/>
      <c r="I462" s="10"/>
      <c r="J462" s="12" t="str">
        <f t="shared" si="7"/>
        <v/>
      </c>
      <c r="K462" s="12" t="str">
        <f>IF(J462="","",COUNTIF($J$3:$J$501,"&lt;"&amp;J462)+COUNTIF('Tournament Log'!$N$4:$N$203,"&lt;"&amp;J462)+COUNTIF('Guest Log'!$K$4:$K$203,"&lt;"&amp;J462)+1)</f>
        <v/>
      </c>
    </row>
    <row r="463" spans="1:11" ht="15" customHeight="1" x14ac:dyDescent="0.2">
      <c r="A463" s="9"/>
      <c r="B463" s="9"/>
      <c r="C463" s="9"/>
      <c r="D463" s="10"/>
      <c r="E463" s="10"/>
      <c r="F463" s="10"/>
      <c r="G463" s="10"/>
      <c r="H463" s="9"/>
      <c r="I463" s="10"/>
      <c r="J463" s="12" t="str">
        <f t="shared" si="7"/>
        <v/>
      </c>
      <c r="K463" s="12" t="str">
        <f>IF(J463="","",COUNTIF($J$3:$J$501,"&lt;"&amp;J463)+COUNTIF('Tournament Log'!$N$4:$N$203,"&lt;"&amp;J463)+COUNTIF('Guest Log'!$K$4:$K$203,"&lt;"&amp;J463)+1)</f>
        <v/>
      </c>
    </row>
    <row r="464" spans="1:11" ht="15" customHeight="1" x14ac:dyDescent="0.2">
      <c r="A464" s="9"/>
      <c r="B464" s="9"/>
      <c r="C464" s="9"/>
      <c r="D464" s="10"/>
      <c r="E464" s="10"/>
      <c r="F464" s="10"/>
      <c r="G464" s="10"/>
      <c r="H464" s="9"/>
      <c r="I464" s="10"/>
      <c r="J464" s="12" t="str">
        <f t="shared" si="7"/>
        <v/>
      </c>
      <c r="K464" s="12" t="str">
        <f>IF(J464="","",COUNTIF($J$3:$J$501,"&lt;"&amp;J464)+COUNTIF('Tournament Log'!$N$4:$N$203,"&lt;"&amp;J464)+COUNTIF('Guest Log'!$K$4:$K$203,"&lt;"&amp;J464)+1)</f>
        <v/>
      </c>
    </row>
    <row r="465" spans="1:11" ht="15" customHeight="1" x14ac:dyDescent="0.2">
      <c r="A465" s="9"/>
      <c r="B465" s="9"/>
      <c r="C465" s="9"/>
      <c r="D465" s="10"/>
      <c r="E465" s="10"/>
      <c r="F465" s="10"/>
      <c r="G465" s="10"/>
      <c r="H465" s="9"/>
      <c r="I465" s="10"/>
      <c r="J465" s="12" t="str">
        <f t="shared" si="7"/>
        <v/>
      </c>
      <c r="K465" s="12" t="str">
        <f>IF(J465="","",COUNTIF($J$3:$J$501,"&lt;"&amp;J465)+COUNTIF('Tournament Log'!$N$4:$N$203,"&lt;"&amp;J465)+COUNTIF('Guest Log'!$K$4:$K$203,"&lt;"&amp;J465)+1)</f>
        <v/>
      </c>
    </row>
    <row r="466" spans="1:11" ht="15" customHeight="1" x14ac:dyDescent="0.2">
      <c r="A466" s="9"/>
      <c r="B466" s="9"/>
      <c r="C466" s="9"/>
      <c r="D466" s="10"/>
      <c r="E466" s="10"/>
      <c r="F466" s="10"/>
      <c r="G466" s="10"/>
      <c r="H466" s="9"/>
      <c r="I466" s="10"/>
      <c r="J466" s="12" t="str">
        <f t="shared" si="7"/>
        <v/>
      </c>
      <c r="K466" s="12" t="str">
        <f>IF(J466="","",COUNTIF($J$3:$J$501,"&lt;"&amp;J466)+COUNTIF('Tournament Log'!$N$4:$N$203,"&lt;"&amp;J466)+COUNTIF('Guest Log'!$K$4:$K$203,"&lt;"&amp;J466)+1)</f>
        <v/>
      </c>
    </row>
    <row r="467" spans="1:11" ht="15" customHeight="1" x14ac:dyDescent="0.2">
      <c r="A467" s="9"/>
      <c r="B467" s="9"/>
      <c r="C467" s="9"/>
      <c r="D467" s="10"/>
      <c r="E467" s="10"/>
      <c r="F467" s="10"/>
      <c r="G467" s="10"/>
      <c r="H467" s="9"/>
      <c r="I467" s="10"/>
      <c r="J467" s="12" t="str">
        <f t="shared" si="7"/>
        <v/>
      </c>
      <c r="K467" s="12" t="str">
        <f>IF(J467="","",COUNTIF($J$3:$J$501,"&lt;"&amp;J467)+COUNTIF('Tournament Log'!$N$4:$N$203,"&lt;"&amp;J467)+COUNTIF('Guest Log'!$K$4:$K$203,"&lt;"&amp;J467)+1)</f>
        <v/>
      </c>
    </row>
    <row r="468" spans="1:11" ht="15" customHeight="1" x14ac:dyDescent="0.2">
      <c r="A468" s="9"/>
      <c r="B468" s="9"/>
      <c r="C468" s="9"/>
      <c r="D468" s="10"/>
      <c r="E468" s="10"/>
      <c r="F468" s="10"/>
      <c r="G468" s="10"/>
      <c r="H468" s="9"/>
      <c r="I468" s="10"/>
      <c r="J468" s="12" t="str">
        <f t="shared" si="7"/>
        <v/>
      </c>
      <c r="K468" s="12" t="str">
        <f>IF(J468="","",COUNTIF($J$3:$J$501,"&lt;"&amp;J468)+COUNTIF('Tournament Log'!$N$4:$N$203,"&lt;"&amp;J468)+COUNTIF('Guest Log'!$K$4:$K$203,"&lt;"&amp;J468)+1)</f>
        <v/>
      </c>
    </row>
    <row r="469" spans="1:11" ht="15" customHeight="1" x14ac:dyDescent="0.2">
      <c r="A469" s="9"/>
      <c r="B469" s="9"/>
      <c r="C469" s="9"/>
      <c r="D469" s="10"/>
      <c r="E469" s="10"/>
      <c r="F469" s="10"/>
      <c r="G469" s="10"/>
      <c r="H469" s="9"/>
      <c r="I469" s="10"/>
      <c r="J469" s="12" t="str">
        <f t="shared" si="7"/>
        <v/>
      </c>
      <c r="K469" s="12" t="str">
        <f>IF(J469="","",COUNTIF($J$3:$J$501,"&lt;"&amp;J469)+COUNTIF('Tournament Log'!$N$4:$N$203,"&lt;"&amp;J469)+COUNTIF('Guest Log'!$K$4:$K$203,"&lt;"&amp;J469)+1)</f>
        <v/>
      </c>
    </row>
    <row r="470" spans="1:11" ht="15" customHeight="1" x14ac:dyDescent="0.2">
      <c r="A470" s="9"/>
      <c r="B470" s="9"/>
      <c r="C470" s="9"/>
      <c r="D470" s="10"/>
      <c r="E470" s="10"/>
      <c r="F470" s="10"/>
      <c r="G470" s="10"/>
      <c r="H470" s="9"/>
      <c r="I470" s="10"/>
      <c r="J470" s="12" t="str">
        <f t="shared" si="7"/>
        <v/>
      </c>
      <c r="K470" s="12" t="str">
        <f>IF(J470="","",COUNTIF($J$3:$J$501,"&lt;"&amp;J470)+COUNTIF('Tournament Log'!$N$4:$N$203,"&lt;"&amp;J470)+COUNTIF('Guest Log'!$K$4:$K$203,"&lt;"&amp;J470)+1)</f>
        <v/>
      </c>
    </row>
    <row r="471" spans="1:11" ht="15" customHeight="1" x14ac:dyDescent="0.2">
      <c r="A471" s="9"/>
      <c r="B471" s="9"/>
      <c r="C471" s="9"/>
      <c r="D471" s="10"/>
      <c r="E471" s="10"/>
      <c r="F471" s="10"/>
      <c r="G471" s="10"/>
      <c r="H471" s="9"/>
      <c r="I471" s="10"/>
      <c r="J471" s="12" t="str">
        <f t="shared" si="7"/>
        <v/>
      </c>
      <c r="K471" s="12" t="str">
        <f>IF(J471="","",COUNTIF($J$3:$J$501,"&lt;"&amp;J471)+COUNTIF('Tournament Log'!$N$4:$N$203,"&lt;"&amp;J471)+COUNTIF('Guest Log'!$K$4:$K$203,"&lt;"&amp;J471)+1)</f>
        <v/>
      </c>
    </row>
    <row r="472" spans="1:11" ht="15" customHeight="1" x14ac:dyDescent="0.2">
      <c r="A472" s="9"/>
      <c r="B472" s="9"/>
      <c r="C472" s="9"/>
      <c r="D472" s="10"/>
      <c r="E472" s="10"/>
      <c r="F472" s="10"/>
      <c r="G472" s="10"/>
      <c r="H472" s="9"/>
      <c r="I472" s="10"/>
      <c r="J472" s="12" t="str">
        <f t="shared" si="7"/>
        <v/>
      </c>
      <c r="K472" s="12" t="str">
        <f>IF(J472="","",COUNTIF($J$3:$J$501,"&lt;"&amp;J472)+COUNTIF('Tournament Log'!$N$4:$N$203,"&lt;"&amp;J472)+COUNTIF('Guest Log'!$K$4:$K$203,"&lt;"&amp;J472)+1)</f>
        <v/>
      </c>
    </row>
    <row r="473" spans="1:11" ht="15" customHeight="1" x14ac:dyDescent="0.2">
      <c r="A473" s="9"/>
      <c r="B473" s="9"/>
      <c r="C473" s="9"/>
      <c r="D473" s="10"/>
      <c r="E473" s="10"/>
      <c r="F473" s="10"/>
      <c r="G473" s="10"/>
      <c r="H473" s="9"/>
      <c r="I473" s="10"/>
      <c r="J473" s="12" t="str">
        <f t="shared" si="7"/>
        <v/>
      </c>
      <c r="K473" s="12" t="str">
        <f>IF(J473="","",COUNTIF($J$3:$J$501,"&lt;"&amp;J473)+COUNTIF('Tournament Log'!$N$4:$N$203,"&lt;"&amp;J473)+COUNTIF('Guest Log'!$K$4:$K$203,"&lt;"&amp;J473)+1)</f>
        <v/>
      </c>
    </row>
    <row r="474" spans="1:11" ht="15" customHeight="1" x14ac:dyDescent="0.2">
      <c r="A474" s="9"/>
      <c r="B474" s="9"/>
      <c r="C474" s="9"/>
      <c r="D474" s="10"/>
      <c r="E474" s="10"/>
      <c r="F474" s="10"/>
      <c r="G474" s="10"/>
      <c r="H474" s="9"/>
      <c r="I474" s="10"/>
      <c r="J474" s="12" t="str">
        <f t="shared" si="7"/>
        <v/>
      </c>
      <c r="K474" s="12" t="str">
        <f>IF(J474="","",COUNTIF($J$3:$J$501,"&lt;"&amp;J474)+COUNTIF('Tournament Log'!$N$4:$N$203,"&lt;"&amp;J474)+COUNTIF('Guest Log'!$K$4:$K$203,"&lt;"&amp;J474)+1)</f>
        <v/>
      </c>
    </row>
    <row r="475" spans="1:11" ht="15" customHeight="1" x14ac:dyDescent="0.2">
      <c r="A475" s="9"/>
      <c r="B475" s="9"/>
      <c r="C475" s="9"/>
      <c r="D475" s="10"/>
      <c r="E475" s="10"/>
      <c r="F475" s="10"/>
      <c r="G475" s="10"/>
      <c r="H475" s="9"/>
      <c r="I475" s="10"/>
      <c r="J475" s="12" t="str">
        <f t="shared" si="7"/>
        <v/>
      </c>
      <c r="K475" s="12" t="str">
        <f>IF(J475="","",COUNTIF($J$3:$J$501,"&lt;"&amp;J475)+COUNTIF('Tournament Log'!$N$4:$N$203,"&lt;"&amp;J475)+COUNTIF('Guest Log'!$K$4:$K$203,"&lt;"&amp;J475)+1)</f>
        <v/>
      </c>
    </row>
    <row r="476" spans="1:11" ht="15" customHeight="1" x14ac:dyDescent="0.2">
      <c r="A476" s="9"/>
      <c r="B476" s="9"/>
      <c r="C476" s="9"/>
      <c r="D476" s="10"/>
      <c r="E476" s="10"/>
      <c r="F476" s="10"/>
      <c r="G476" s="10"/>
      <c r="H476" s="9"/>
      <c r="I476" s="10"/>
      <c r="J476" s="12" t="str">
        <f t="shared" si="7"/>
        <v/>
      </c>
      <c r="K476" s="12" t="str">
        <f>IF(J476="","",COUNTIF($J$3:$J$501,"&lt;"&amp;J476)+COUNTIF('Tournament Log'!$N$4:$N$203,"&lt;"&amp;J476)+COUNTIF('Guest Log'!$K$4:$K$203,"&lt;"&amp;J476)+1)</f>
        <v/>
      </c>
    </row>
    <row r="477" spans="1:11" ht="15" customHeight="1" x14ac:dyDescent="0.2">
      <c r="A477" s="9"/>
      <c r="B477" s="9"/>
      <c r="C477" s="9"/>
      <c r="D477" s="10"/>
      <c r="E477" s="10"/>
      <c r="F477" s="10"/>
      <c r="G477" s="10"/>
      <c r="H477" s="9"/>
      <c r="I477" s="10"/>
      <c r="J477" s="12" t="str">
        <f t="shared" si="7"/>
        <v/>
      </c>
      <c r="K477" s="12" t="str">
        <f>IF(J477="","",COUNTIF($J$3:$J$501,"&lt;"&amp;J477)+COUNTIF('Tournament Log'!$N$4:$N$203,"&lt;"&amp;J477)+COUNTIF('Guest Log'!$K$4:$K$203,"&lt;"&amp;J477)+1)</f>
        <v/>
      </c>
    </row>
    <row r="478" spans="1:11" ht="15" customHeight="1" x14ac:dyDescent="0.2">
      <c r="A478" s="9"/>
      <c r="B478" s="9"/>
      <c r="C478" s="9"/>
      <c r="D478" s="10"/>
      <c r="E478" s="10"/>
      <c r="F478" s="10"/>
      <c r="G478" s="10"/>
      <c r="H478" s="9"/>
      <c r="I478" s="10"/>
      <c r="J478" s="12" t="str">
        <f t="shared" si="7"/>
        <v/>
      </c>
      <c r="K478" s="12" t="str">
        <f>IF(J478="","",COUNTIF($J$3:$J$501,"&lt;"&amp;J478)+COUNTIF('Tournament Log'!$N$4:$N$203,"&lt;"&amp;J478)+COUNTIF('Guest Log'!$K$4:$K$203,"&lt;"&amp;J478)+1)</f>
        <v/>
      </c>
    </row>
    <row r="479" spans="1:11" ht="15" customHeight="1" x14ac:dyDescent="0.2">
      <c r="A479" s="9"/>
      <c r="B479" s="9"/>
      <c r="C479" s="9"/>
      <c r="D479" s="10"/>
      <c r="E479" s="10"/>
      <c r="F479" s="10"/>
      <c r="G479" s="10"/>
      <c r="H479" s="9"/>
      <c r="I479" s="10"/>
      <c r="J479" s="12" t="str">
        <f t="shared" si="7"/>
        <v/>
      </c>
      <c r="K479" s="12" t="str">
        <f>IF(J479="","",COUNTIF($J$3:$J$501,"&lt;"&amp;J479)+COUNTIF('Tournament Log'!$N$4:$N$203,"&lt;"&amp;J479)+COUNTIF('Guest Log'!$K$4:$K$203,"&lt;"&amp;J479)+1)</f>
        <v/>
      </c>
    </row>
    <row r="480" spans="1:11" ht="15" customHeight="1" x14ac:dyDescent="0.2">
      <c r="A480" s="9"/>
      <c r="B480" s="9"/>
      <c r="C480" s="9"/>
      <c r="D480" s="10"/>
      <c r="E480" s="10"/>
      <c r="F480" s="10"/>
      <c r="G480" s="10"/>
      <c r="H480" s="9"/>
      <c r="I480" s="10"/>
      <c r="J480" s="12" t="str">
        <f t="shared" si="7"/>
        <v/>
      </c>
      <c r="K480" s="12" t="str">
        <f>IF(J480="","",COUNTIF($J$3:$J$501,"&lt;"&amp;J480)+COUNTIF('Tournament Log'!$N$4:$N$203,"&lt;"&amp;J480)+COUNTIF('Guest Log'!$K$4:$K$203,"&lt;"&amp;J480)+1)</f>
        <v/>
      </c>
    </row>
    <row r="481" spans="1:11" ht="15" customHeight="1" x14ac:dyDescent="0.2">
      <c r="A481" s="9"/>
      <c r="B481" s="9"/>
      <c r="C481" s="9"/>
      <c r="D481" s="10"/>
      <c r="E481" s="10"/>
      <c r="F481" s="10"/>
      <c r="G481" s="10"/>
      <c r="H481" s="9"/>
      <c r="I481" s="10"/>
      <c r="J481" s="12" t="str">
        <f t="shared" si="7"/>
        <v/>
      </c>
      <c r="K481" s="12" t="str">
        <f>IF(J481="","",COUNTIF($J$3:$J$501,"&lt;"&amp;J481)+COUNTIF('Tournament Log'!$N$4:$N$203,"&lt;"&amp;J481)+COUNTIF('Guest Log'!$K$4:$K$203,"&lt;"&amp;J481)+1)</f>
        <v/>
      </c>
    </row>
    <row r="482" spans="1:11" ht="15" customHeight="1" x14ac:dyDescent="0.2">
      <c r="A482" s="9"/>
      <c r="B482" s="9"/>
      <c r="C482" s="9"/>
      <c r="D482" s="10"/>
      <c r="E482" s="10"/>
      <c r="F482" s="10"/>
      <c r="G482" s="10"/>
      <c r="H482" s="9"/>
      <c r="I482" s="10"/>
      <c r="J482" s="12" t="str">
        <f t="shared" si="7"/>
        <v/>
      </c>
      <c r="K482" s="12" t="str">
        <f>IF(J482="","",COUNTIF($J$3:$J$501,"&lt;"&amp;J482)+COUNTIF('Tournament Log'!$N$4:$N$203,"&lt;"&amp;J482)+COUNTIF('Guest Log'!$K$4:$K$203,"&lt;"&amp;J482)+1)</f>
        <v/>
      </c>
    </row>
    <row r="483" spans="1:11" ht="15" customHeight="1" x14ac:dyDescent="0.2">
      <c r="A483" s="9"/>
      <c r="B483" s="9"/>
      <c r="C483" s="9"/>
      <c r="D483" s="10"/>
      <c r="E483" s="10"/>
      <c r="F483" s="10"/>
      <c r="G483" s="10"/>
      <c r="H483" s="9"/>
      <c r="I483" s="10"/>
      <c r="J483" s="12" t="str">
        <f t="shared" si="7"/>
        <v/>
      </c>
      <c r="K483" s="12" t="str">
        <f>IF(J483="","",COUNTIF($J$3:$J$501,"&lt;"&amp;J483)+COUNTIF('Tournament Log'!$N$4:$N$203,"&lt;"&amp;J483)+COUNTIF('Guest Log'!$K$4:$K$203,"&lt;"&amp;J483)+1)</f>
        <v/>
      </c>
    </row>
    <row r="484" spans="1:11" ht="15" customHeight="1" x14ac:dyDescent="0.2">
      <c r="A484" s="9"/>
      <c r="B484" s="9"/>
      <c r="C484" s="9"/>
      <c r="D484" s="10"/>
      <c r="E484" s="10"/>
      <c r="F484" s="10"/>
      <c r="G484" s="10"/>
      <c r="H484" s="9"/>
      <c r="I484" s="10"/>
      <c r="J484" s="12" t="str">
        <f t="shared" si="7"/>
        <v/>
      </c>
      <c r="K484" s="12" t="str">
        <f>IF(J484="","",COUNTIF($J$3:$J$501,"&lt;"&amp;J484)+COUNTIF('Tournament Log'!$N$4:$N$203,"&lt;"&amp;J484)+COUNTIF('Guest Log'!$K$4:$K$203,"&lt;"&amp;J484)+1)</f>
        <v/>
      </c>
    </row>
    <row r="485" spans="1:11" ht="15" customHeight="1" x14ac:dyDescent="0.2">
      <c r="A485" s="9"/>
      <c r="B485" s="9"/>
      <c r="C485" s="9"/>
      <c r="D485" s="10"/>
      <c r="E485" s="10"/>
      <c r="F485" s="10"/>
      <c r="G485" s="10"/>
      <c r="H485" s="9"/>
      <c r="I485" s="10"/>
      <c r="J485" s="12" t="str">
        <f t="shared" si="7"/>
        <v/>
      </c>
      <c r="K485" s="12" t="str">
        <f>IF(J485="","",COUNTIF($J$3:$J$501,"&lt;"&amp;J485)+COUNTIF('Tournament Log'!$N$4:$N$203,"&lt;"&amp;J485)+COUNTIF('Guest Log'!$K$4:$K$203,"&lt;"&amp;J485)+1)</f>
        <v/>
      </c>
    </row>
    <row r="486" spans="1:11" ht="15" customHeight="1" x14ac:dyDescent="0.2">
      <c r="A486" s="9"/>
      <c r="B486" s="9"/>
      <c r="C486" s="9"/>
      <c r="D486" s="10"/>
      <c r="E486" s="10"/>
      <c r="F486" s="10"/>
      <c r="G486" s="10"/>
      <c r="H486" s="9"/>
      <c r="I486" s="10"/>
      <c r="J486" s="12" t="str">
        <f t="shared" si="7"/>
        <v/>
      </c>
      <c r="K486" s="12" t="str">
        <f>IF(J486="","",COUNTIF($J$3:$J$501,"&lt;"&amp;J486)+COUNTIF('Tournament Log'!$N$4:$N$203,"&lt;"&amp;J486)+COUNTIF('Guest Log'!$K$4:$K$203,"&lt;"&amp;J486)+1)</f>
        <v/>
      </c>
    </row>
    <row r="487" spans="1:11" ht="15" customHeight="1" x14ac:dyDescent="0.2">
      <c r="A487" s="9"/>
      <c r="B487" s="9"/>
      <c r="C487" s="9"/>
      <c r="D487" s="10"/>
      <c r="E487" s="10"/>
      <c r="F487" s="10"/>
      <c r="G487" s="10"/>
      <c r="H487" s="9"/>
      <c r="I487" s="10"/>
      <c r="J487" s="12" t="str">
        <f t="shared" si="7"/>
        <v/>
      </c>
      <c r="K487" s="12" t="str">
        <f>IF(J487="","",COUNTIF($J$3:$J$501,"&lt;"&amp;J487)+COUNTIF('Tournament Log'!$N$4:$N$203,"&lt;"&amp;J487)+COUNTIF('Guest Log'!$K$4:$K$203,"&lt;"&amp;J487)+1)</f>
        <v/>
      </c>
    </row>
    <row r="488" spans="1:11" ht="15" customHeight="1" x14ac:dyDescent="0.2">
      <c r="A488" s="9"/>
      <c r="B488" s="9"/>
      <c r="C488" s="9"/>
      <c r="D488" s="10"/>
      <c r="E488" s="10"/>
      <c r="F488" s="10"/>
      <c r="G488" s="10"/>
      <c r="H488" s="9"/>
      <c r="I488" s="10"/>
      <c r="J488" s="12" t="str">
        <f t="shared" si="7"/>
        <v/>
      </c>
      <c r="K488" s="12" t="str">
        <f>IF(J488="","",COUNTIF($J$3:$J$501,"&lt;"&amp;J488)+COUNTIF('Tournament Log'!$N$4:$N$203,"&lt;"&amp;J488)+COUNTIF('Guest Log'!$K$4:$K$203,"&lt;"&amp;J488)+1)</f>
        <v/>
      </c>
    </row>
    <row r="489" spans="1:11" ht="15" customHeight="1" x14ac:dyDescent="0.2">
      <c r="A489" s="9"/>
      <c r="B489" s="9"/>
      <c r="C489" s="9"/>
      <c r="D489" s="10"/>
      <c r="E489" s="10"/>
      <c r="F489" s="10"/>
      <c r="G489" s="10"/>
      <c r="H489" s="9"/>
      <c r="I489" s="10"/>
      <c r="J489" s="12" t="str">
        <f t="shared" si="7"/>
        <v/>
      </c>
      <c r="K489" s="12" t="str">
        <f>IF(J489="","",COUNTIF($J$3:$J$501,"&lt;"&amp;J489)+COUNTIF('Tournament Log'!$N$4:$N$203,"&lt;"&amp;J489)+COUNTIF('Guest Log'!$K$4:$K$203,"&lt;"&amp;J489)+1)</f>
        <v/>
      </c>
    </row>
    <row r="490" spans="1:11" ht="15" customHeight="1" x14ac:dyDescent="0.2">
      <c r="A490" s="9"/>
      <c r="B490" s="9"/>
      <c r="C490" s="9"/>
      <c r="D490" s="10"/>
      <c r="E490" s="10"/>
      <c r="F490" s="10"/>
      <c r="G490" s="10"/>
      <c r="H490" s="9"/>
      <c r="I490" s="10"/>
      <c r="J490" s="12" t="str">
        <f t="shared" si="7"/>
        <v/>
      </c>
      <c r="K490" s="12" t="str">
        <f>IF(J490="","",COUNTIF($J$3:$J$501,"&lt;"&amp;J490)+COUNTIF('Tournament Log'!$N$4:$N$203,"&lt;"&amp;J490)+COUNTIF('Guest Log'!$K$4:$K$203,"&lt;"&amp;J490)+1)</f>
        <v/>
      </c>
    </row>
    <row r="491" spans="1:11" ht="15" customHeight="1" x14ac:dyDescent="0.2">
      <c r="A491" s="9"/>
      <c r="B491" s="9"/>
      <c r="C491" s="9"/>
      <c r="D491" s="10"/>
      <c r="E491" s="10"/>
      <c r="F491" s="10"/>
      <c r="G491" s="10"/>
      <c r="H491" s="9"/>
      <c r="I491" s="10"/>
      <c r="J491" s="12" t="str">
        <f t="shared" si="7"/>
        <v/>
      </c>
      <c r="K491" s="12" t="str">
        <f>IF(J491="","",COUNTIF($J$3:$J$501,"&lt;"&amp;J491)+COUNTIF('Tournament Log'!$N$4:$N$203,"&lt;"&amp;J491)+COUNTIF('Guest Log'!$K$4:$K$203,"&lt;"&amp;J491)+1)</f>
        <v/>
      </c>
    </row>
    <row r="492" spans="1:11" ht="15" customHeight="1" x14ac:dyDescent="0.2">
      <c r="A492" s="9"/>
      <c r="B492" s="9"/>
      <c r="C492" s="9"/>
      <c r="D492" s="10"/>
      <c r="E492" s="10"/>
      <c r="F492" s="10"/>
      <c r="G492" s="10"/>
      <c r="H492" s="9"/>
      <c r="I492" s="10"/>
      <c r="J492" s="12" t="str">
        <f t="shared" si="7"/>
        <v/>
      </c>
      <c r="K492" s="12" t="str">
        <f>IF(J492="","",COUNTIF($J$3:$J$501,"&lt;"&amp;J492)+COUNTIF('Tournament Log'!$N$4:$N$203,"&lt;"&amp;J492)+COUNTIF('Guest Log'!$K$4:$K$203,"&lt;"&amp;J492)+1)</f>
        <v/>
      </c>
    </row>
    <row r="493" spans="1:11" ht="15" customHeight="1" x14ac:dyDescent="0.2">
      <c r="A493" s="9"/>
      <c r="B493" s="9"/>
      <c r="C493" s="9"/>
      <c r="D493" s="10"/>
      <c r="E493" s="10"/>
      <c r="F493" s="10"/>
      <c r="G493" s="10"/>
      <c r="H493" s="9"/>
      <c r="I493" s="10"/>
      <c r="J493" s="12" t="str">
        <f t="shared" si="7"/>
        <v/>
      </c>
      <c r="K493" s="12" t="str">
        <f>IF(J493="","",COUNTIF($J$3:$J$501,"&lt;"&amp;J493)+COUNTIF('Tournament Log'!$N$4:$N$203,"&lt;"&amp;J493)+COUNTIF('Guest Log'!$K$4:$K$203,"&lt;"&amp;J493)+1)</f>
        <v/>
      </c>
    </row>
    <row r="494" spans="1:11" ht="15" customHeight="1" x14ac:dyDescent="0.2">
      <c r="A494" s="9"/>
      <c r="B494" s="9"/>
      <c r="C494" s="9"/>
      <c r="D494" s="10"/>
      <c r="E494" s="10"/>
      <c r="F494" s="10"/>
      <c r="G494" s="10"/>
      <c r="H494" s="9"/>
      <c r="I494" s="10"/>
      <c r="J494" s="12" t="str">
        <f t="shared" si="7"/>
        <v/>
      </c>
      <c r="K494" s="12" t="str">
        <f>IF(J494="","",COUNTIF($J$3:$J$501,"&lt;"&amp;J494)+COUNTIF('Tournament Log'!$N$4:$N$203,"&lt;"&amp;J494)+COUNTIF('Guest Log'!$K$4:$K$203,"&lt;"&amp;J494)+1)</f>
        <v/>
      </c>
    </row>
    <row r="495" spans="1:11" ht="15" customHeight="1" x14ac:dyDescent="0.2">
      <c r="A495" s="9"/>
      <c r="B495" s="9"/>
      <c r="C495" s="9"/>
      <c r="D495" s="10"/>
      <c r="E495" s="10"/>
      <c r="F495" s="10"/>
      <c r="G495" s="10"/>
      <c r="H495" s="9"/>
      <c r="I495" s="10"/>
      <c r="J495" s="12" t="str">
        <f t="shared" si="7"/>
        <v/>
      </c>
      <c r="K495" s="12" t="str">
        <f>IF(J495="","",COUNTIF($J$3:$J$501,"&lt;"&amp;J495)+COUNTIF('Tournament Log'!$N$4:$N$203,"&lt;"&amp;J495)+COUNTIF('Guest Log'!$K$4:$K$203,"&lt;"&amp;J495)+1)</f>
        <v/>
      </c>
    </row>
    <row r="496" spans="1:11" ht="15" customHeight="1" x14ac:dyDescent="0.2">
      <c r="A496" s="9"/>
      <c r="B496" s="9"/>
      <c r="C496" s="9"/>
      <c r="D496" s="10"/>
      <c r="E496" s="10"/>
      <c r="F496" s="10"/>
      <c r="G496" s="10"/>
      <c r="H496" s="9"/>
      <c r="I496" s="10"/>
      <c r="J496" s="12" t="str">
        <f t="shared" si="7"/>
        <v/>
      </c>
      <c r="K496" s="12" t="str">
        <f>IF(J496="","",COUNTIF($J$3:$J$501,"&lt;"&amp;J496)+COUNTIF('Tournament Log'!$N$4:$N$203,"&lt;"&amp;J496)+COUNTIF('Guest Log'!$K$4:$K$203,"&lt;"&amp;J496)+1)</f>
        <v/>
      </c>
    </row>
    <row r="497" spans="1:11" ht="15" customHeight="1" x14ac:dyDescent="0.2">
      <c r="A497" s="9"/>
      <c r="B497" s="9"/>
      <c r="C497" s="9"/>
      <c r="D497" s="10"/>
      <c r="E497" s="10"/>
      <c r="F497" s="10"/>
      <c r="G497" s="10"/>
      <c r="H497" s="9"/>
      <c r="I497" s="10"/>
      <c r="J497" s="12" t="str">
        <f t="shared" si="7"/>
        <v/>
      </c>
      <c r="K497" s="12" t="str">
        <f>IF(J497="","",COUNTIF($J$3:$J$501,"&lt;"&amp;J497)+COUNTIF('Tournament Log'!$N$4:$N$203,"&lt;"&amp;J497)+COUNTIF('Guest Log'!$K$4:$K$203,"&lt;"&amp;J497)+1)</f>
        <v/>
      </c>
    </row>
    <row r="498" spans="1:11" ht="15" customHeight="1" x14ac:dyDescent="0.2">
      <c r="A498" s="9"/>
      <c r="B498" s="9"/>
      <c r="C498" s="9"/>
      <c r="D498" s="10"/>
      <c r="E498" s="10"/>
      <c r="F498" s="10"/>
      <c r="G498" s="10"/>
      <c r="H498" s="9"/>
      <c r="I498" s="10"/>
      <c r="J498" s="12" t="str">
        <f t="shared" si="7"/>
        <v/>
      </c>
      <c r="K498" s="12" t="str">
        <f>IF(J498="","",COUNTIF($J$3:$J$501,"&lt;"&amp;J498)+COUNTIF('Tournament Log'!$N$4:$N$203,"&lt;"&amp;J498)+COUNTIF('Guest Log'!$K$4:$K$203,"&lt;"&amp;J498)+1)</f>
        <v/>
      </c>
    </row>
    <row r="499" spans="1:11" ht="15" customHeight="1" x14ac:dyDescent="0.2">
      <c r="A499" s="9"/>
      <c r="B499" s="9"/>
      <c r="C499" s="9"/>
      <c r="D499" s="10"/>
      <c r="E499" s="10"/>
      <c r="F499" s="10"/>
      <c r="G499" s="10"/>
      <c r="H499" s="9"/>
      <c r="I499" s="10"/>
      <c r="J499" s="12" t="str">
        <f t="shared" si="7"/>
        <v/>
      </c>
      <c r="K499" s="12" t="str">
        <f>IF(J499="","",COUNTIF($J$3:$J$501,"&lt;"&amp;J499)+COUNTIF('Tournament Log'!$N$4:$N$203,"&lt;"&amp;J499)+COUNTIF('Guest Log'!$K$4:$K$203,"&lt;"&amp;J499)+1)</f>
        <v/>
      </c>
    </row>
    <row r="500" spans="1:11" ht="15" customHeight="1" x14ac:dyDescent="0.2">
      <c r="A500" s="9"/>
      <c r="B500" s="9"/>
      <c r="C500" s="9"/>
      <c r="D500" s="10"/>
      <c r="E500" s="10"/>
      <c r="F500" s="10"/>
      <c r="G500" s="10"/>
      <c r="H500" s="9"/>
      <c r="I500" s="10"/>
      <c r="J500" s="12" t="str">
        <f t="shared" si="7"/>
        <v/>
      </c>
      <c r="K500" s="12" t="str">
        <f>IF(J500="","",COUNTIF($J$3:$J$501,"&lt;"&amp;J500)+COUNTIF('Tournament Log'!$N$4:$N$203,"&lt;"&amp;J500)+COUNTIF('Guest Log'!$K$4:$K$203,"&lt;"&amp;J500)+1)</f>
        <v/>
      </c>
    </row>
    <row r="501" spans="1:11" ht="15" customHeight="1" x14ac:dyDescent="0.2">
      <c r="J501" s="12" t="str">
        <f t="shared" si="7"/>
        <v/>
      </c>
      <c r="K501" s="12" t="str">
        <f>IF(J501="","",COUNTIF($J$3:$J$501,"&lt;"&amp;J501)+COUNTIF('Tournament Log'!$N$4:$N$203,"&lt;"&amp;J501)+COUNTIF('Guest Log'!$K$4:$K$203,"&lt;"&amp;J501)+1)</f>
        <v/>
      </c>
    </row>
  </sheetData>
  <mergeCells count="1">
    <mergeCell ref="A1:I1"/>
  </mergeCells>
  <dataValidations count="1">
    <dataValidation type="list" allowBlank="1" showErrorMessage="1" errorTitle="Invalid entry" error="Please choose Win, Draw, or Loss" sqref="D3:D500" xr:uid="{00000000-0002-0000-0100-000000000000}">
      <formula1>"Win,Draw,Loss"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3"/>
  <sheetViews>
    <sheetView zoomScaleNormal="100" workbookViewId="0">
      <pane ySplit="3" topLeftCell="A4" activePane="bottomLeft" state="frozen"/>
      <selection pane="bottomLeft" activeCell="I11" sqref="I11"/>
    </sheetView>
  </sheetViews>
  <sheetFormatPr defaultColWidth="8.7421875" defaultRowHeight="15" x14ac:dyDescent="0.2"/>
  <cols>
    <col min="1" max="1" width="11.97265625" customWidth="1"/>
    <col min="2" max="2" width="22.05859375" customWidth="1"/>
    <col min="3" max="3" width="11.97265625" customWidth="1"/>
    <col min="4" max="4" width="11.43359375" customWidth="1"/>
    <col min="5" max="5" width="6.9921875" customWidth="1"/>
    <col min="6" max="6" width="7.93359375" customWidth="1"/>
    <col min="7" max="7" width="9.14453125" customWidth="1"/>
    <col min="8" max="8" width="11.02734375" customWidth="1"/>
    <col min="9" max="9" width="19.7734375" customWidth="1"/>
    <col min="10" max="10" width="18.16015625" customWidth="1"/>
    <col min="11" max="11" width="18.29296875" customWidth="1"/>
    <col min="12" max="12" width="16.0078125" customWidth="1"/>
    <col min="13" max="13" width="20.04296875" customWidth="1"/>
  </cols>
  <sheetData>
    <row r="1" spans="1:15" ht="21.75" customHeight="1" x14ac:dyDescent="0.2">
      <c r="A1" s="48" t="s">
        <v>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5" ht="31.5" customHeight="1" x14ac:dyDescent="0.2">
      <c r="A2" s="15" t="s">
        <v>12</v>
      </c>
      <c r="B2" s="15" t="s">
        <v>52</v>
      </c>
      <c r="C2" s="15" t="s">
        <v>53</v>
      </c>
      <c r="D2" s="15" t="s">
        <v>54</v>
      </c>
      <c r="E2" s="15" t="s">
        <v>5</v>
      </c>
      <c r="F2" s="15" t="s">
        <v>6</v>
      </c>
      <c r="G2" s="15" t="s">
        <v>7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59</v>
      </c>
      <c r="M2" s="15" t="s">
        <v>20</v>
      </c>
      <c r="N2" s="7" t="s">
        <v>21</v>
      </c>
      <c r="O2" s="7" t="s">
        <v>22</v>
      </c>
    </row>
    <row r="3" spans="1:15" ht="25.5" customHeight="1" x14ac:dyDescent="0.2">
      <c r="A3" s="49" t="s">
        <v>60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5" ht="15" customHeight="1" x14ac:dyDescent="0.2">
      <c r="A4" s="16">
        <v>46200</v>
      </c>
      <c r="B4" s="17" t="s">
        <v>61</v>
      </c>
      <c r="C4" s="18" t="s">
        <v>23</v>
      </c>
      <c r="D4" s="18">
        <v>3</v>
      </c>
      <c r="E4" s="18">
        <v>1</v>
      </c>
      <c r="F4" s="18">
        <v>0</v>
      </c>
      <c r="G4" s="18">
        <v>2</v>
      </c>
      <c r="H4" s="18">
        <v>242</v>
      </c>
      <c r="I4" s="18">
        <v>0.76</v>
      </c>
      <c r="J4" s="19">
        <f t="shared" ref="J4:J35" si="0">IF(C4="","",IF(I4="","",ROUND(800+I4*400,0)))</f>
        <v>1104</v>
      </c>
      <c r="K4" s="19">
        <f t="shared" ref="K4:K35" si="1">IF(C4="","",IF(D4=0,"",ROUND((E4+0.5*F4)/D4,4)))</f>
        <v>0.33329999999999999</v>
      </c>
      <c r="L4" s="17" t="s">
        <v>26</v>
      </c>
      <c r="M4" s="17"/>
      <c r="N4" s="11">
        <f t="shared" ref="N4:N35" si="2">IF(A4="","",A4+0.0005+ROW()/10000000)</f>
        <v>46200.000500400005</v>
      </c>
      <c r="O4" s="12">
        <f>IF(N4="","",COUNTIF('Match Log'!$J$3:$J$501,"&lt;"&amp;N4)+COUNTIF($N$4:$N$203,"&lt;"&amp;N4)+COUNTIF('Guest Log'!$K$4:$K$203,"&lt;"&amp;N4)+1)</f>
        <v>9</v>
      </c>
    </row>
    <row r="5" spans="1:15" ht="15" customHeight="1" x14ac:dyDescent="0.2">
      <c r="A5" s="20">
        <v>46198</v>
      </c>
      <c r="B5" s="21" t="s">
        <v>62</v>
      </c>
      <c r="C5" s="22" t="s">
        <v>31</v>
      </c>
      <c r="D5" s="22">
        <v>5</v>
      </c>
      <c r="E5" s="22">
        <v>2</v>
      </c>
      <c r="F5" s="22">
        <v>0</v>
      </c>
      <c r="G5" s="22">
        <v>3</v>
      </c>
      <c r="H5" s="22">
        <v>378</v>
      </c>
      <c r="I5" s="22">
        <v>0.84</v>
      </c>
      <c r="J5" s="23">
        <f t="shared" si="0"/>
        <v>1136</v>
      </c>
      <c r="K5" s="23">
        <f t="shared" si="1"/>
        <v>0.4</v>
      </c>
      <c r="L5" s="21" t="s">
        <v>32</v>
      </c>
      <c r="M5" s="21"/>
      <c r="N5" s="11">
        <f t="shared" si="2"/>
        <v>46198.000500499998</v>
      </c>
      <c r="O5" s="12">
        <f>IF(N5="","",COUNTIF('Match Log'!$J$3:$J$501,"&lt;"&amp;N5)+COUNTIF($N$4:$N$203,"&lt;"&amp;N5)+COUNTIF('Guest Log'!$K$4:$K$203,"&lt;"&amp;N5)+1)</f>
        <v>7</v>
      </c>
    </row>
    <row r="6" spans="1:15" ht="15" customHeight="1" x14ac:dyDescent="0.2">
      <c r="A6" s="16">
        <v>46198</v>
      </c>
      <c r="B6" s="17" t="s">
        <v>62</v>
      </c>
      <c r="C6" s="18" t="s">
        <v>35</v>
      </c>
      <c r="D6" s="18">
        <v>5</v>
      </c>
      <c r="E6" s="18">
        <v>3</v>
      </c>
      <c r="F6" s="18">
        <v>0</v>
      </c>
      <c r="G6" s="18">
        <v>2</v>
      </c>
      <c r="H6" s="18">
        <v>373</v>
      </c>
      <c r="I6" s="18">
        <v>0.75</v>
      </c>
      <c r="J6" s="19">
        <f t="shared" si="0"/>
        <v>1100</v>
      </c>
      <c r="K6" s="19">
        <f t="shared" si="1"/>
        <v>0.6</v>
      </c>
      <c r="L6" s="17" t="s">
        <v>63</v>
      </c>
      <c r="M6" s="17"/>
      <c r="N6" s="11">
        <f t="shared" si="2"/>
        <v>46198.000500599999</v>
      </c>
      <c r="O6" s="12">
        <f>IF(N6="","",COUNTIF('Match Log'!$J$3:$J$501,"&lt;"&amp;N6)+COUNTIF($N$4:$N$203,"&lt;"&amp;N6)+COUNTIF('Guest Log'!$K$4:$K$203,"&lt;"&amp;N6)+1)</f>
        <v>8</v>
      </c>
    </row>
    <row r="7" spans="1:15" ht="15" customHeight="1" x14ac:dyDescent="0.2">
      <c r="A7" s="22"/>
      <c r="B7" s="21"/>
      <c r="C7" s="22"/>
      <c r="D7" s="22"/>
      <c r="E7" s="22"/>
      <c r="F7" s="22"/>
      <c r="G7" s="22"/>
      <c r="H7" s="22"/>
      <c r="I7" s="22"/>
      <c r="J7" s="23" t="str">
        <f t="shared" si="0"/>
        <v/>
      </c>
      <c r="K7" s="23" t="str">
        <f t="shared" si="1"/>
        <v/>
      </c>
      <c r="L7" s="21"/>
      <c r="M7" s="21"/>
      <c r="N7" s="12" t="str">
        <f t="shared" si="2"/>
        <v/>
      </c>
      <c r="O7" s="12" t="str">
        <f>IF(N7="","",COUNTIF('Match Log'!$J$3:$J$501,"&lt;"&amp;N7)+COUNTIF($N$4:$N$203,"&lt;"&amp;N7)+COUNTIF('Guest Log'!$K$4:$K$203,"&lt;"&amp;N7)+1)</f>
        <v/>
      </c>
    </row>
    <row r="8" spans="1:15" ht="15" customHeight="1" x14ac:dyDescent="0.2">
      <c r="A8" s="18"/>
      <c r="B8" s="17"/>
      <c r="C8" s="18"/>
      <c r="D8" s="18"/>
      <c r="E8" s="18"/>
      <c r="F8" s="18"/>
      <c r="G8" s="18"/>
      <c r="H8" s="18"/>
      <c r="I8" s="18"/>
      <c r="J8" s="19" t="str">
        <f t="shared" si="0"/>
        <v/>
      </c>
      <c r="K8" s="19" t="str">
        <f t="shared" si="1"/>
        <v/>
      </c>
      <c r="L8" s="17"/>
      <c r="M8" s="17"/>
      <c r="N8" s="12" t="str">
        <f t="shared" si="2"/>
        <v/>
      </c>
      <c r="O8" s="12" t="str">
        <f>IF(N8="","",COUNTIF('Match Log'!$J$3:$J$501,"&lt;"&amp;N8)+COUNTIF($N$4:$N$203,"&lt;"&amp;N8)+COUNTIF('Guest Log'!$K$4:$K$203,"&lt;"&amp;N8)+1)</f>
        <v/>
      </c>
    </row>
    <row r="9" spans="1:15" ht="15" customHeight="1" x14ac:dyDescent="0.2">
      <c r="A9" s="22"/>
      <c r="B9" s="21"/>
      <c r="C9" s="22"/>
      <c r="D9" s="22"/>
      <c r="E9" s="22"/>
      <c r="F9" s="22"/>
      <c r="G9" s="22"/>
      <c r="H9" s="22"/>
      <c r="I9" s="22"/>
      <c r="J9" s="23" t="str">
        <f t="shared" si="0"/>
        <v/>
      </c>
      <c r="K9" s="23" t="str">
        <f t="shared" si="1"/>
        <v/>
      </c>
      <c r="L9" s="21"/>
      <c r="M9" s="21"/>
      <c r="N9" s="12" t="str">
        <f t="shared" si="2"/>
        <v/>
      </c>
      <c r="O9" s="12" t="str">
        <f>IF(N9="","",COUNTIF('Match Log'!$J$3:$J$501,"&lt;"&amp;N9)+COUNTIF($N$4:$N$203,"&lt;"&amp;N9)+COUNTIF('Guest Log'!$K$4:$K$203,"&lt;"&amp;N9)+1)</f>
        <v/>
      </c>
    </row>
    <row r="10" spans="1:15" ht="15" customHeight="1" x14ac:dyDescent="0.2">
      <c r="A10" s="18"/>
      <c r="B10" s="17"/>
      <c r="C10" s="18"/>
      <c r="D10" s="18"/>
      <c r="E10" s="18"/>
      <c r="F10" s="18"/>
      <c r="G10" s="18"/>
      <c r="H10" s="18"/>
      <c r="I10" s="18"/>
      <c r="J10" s="19" t="str">
        <f t="shared" si="0"/>
        <v/>
      </c>
      <c r="K10" s="19" t="str">
        <f t="shared" si="1"/>
        <v/>
      </c>
      <c r="L10" s="17"/>
      <c r="M10" s="17"/>
      <c r="N10" s="12" t="str">
        <f t="shared" si="2"/>
        <v/>
      </c>
      <c r="O10" s="12" t="str">
        <f>IF(N10="","",COUNTIF('Match Log'!$J$3:$J$501,"&lt;"&amp;N10)+COUNTIF($N$4:$N$203,"&lt;"&amp;N10)+COUNTIF('Guest Log'!$K$4:$K$203,"&lt;"&amp;N10)+1)</f>
        <v/>
      </c>
    </row>
    <row r="11" spans="1:15" ht="15" customHeight="1" x14ac:dyDescent="0.2">
      <c r="A11" s="22"/>
      <c r="B11" s="21"/>
      <c r="C11" s="22"/>
      <c r="D11" s="22"/>
      <c r="E11" s="22"/>
      <c r="F11" s="22"/>
      <c r="G11" s="22"/>
      <c r="H11" s="22"/>
      <c r="I11" s="22"/>
      <c r="J11" s="23" t="str">
        <f t="shared" si="0"/>
        <v/>
      </c>
      <c r="K11" s="23" t="str">
        <f t="shared" si="1"/>
        <v/>
      </c>
      <c r="L11" s="21"/>
      <c r="M11" s="21"/>
      <c r="N11" s="12" t="str">
        <f t="shared" si="2"/>
        <v/>
      </c>
      <c r="O11" s="12" t="str">
        <f>IF(N11="","",COUNTIF('Match Log'!$J$3:$J$501,"&lt;"&amp;N11)+COUNTIF($N$4:$N$203,"&lt;"&amp;N11)+COUNTIF('Guest Log'!$K$4:$K$203,"&lt;"&amp;N11)+1)</f>
        <v/>
      </c>
    </row>
    <row r="12" spans="1:15" ht="15" customHeight="1" x14ac:dyDescent="0.2">
      <c r="A12" s="18"/>
      <c r="B12" s="17"/>
      <c r="C12" s="18"/>
      <c r="D12" s="18"/>
      <c r="E12" s="18"/>
      <c r="F12" s="18"/>
      <c r="G12" s="18"/>
      <c r="H12" s="18"/>
      <c r="I12" s="18"/>
      <c r="J12" s="19" t="str">
        <f t="shared" si="0"/>
        <v/>
      </c>
      <c r="K12" s="19" t="str">
        <f t="shared" si="1"/>
        <v/>
      </c>
      <c r="L12" s="17"/>
      <c r="M12" s="17"/>
      <c r="N12" s="12" t="str">
        <f t="shared" si="2"/>
        <v/>
      </c>
      <c r="O12" s="12" t="str">
        <f>IF(N12="","",COUNTIF('Match Log'!$J$3:$J$501,"&lt;"&amp;N12)+COUNTIF($N$4:$N$203,"&lt;"&amp;N12)+COUNTIF('Guest Log'!$K$4:$K$203,"&lt;"&amp;N12)+1)</f>
        <v/>
      </c>
    </row>
    <row r="13" spans="1:15" ht="15" customHeight="1" x14ac:dyDescent="0.2">
      <c r="A13" s="22"/>
      <c r="B13" s="21"/>
      <c r="C13" s="22"/>
      <c r="D13" s="22"/>
      <c r="E13" s="22"/>
      <c r="F13" s="22"/>
      <c r="G13" s="22"/>
      <c r="H13" s="22"/>
      <c r="I13" s="22"/>
      <c r="J13" s="23" t="str">
        <f t="shared" si="0"/>
        <v/>
      </c>
      <c r="K13" s="23" t="str">
        <f t="shared" si="1"/>
        <v/>
      </c>
      <c r="L13" s="21"/>
      <c r="M13" s="21"/>
      <c r="N13" s="12" t="str">
        <f t="shared" si="2"/>
        <v/>
      </c>
      <c r="O13" s="12" t="str">
        <f>IF(N13="","",COUNTIF('Match Log'!$J$3:$J$501,"&lt;"&amp;N13)+COUNTIF($N$4:$N$203,"&lt;"&amp;N13)+COUNTIF('Guest Log'!$K$4:$K$203,"&lt;"&amp;N13)+1)</f>
        <v/>
      </c>
    </row>
    <row r="14" spans="1:15" ht="15" customHeight="1" x14ac:dyDescent="0.2">
      <c r="A14" s="18"/>
      <c r="B14" s="17"/>
      <c r="C14" s="18"/>
      <c r="D14" s="18"/>
      <c r="E14" s="18"/>
      <c r="F14" s="18"/>
      <c r="G14" s="18"/>
      <c r="H14" s="18"/>
      <c r="I14" s="18"/>
      <c r="J14" s="19" t="str">
        <f t="shared" si="0"/>
        <v/>
      </c>
      <c r="K14" s="19" t="str">
        <f t="shared" si="1"/>
        <v/>
      </c>
      <c r="L14" s="17"/>
      <c r="M14" s="17"/>
      <c r="N14" s="12" t="str">
        <f t="shared" si="2"/>
        <v/>
      </c>
      <c r="O14" s="12" t="str">
        <f>IF(N14="","",COUNTIF('Match Log'!$J$3:$J$501,"&lt;"&amp;N14)+COUNTIF($N$4:$N$203,"&lt;"&amp;N14)+COUNTIF('Guest Log'!$K$4:$K$203,"&lt;"&amp;N14)+1)</f>
        <v/>
      </c>
    </row>
    <row r="15" spans="1:15" ht="15" customHeight="1" x14ac:dyDescent="0.2">
      <c r="A15" s="22"/>
      <c r="B15" s="21"/>
      <c r="C15" s="22"/>
      <c r="D15" s="22"/>
      <c r="E15" s="22"/>
      <c r="F15" s="22"/>
      <c r="G15" s="22"/>
      <c r="H15" s="22"/>
      <c r="I15" s="22"/>
      <c r="J15" s="23" t="str">
        <f t="shared" si="0"/>
        <v/>
      </c>
      <c r="K15" s="23" t="str">
        <f t="shared" si="1"/>
        <v/>
      </c>
      <c r="L15" s="21"/>
      <c r="M15" s="21"/>
      <c r="N15" s="12" t="str">
        <f t="shared" si="2"/>
        <v/>
      </c>
      <c r="O15" s="12" t="str">
        <f>IF(N15="","",COUNTIF('Match Log'!$J$3:$J$501,"&lt;"&amp;N15)+COUNTIF($N$4:$N$203,"&lt;"&amp;N15)+COUNTIF('Guest Log'!$K$4:$K$203,"&lt;"&amp;N15)+1)</f>
        <v/>
      </c>
    </row>
    <row r="16" spans="1:15" ht="15" customHeight="1" x14ac:dyDescent="0.2">
      <c r="A16" s="18"/>
      <c r="B16" s="17"/>
      <c r="C16" s="18"/>
      <c r="D16" s="18"/>
      <c r="E16" s="18"/>
      <c r="F16" s="18"/>
      <c r="G16" s="18"/>
      <c r="H16" s="18"/>
      <c r="I16" s="18"/>
      <c r="J16" s="19" t="str">
        <f t="shared" si="0"/>
        <v/>
      </c>
      <c r="K16" s="19" t="str">
        <f t="shared" si="1"/>
        <v/>
      </c>
      <c r="L16" s="17"/>
      <c r="M16" s="17"/>
      <c r="N16" s="12" t="str">
        <f t="shared" si="2"/>
        <v/>
      </c>
      <c r="O16" s="12" t="str">
        <f>IF(N16="","",COUNTIF('Match Log'!$J$3:$J$501,"&lt;"&amp;N16)+COUNTIF($N$4:$N$203,"&lt;"&amp;N16)+COUNTIF('Guest Log'!$K$4:$K$203,"&lt;"&amp;N16)+1)</f>
        <v/>
      </c>
    </row>
    <row r="17" spans="1:15" ht="15" customHeight="1" x14ac:dyDescent="0.2">
      <c r="A17" s="22"/>
      <c r="B17" s="21"/>
      <c r="C17" s="22"/>
      <c r="D17" s="22"/>
      <c r="E17" s="22"/>
      <c r="F17" s="22"/>
      <c r="G17" s="22"/>
      <c r="H17" s="22"/>
      <c r="I17" s="22"/>
      <c r="J17" s="23" t="str">
        <f t="shared" si="0"/>
        <v/>
      </c>
      <c r="K17" s="23" t="str">
        <f t="shared" si="1"/>
        <v/>
      </c>
      <c r="L17" s="21"/>
      <c r="M17" s="21"/>
      <c r="N17" s="12" t="str">
        <f t="shared" si="2"/>
        <v/>
      </c>
      <c r="O17" s="12" t="str">
        <f>IF(N17="","",COUNTIF('Match Log'!$J$3:$J$501,"&lt;"&amp;N17)+COUNTIF($N$4:$N$203,"&lt;"&amp;N17)+COUNTIF('Guest Log'!$K$4:$K$203,"&lt;"&amp;N17)+1)</f>
        <v/>
      </c>
    </row>
    <row r="18" spans="1:15" ht="15" customHeight="1" x14ac:dyDescent="0.2">
      <c r="A18" s="18"/>
      <c r="B18" s="17"/>
      <c r="C18" s="18"/>
      <c r="D18" s="18"/>
      <c r="E18" s="18"/>
      <c r="F18" s="18"/>
      <c r="G18" s="18"/>
      <c r="H18" s="18"/>
      <c r="I18" s="18"/>
      <c r="J18" s="19" t="str">
        <f t="shared" si="0"/>
        <v/>
      </c>
      <c r="K18" s="19" t="str">
        <f t="shared" si="1"/>
        <v/>
      </c>
      <c r="L18" s="17"/>
      <c r="M18" s="17"/>
      <c r="N18" s="12" t="str">
        <f t="shared" si="2"/>
        <v/>
      </c>
      <c r="O18" s="12" t="str">
        <f>IF(N18="","",COUNTIF('Match Log'!$J$3:$J$501,"&lt;"&amp;N18)+COUNTIF($N$4:$N$203,"&lt;"&amp;N18)+COUNTIF('Guest Log'!$K$4:$K$203,"&lt;"&amp;N18)+1)</f>
        <v/>
      </c>
    </row>
    <row r="19" spans="1:15" ht="15" customHeight="1" x14ac:dyDescent="0.2">
      <c r="A19" s="22"/>
      <c r="B19" s="21"/>
      <c r="C19" s="22"/>
      <c r="D19" s="22"/>
      <c r="E19" s="22"/>
      <c r="F19" s="22"/>
      <c r="G19" s="22"/>
      <c r="H19" s="22"/>
      <c r="I19" s="22"/>
      <c r="J19" s="23" t="str">
        <f t="shared" si="0"/>
        <v/>
      </c>
      <c r="K19" s="23" t="str">
        <f t="shared" si="1"/>
        <v/>
      </c>
      <c r="L19" s="21"/>
      <c r="M19" s="21"/>
      <c r="N19" s="12" t="str">
        <f t="shared" si="2"/>
        <v/>
      </c>
      <c r="O19" s="12" t="str">
        <f>IF(N19="","",COUNTIF('Match Log'!$J$3:$J$501,"&lt;"&amp;N19)+COUNTIF($N$4:$N$203,"&lt;"&amp;N19)+COUNTIF('Guest Log'!$K$4:$K$203,"&lt;"&amp;N19)+1)</f>
        <v/>
      </c>
    </row>
    <row r="20" spans="1:15" ht="15" customHeight="1" x14ac:dyDescent="0.2">
      <c r="A20" s="18"/>
      <c r="B20" s="17"/>
      <c r="C20" s="18"/>
      <c r="D20" s="18"/>
      <c r="E20" s="18"/>
      <c r="F20" s="18"/>
      <c r="G20" s="18"/>
      <c r="H20" s="18"/>
      <c r="I20" s="18"/>
      <c r="J20" s="19" t="str">
        <f t="shared" si="0"/>
        <v/>
      </c>
      <c r="K20" s="19" t="str">
        <f t="shared" si="1"/>
        <v/>
      </c>
      <c r="L20" s="17"/>
      <c r="M20" s="17"/>
      <c r="N20" s="12" t="str">
        <f t="shared" si="2"/>
        <v/>
      </c>
      <c r="O20" s="12" t="str">
        <f>IF(N20="","",COUNTIF('Match Log'!$J$3:$J$501,"&lt;"&amp;N20)+COUNTIF($N$4:$N$203,"&lt;"&amp;N20)+COUNTIF('Guest Log'!$K$4:$K$203,"&lt;"&amp;N20)+1)</f>
        <v/>
      </c>
    </row>
    <row r="21" spans="1:15" ht="15" customHeight="1" x14ac:dyDescent="0.2">
      <c r="A21" s="22"/>
      <c r="B21" s="21"/>
      <c r="C21" s="22"/>
      <c r="D21" s="22"/>
      <c r="E21" s="22"/>
      <c r="F21" s="22"/>
      <c r="G21" s="22"/>
      <c r="H21" s="22"/>
      <c r="I21" s="22"/>
      <c r="J21" s="23" t="str">
        <f t="shared" si="0"/>
        <v/>
      </c>
      <c r="K21" s="23" t="str">
        <f t="shared" si="1"/>
        <v/>
      </c>
      <c r="L21" s="21"/>
      <c r="M21" s="21"/>
      <c r="N21" s="12" t="str">
        <f t="shared" si="2"/>
        <v/>
      </c>
      <c r="O21" s="12" t="str">
        <f>IF(N21="","",COUNTIF('Match Log'!$J$3:$J$501,"&lt;"&amp;N21)+COUNTIF($N$4:$N$203,"&lt;"&amp;N21)+COUNTIF('Guest Log'!$K$4:$K$203,"&lt;"&amp;N21)+1)</f>
        <v/>
      </c>
    </row>
    <row r="22" spans="1:15" ht="15" customHeight="1" x14ac:dyDescent="0.2">
      <c r="A22" s="18"/>
      <c r="B22" s="17"/>
      <c r="C22" s="18"/>
      <c r="D22" s="18"/>
      <c r="E22" s="18"/>
      <c r="F22" s="18"/>
      <c r="G22" s="18"/>
      <c r="H22" s="18"/>
      <c r="I22" s="18"/>
      <c r="J22" s="19" t="str">
        <f t="shared" si="0"/>
        <v/>
      </c>
      <c r="K22" s="19" t="str">
        <f t="shared" si="1"/>
        <v/>
      </c>
      <c r="L22" s="17"/>
      <c r="M22" s="17"/>
      <c r="N22" s="12" t="str">
        <f t="shared" si="2"/>
        <v/>
      </c>
      <c r="O22" s="12" t="str">
        <f>IF(N22="","",COUNTIF('Match Log'!$J$3:$J$501,"&lt;"&amp;N22)+COUNTIF($N$4:$N$203,"&lt;"&amp;N22)+COUNTIF('Guest Log'!$K$4:$K$203,"&lt;"&amp;N22)+1)</f>
        <v/>
      </c>
    </row>
    <row r="23" spans="1:15" ht="15" customHeight="1" x14ac:dyDescent="0.2">
      <c r="A23" s="22"/>
      <c r="B23" s="21"/>
      <c r="C23" s="22"/>
      <c r="D23" s="22"/>
      <c r="E23" s="22"/>
      <c r="F23" s="22"/>
      <c r="G23" s="22"/>
      <c r="H23" s="22"/>
      <c r="I23" s="22"/>
      <c r="J23" s="23" t="str">
        <f t="shared" si="0"/>
        <v/>
      </c>
      <c r="K23" s="23" t="str">
        <f t="shared" si="1"/>
        <v/>
      </c>
      <c r="L23" s="21"/>
      <c r="M23" s="21"/>
      <c r="N23" s="12" t="str">
        <f t="shared" si="2"/>
        <v/>
      </c>
      <c r="O23" s="12" t="str">
        <f>IF(N23="","",COUNTIF('Match Log'!$J$3:$J$501,"&lt;"&amp;N23)+COUNTIF($N$4:$N$203,"&lt;"&amp;N23)+COUNTIF('Guest Log'!$K$4:$K$203,"&lt;"&amp;N23)+1)</f>
        <v/>
      </c>
    </row>
    <row r="24" spans="1:15" ht="15" customHeight="1" x14ac:dyDescent="0.2">
      <c r="A24" s="18"/>
      <c r="B24" s="17"/>
      <c r="C24" s="18"/>
      <c r="D24" s="18"/>
      <c r="E24" s="18"/>
      <c r="F24" s="18"/>
      <c r="G24" s="18"/>
      <c r="H24" s="18"/>
      <c r="I24" s="18"/>
      <c r="J24" s="19" t="str">
        <f t="shared" si="0"/>
        <v/>
      </c>
      <c r="K24" s="19" t="str">
        <f t="shared" si="1"/>
        <v/>
      </c>
      <c r="L24" s="17"/>
      <c r="M24" s="17"/>
      <c r="N24" s="12" t="str">
        <f t="shared" si="2"/>
        <v/>
      </c>
      <c r="O24" s="12" t="str">
        <f>IF(N24="","",COUNTIF('Match Log'!$J$3:$J$501,"&lt;"&amp;N24)+COUNTIF($N$4:$N$203,"&lt;"&amp;N24)+COUNTIF('Guest Log'!$K$4:$K$203,"&lt;"&amp;N24)+1)</f>
        <v/>
      </c>
    </row>
    <row r="25" spans="1:15" ht="15" customHeight="1" x14ac:dyDescent="0.2">
      <c r="A25" s="22"/>
      <c r="B25" s="21"/>
      <c r="C25" s="22"/>
      <c r="D25" s="22"/>
      <c r="E25" s="22"/>
      <c r="F25" s="22"/>
      <c r="G25" s="22"/>
      <c r="H25" s="22"/>
      <c r="I25" s="22"/>
      <c r="J25" s="23" t="str">
        <f t="shared" si="0"/>
        <v/>
      </c>
      <c r="K25" s="23" t="str">
        <f t="shared" si="1"/>
        <v/>
      </c>
      <c r="L25" s="21"/>
      <c r="M25" s="21"/>
      <c r="N25" s="12" t="str">
        <f t="shared" si="2"/>
        <v/>
      </c>
      <c r="O25" s="12" t="str">
        <f>IF(N25="","",COUNTIF('Match Log'!$J$3:$J$501,"&lt;"&amp;N25)+COUNTIF($N$4:$N$203,"&lt;"&amp;N25)+COUNTIF('Guest Log'!$K$4:$K$203,"&lt;"&amp;N25)+1)</f>
        <v/>
      </c>
    </row>
    <row r="26" spans="1:15" ht="15" customHeight="1" x14ac:dyDescent="0.2">
      <c r="A26" s="18"/>
      <c r="B26" s="17"/>
      <c r="C26" s="18"/>
      <c r="D26" s="18"/>
      <c r="E26" s="18"/>
      <c r="F26" s="18"/>
      <c r="G26" s="18"/>
      <c r="H26" s="18"/>
      <c r="I26" s="18"/>
      <c r="J26" s="19" t="str">
        <f t="shared" si="0"/>
        <v/>
      </c>
      <c r="K26" s="19" t="str">
        <f t="shared" si="1"/>
        <v/>
      </c>
      <c r="L26" s="17"/>
      <c r="M26" s="17"/>
      <c r="N26" s="12" t="str">
        <f t="shared" si="2"/>
        <v/>
      </c>
      <c r="O26" s="12" t="str">
        <f>IF(N26="","",COUNTIF('Match Log'!$J$3:$J$501,"&lt;"&amp;N26)+COUNTIF($N$4:$N$203,"&lt;"&amp;N26)+COUNTIF('Guest Log'!$K$4:$K$203,"&lt;"&amp;N26)+1)</f>
        <v/>
      </c>
    </row>
    <row r="27" spans="1:15" ht="15" customHeight="1" x14ac:dyDescent="0.2">
      <c r="A27" s="22"/>
      <c r="B27" s="21"/>
      <c r="C27" s="22"/>
      <c r="D27" s="22"/>
      <c r="E27" s="22"/>
      <c r="F27" s="22"/>
      <c r="G27" s="22"/>
      <c r="H27" s="22"/>
      <c r="I27" s="22"/>
      <c r="J27" s="23" t="str">
        <f t="shared" si="0"/>
        <v/>
      </c>
      <c r="K27" s="23" t="str">
        <f t="shared" si="1"/>
        <v/>
      </c>
      <c r="L27" s="21"/>
      <c r="M27" s="21"/>
      <c r="N27" s="12" t="str">
        <f t="shared" si="2"/>
        <v/>
      </c>
      <c r="O27" s="12" t="str">
        <f>IF(N27="","",COUNTIF('Match Log'!$J$3:$J$501,"&lt;"&amp;N27)+COUNTIF($N$4:$N$203,"&lt;"&amp;N27)+COUNTIF('Guest Log'!$K$4:$K$203,"&lt;"&amp;N27)+1)</f>
        <v/>
      </c>
    </row>
    <row r="28" spans="1:15" ht="15" customHeight="1" x14ac:dyDescent="0.2">
      <c r="A28" s="18"/>
      <c r="B28" s="17"/>
      <c r="C28" s="18"/>
      <c r="D28" s="18"/>
      <c r="E28" s="18"/>
      <c r="F28" s="18"/>
      <c r="G28" s="18"/>
      <c r="H28" s="18"/>
      <c r="I28" s="18"/>
      <c r="J28" s="19" t="str">
        <f t="shared" si="0"/>
        <v/>
      </c>
      <c r="K28" s="19" t="str">
        <f t="shared" si="1"/>
        <v/>
      </c>
      <c r="L28" s="17"/>
      <c r="M28" s="17"/>
      <c r="N28" s="12" t="str">
        <f t="shared" si="2"/>
        <v/>
      </c>
      <c r="O28" s="12" t="str">
        <f>IF(N28="","",COUNTIF('Match Log'!$J$3:$J$501,"&lt;"&amp;N28)+COUNTIF($N$4:$N$203,"&lt;"&amp;N28)+COUNTIF('Guest Log'!$K$4:$K$203,"&lt;"&amp;N28)+1)</f>
        <v/>
      </c>
    </row>
    <row r="29" spans="1:15" ht="15" customHeight="1" x14ac:dyDescent="0.2">
      <c r="A29" s="22"/>
      <c r="B29" s="21"/>
      <c r="C29" s="22"/>
      <c r="D29" s="22"/>
      <c r="E29" s="22"/>
      <c r="F29" s="22"/>
      <c r="G29" s="22"/>
      <c r="H29" s="22"/>
      <c r="I29" s="22"/>
      <c r="J29" s="23" t="str">
        <f t="shared" si="0"/>
        <v/>
      </c>
      <c r="K29" s="23" t="str">
        <f t="shared" si="1"/>
        <v/>
      </c>
      <c r="L29" s="21"/>
      <c r="M29" s="21"/>
      <c r="N29" s="12" t="str">
        <f t="shared" si="2"/>
        <v/>
      </c>
      <c r="O29" s="12" t="str">
        <f>IF(N29="","",COUNTIF('Match Log'!$J$3:$J$501,"&lt;"&amp;N29)+COUNTIF($N$4:$N$203,"&lt;"&amp;N29)+COUNTIF('Guest Log'!$K$4:$K$203,"&lt;"&amp;N29)+1)</f>
        <v/>
      </c>
    </row>
    <row r="30" spans="1:15" ht="15" customHeight="1" x14ac:dyDescent="0.2">
      <c r="A30" s="18"/>
      <c r="B30" s="17"/>
      <c r="C30" s="18"/>
      <c r="D30" s="18"/>
      <c r="E30" s="18"/>
      <c r="F30" s="18"/>
      <c r="G30" s="18"/>
      <c r="H30" s="18"/>
      <c r="I30" s="18"/>
      <c r="J30" s="19" t="str">
        <f t="shared" si="0"/>
        <v/>
      </c>
      <c r="K30" s="19" t="str">
        <f t="shared" si="1"/>
        <v/>
      </c>
      <c r="L30" s="17"/>
      <c r="M30" s="17"/>
      <c r="N30" s="12" t="str">
        <f t="shared" si="2"/>
        <v/>
      </c>
      <c r="O30" s="12" t="str">
        <f>IF(N30="","",COUNTIF('Match Log'!$J$3:$J$501,"&lt;"&amp;N30)+COUNTIF($N$4:$N$203,"&lt;"&amp;N30)+COUNTIF('Guest Log'!$K$4:$K$203,"&lt;"&amp;N30)+1)</f>
        <v/>
      </c>
    </row>
    <row r="31" spans="1:15" ht="15" customHeight="1" x14ac:dyDescent="0.2">
      <c r="A31" s="22"/>
      <c r="B31" s="21"/>
      <c r="C31" s="22"/>
      <c r="D31" s="22"/>
      <c r="E31" s="22"/>
      <c r="F31" s="22"/>
      <c r="G31" s="22"/>
      <c r="H31" s="22"/>
      <c r="I31" s="22"/>
      <c r="J31" s="23" t="str">
        <f t="shared" si="0"/>
        <v/>
      </c>
      <c r="K31" s="23" t="str">
        <f t="shared" si="1"/>
        <v/>
      </c>
      <c r="L31" s="21"/>
      <c r="M31" s="21"/>
      <c r="N31" s="12" t="str">
        <f t="shared" si="2"/>
        <v/>
      </c>
      <c r="O31" s="12" t="str">
        <f>IF(N31="","",COUNTIF('Match Log'!$J$3:$J$501,"&lt;"&amp;N31)+COUNTIF($N$4:$N$203,"&lt;"&amp;N31)+COUNTIF('Guest Log'!$K$4:$K$203,"&lt;"&amp;N31)+1)</f>
        <v/>
      </c>
    </row>
    <row r="32" spans="1:15" ht="15" customHeight="1" x14ac:dyDescent="0.2">
      <c r="A32" s="18"/>
      <c r="B32" s="17"/>
      <c r="C32" s="18"/>
      <c r="D32" s="18"/>
      <c r="E32" s="18"/>
      <c r="F32" s="18"/>
      <c r="G32" s="18"/>
      <c r="H32" s="18"/>
      <c r="I32" s="18"/>
      <c r="J32" s="19" t="str">
        <f t="shared" si="0"/>
        <v/>
      </c>
      <c r="K32" s="19" t="str">
        <f t="shared" si="1"/>
        <v/>
      </c>
      <c r="L32" s="17"/>
      <c r="M32" s="17"/>
      <c r="N32" s="12" t="str">
        <f t="shared" si="2"/>
        <v/>
      </c>
      <c r="O32" s="12" t="str">
        <f>IF(N32="","",COUNTIF('Match Log'!$J$3:$J$501,"&lt;"&amp;N32)+COUNTIF($N$4:$N$203,"&lt;"&amp;N32)+COUNTIF('Guest Log'!$K$4:$K$203,"&lt;"&amp;N32)+1)</f>
        <v/>
      </c>
    </row>
    <row r="33" spans="1:15" ht="15" customHeight="1" x14ac:dyDescent="0.2">
      <c r="A33" s="22"/>
      <c r="B33" s="21"/>
      <c r="C33" s="22"/>
      <c r="D33" s="22"/>
      <c r="E33" s="22"/>
      <c r="F33" s="22"/>
      <c r="G33" s="22"/>
      <c r="H33" s="22"/>
      <c r="I33" s="22"/>
      <c r="J33" s="23" t="str">
        <f t="shared" si="0"/>
        <v/>
      </c>
      <c r="K33" s="23" t="str">
        <f t="shared" si="1"/>
        <v/>
      </c>
      <c r="L33" s="21"/>
      <c r="M33" s="21"/>
      <c r="N33" s="12" t="str">
        <f t="shared" si="2"/>
        <v/>
      </c>
      <c r="O33" s="12" t="str">
        <f>IF(N33="","",COUNTIF('Match Log'!$J$3:$J$501,"&lt;"&amp;N33)+COUNTIF($N$4:$N$203,"&lt;"&amp;N33)+COUNTIF('Guest Log'!$K$4:$K$203,"&lt;"&amp;N33)+1)</f>
        <v/>
      </c>
    </row>
    <row r="34" spans="1:15" ht="15" customHeight="1" x14ac:dyDescent="0.2">
      <c r="A34" s="18"/>
      <c r="B34" s="17"/>
      <c r="C34" s="18"/>
      <c r="D34" s="18"/>
      <c r="E34" s="18"/>
      <c r="F34" s="18"/>
      <c r="G34" s="18"/>
      <c r="H34" s="18"/>
      <c r="I34" s="18"/>
      <c r="J34" s="19" t="str">
        <f t="shared" si="0"/>
        <v/>
      </c>
      <c r="K34" s="19" t="str">
        <f t="shared" si="1"/>
        <v/>
      </c>
      <c r="L34" s="17"/>
      <c r="M34" s="17"/>
      <c r="N34" s="12" t="str">
        <f t="shared" si="2"/>
        <v/>
      </c>
      <c r="O34" s="12" t="str">
        <f>IF(N34="","",COUNTIF('Match Log'!$J$3:$J$501,"&lt;"&amp;N34)+COUNTIF($N$4:$N$203,"&lt;"&amp;N34)+COUNTIF('Guest Log'!$K$4:$K$203,"&lt;"&amp;N34)+1)</f>
        <v/>
      </c>
    </row>
    <row r="35" spans="1:15" ht="15" customHeight="1" x14ac:dyDescent="0.2">
      <c r="A35" s="22"/>
      <c r="B35" s="21"/>
      <c r="C35" s="22"/>
      <c r="D35" s="22"/>
      <c r="E35" s="22"/>
      <c r="F35" s="22"/>
      <c r="G35" s="22"/>
      <c r="H35" s="22"/>
      <c r="I35" s="22"/>
      <c r="J35" s="23" t="str">
        <f t="shared" si="0"/>
        <v/>
      </c>
      <c r="K35" s="23" t="str">
        <f t="shared" si="1"/>
        <v/>
      </c>
      <c r="L35" s="21"/>
      <c r="M35" s="21"/>
      <c r="N35" s="12" t="str">
        <f t="shared" si="2"/>
        <v/>
      </c>
      <c r="O35" s="12" t="str">
        <f>IF(N35="","",COUNTIF('Match Log'!$J$3:$J$501,"&lt;"&amp;N35)+COUNTIF($N$4:$N$203,"&lt;"&amp;N35)+COUNTIF('Guest Log'!$K$4:$K$203,"&lt;"&amp;N35)+1)</f>
        <v/>
      </c>
    </row>
    <row r="36" spans="1:15" ht="15" customHeight="1" x14ac:dyDescent="0.2">
      <c r="A36" s="18"/>
      <c r="B36" s="17"/>
      <c r="C36" s="18"/>
      <c r="D36" s="18"/>
      <c r="E36" s="18"/>
      <c r="F36" s="18"/>
      <c r="G36" s="18"/>
      <c r="H36" s="18"/>
      <c r="I36" s="18"/>
      <c r="J36" s="19" t="str">
        <f t="shared" ref="J36:J67" si="3">IF(C36="","",IF(I36="","",ROUND(800+I36*400,0)))</f>
        <v/>
      </c>
      <c r="K36" s="19" t="str">
        <f t="shared" ref="K36:K67" si="4">IF(C36="","",IF(D36=0,"",ROUND((E36+0.5*F36)/D36,4)))</f>
        <v/>
      </c>
      <c r="L36" s="17"/>
      <c r="M36" s="17"/>
      <c r="N36" s="12" t="str">
        <f t="shared" ref="N36:N67" si="5">IF(A36="","",A36+0.0005+ROW()/10000000)</f>
        <v/>
      </c>
      <c r="O36" s="12" t="str">
        <f>IF(N36="","",COUNTIF('Match Log'!$J$3:$J$501,"&lt;"&amp;N36)+COUNTIF($N$4:$N$203,"&lt;"&amp;N36)+COUNTIF('Guest Log'!$K$4:$K$203,"&lt;"&amp;N36)+1)</f>
        <v/>
      </c>
    </row>
    <row r="37" spans="1:15" ht="15" customHeight="1" x14ac:dyDescent="0.2">
      <c r="A37" s="22"/>
      <c r="B37" s="21"/>
      <c r="C37" s="22"/>
      <c r="D37" s="22"/>
      <c r="E37" s="22"/>
      <c r="F37" s="22"/>
      <c r="G37" s="22"/>
      <c r="H37" s="22"/>
      <c r="I37" s="22"/>
      <c r="J37" s="23" t="str">
        <f t="shared" si="3"/>
        <v/>
      </c>
      <c r="K37" s="23" t="str">
        <f t="shared" si="4"/>
        <v/>
      </c>
      <c r="L37" s="21"/>
      <c r="M37" s="21"/>
      <c r="N37" s="12" t="str">
        <f t="shared" si="5"/>
        <v/>
      </c>
      <c r="O37" s="12" t="str">
        <f>IF(N37="","",COUNTIF('Match Log'!$J$3:$J$501,"&lt;"&amp;N37)+COUNTIF($N$4:$N$203,"&lt;"&amp;N37)+COUNTIF('Guest Log'!$K$4:$K$203,"&lt;"&amp;N37)+1)</f>
        <v/>
      </c>
    </row>
    <row r="38" spans="1:15" ht="15" customHeight="1" x14ac:dyDescent="0.2">
      <c r="A38" s="18"/>
      <c r="B38" s="17"/>
      <c r="C38" s="18"/>
      <c r="D38" s="18"/>
      <c r="E38" s="18"/>
      <c r="F38" s="18"/>
      <c r="G38" s="18"/>
      <c r="H38" s="18"/>
      <c r="I38" s="18"/>
      <c r="J38" s="19" t="str">
        <f t="shared" si="3"/>
        <v/>
      </c>
      <c r="K38" s="19" t="str">
        <f t="shared" si="4"/>
        <v/>
      </c>
      <c r="L38" s="17"/>
      <c r="M38" s="17"/>
      <c r="N38" s="12" t="str">
        <f t="shared" si="5"/>
        <v/>
      </c>
      <c r="O38" s="12" t="str">
        <f>IF(N38="","",COUNTIF('Match Log'!$J$3:$J$501,"&lt;"&amp;N38)+COUNTIF($N$4:$N$203,"&lt;"&amp;N38)+COUNTIF('Guest Log'!$K$4:$K$203,"&lt;"&amp;N38)+1)</f>
        <v/>
      </c>
    </row>
    <row r="39" spans="1:15" ht="15" customHeight="1" x14ac:dyDescent="0.2">
      <c r="A39" s="22"/>
      <c r="B39" s="21"/>
      <c r="C39" s="22"/>
      <c r="D39" s="22"/>
      <c r="E39" s="22"/>
      <c r="F39" s="22"/>
      <c r="G39" s="22"/>
      <c r="H39" s="22"/>
      <c r="I39" s="22"/>
      <c r="J39" s="23" t="str">
        <f t="shared" si="3"/>
        <v/>
      </c>
      <c r="K39" s="23" t="str">
        <f t="shared" si="4"/>
        <v/>
      </c>
      <c r="L39" s="21"/>
      <c r="M39" s="21"/>
      <c r="N39" s="12" t="str">
        <f t="shared" si="5"/>
        <v/>
      </c>
      <c r="O39" s="12" t="str">
        <f>IF(N39="","",COUNTIF('Match Log'!$J$3:$J$501,"&lt;"&amp;N39)+COUNTIF($N$4:$N$203,"&lt;"&amp;N39)+COUNTIF('Guest Log'!$K$4:$K$203,"&lt;"&amp;N39)+1)</f>
        <v/>
      </c>
    </row>
    <row r="40" spans="1:15" ht="15" customHeight="1" x14ac:dyDescent="0.2">
      <c r="A40" s="18"/>
      <c r="B40" s="17"/>
      <c r="C40" s="18"/>
      <c r="D40" s="18"/>
      <c r="E40" s="18"/>
      <c r="F40" s="18"/>
      <c r="G40" s="18"/>
      <c r="H40" s="18"/>
      <c r="I40" s="18"/>
      <c r="J40" s="19" t="str">
        <f t="shared" si="3"/>
        <v/>
      </c>
      <c r="K40" s="19" t="str">
        <f t="shared" si="4"/>
        <v/>
      </c>
      <c r="L40" s="17"/>
      <c r="M40" s="17"/>
      <c r="N40" s="12" t="str">
        <f t="shared" si="5"/>
        <v/>
      </c>
      <c r="O40" s="12" t="str">
        <f>IF(N40="","",COUNTIF('Match Log'!$J$3:$J$501,"&lt;"&amp;N40)+COUNTIF($N$4:$N$203,"&lt;"&amp;N40)+COUNTIF('Guest Log'!$K$4:$K$203,"&lt;"&amp;N40)+1)</f>
        <v/>
      </c>
    </row>
    <row r="41" spans="1:15" ht="15" customHeight="1" x14ac:dyDescent="0.2">
      <c r="A41" s="22"/>
      <c r="B41" s="21"/>
      <c r="C41" s="22"/>
      <c r="D41" s="22"/>
      <c r="E41" s="22"/>
      <c r="F41" s="22"/>
      <c r="G41" s="22"/>
      <c r="H41" s="22"/>
      <c r="I41" s="22"/>
      <c r="J41" s="23" t="str">
        <f t="shared" si="3"/>
        <v/>
      </c>
      <c r="K41" s="23" t="str">
        <f t="shared" si="4"/>
        <v/>
      </c>
      <c r="L41" s="21"/>
      <c r="M41" s="21"/>
      <c r="N41" s="12" t="str">
        <f t="shared" si="5"/>
        <v/>
      </c>
      <c r="O41" s="12" t="str">
        <f>IF(N41="","",COUNTIF('Match Log'!$J$3:$J$501,"&lt;"&amp;N41)+COUNTIF($N$4:$N$203,"&lt;"&amp;N41)+COUNTIF('Guest Log'!$K$4:$K$203,"&lt;"&amp;N41)+1)</f>
        <v/>
      </c>
    </row>
    <row r="42" spans="1:15" ht="15" customHeight="1" x14ac:dyDescent="0.2">
      <c r="A42" s="18"/>
      <c r="B42" s="17"/>
      <c r="C42" s="18"/>
      <c r="D42" s="18"/>
      <c r="E42" s="18"/>
      <c r="F42" s="18"/>
      <c r="G42" s="18"/>
      <c r="H42" s="18"/>
      <c r="I42" s="18"/>
      <c r="J42" s="19" t="str">
        <f t="shared" si="3"/>
        <v/>
      </c>
      <c r="K42" s="19" t="str">
        <f t="shared" si="4"/>
        <v/>
      </c>
      <c r="L42" s="17"/>
      <c r="M42" s="17"/>
      <c r="N42" s="12" t="str">
        <f t="shared" si="5"/>
        <v/>
      </c>
      <c r="O42" s="12" t="str">
        <f>IF(N42="","",COUNTIF('Match Log'!$J$3:$J$501,"&lt;"&amp;N42)+COUNTIF($N$4:$N$203,"&lt;"&amp;N42)+COUNTIF('Guest Log'!$K$4:$K$203,"&lt;"&amp;N42)+1)</f>
        <v/>
      </c>
    </row>
    <row r="43" spans="1:15" ht="15" customHeight="1" x14ac:dyDescent="0.2">
      <c r="A43" s="22"/>
      <c r="B43" s="21"/>
      <c r="C43" s="22"/>
      <c r="D43" s="22"/>
      <c r="E43" s="22"/>
      <c r="F43" s="22"/>
      <c r="G43" s="22"/>
      <c r="H43" s="22"/>
      <c r="I43" s="22"/>
      <c r="J43" s="23" t="str">
        <f t="shared" si="3"/>
        <v/>
      </c>
      <c r="K43" s="23" t="str">
        <f t="shared" si="4"/>
        <v/>
      </c>
      <c r="L43" s="21"/>
      <c r="M43" s="21"/>
      <c r="N43" s="12" t="str">
        <f t="shared" si="5"/>
        <v/>
      </c>
      <c r="O43" s="12" t="str">
        <f>IF(N43="","",COUNTIF('Match Log'!$J$3:$J$501,"&lt;"&amp;N43)+COUNTIF($N$4:$N$203,"&lt;"&amp;N43)+COUNTIF('Guest Log'!$K$4:$K$203,"&lt;"&amp;N43)+1)</f>
        <v/>
      </c>
    </row>
    <row r="44" spans="1:15" ht="15" customHeight="1" x14ac:dyDescent="0.2">
      <c r="A44" s="18"/>
      <c r="B44" s="17"/>
      <c r="C44" s="18"/>
      <c r="D44" s="18"/>
      <c r="E44" s="18"/>
      <c r="F44" s="18"/>
      <c r="G44" s="18"/>
      <c r="H44" s="18"/>
      <c r="I44" s="18"/>
      <c r="J44" s="19" t="str">
        <f t="shared" si="3"/>
        <v/>
      </c>
      <c r="K44" s="19" t="str">
        <f t="shared" si="4"/>
        <v/>
      </c>
      <c r="L44" s="17"/>
      <c r="M44" s="17"/>
      <c r="N44" s="12" t="str">
        <f t="shared" si="5"/>
        <v/>
      </c>
      <c r="O44" s="12" t="str">
        <f>IF(N44="","",COUNTIF('Match Log'!$J$3:$J$501,"&lt;"&amp;N44)+COUNTIF($N$4:$N$203,"&lt;"&amp;N44)+COUNTIF('Guest Log'!$K$4:$K$203,"&lt;"&amp;N44)+1)</f>
        <v/>
      </c>
    </row>
    <row r="45" spans="1:15" ht="15" customHeight="1" x14ac:dyDescent="0.2">
      <c r="A45" s="22"/>
      <c r="B45" s="21"/>
      <c r="C45" s="22"/>
      <c r="D45" s="22"/>
      <c r="E45" s="22"/>
      <c r="F45" s="22"/>
      <c r="G45" s="22"/>
      <c r="H45" s="22"/>
      <c r="I45" s="22"/>
      <c r="J45" s="23" t="str">
        <f t="shared" si="3"/>
        <v/>
      </c>
      <c r="K45" s="23" t="str">
        <f t="shared" si="4"/>
        <v/>
      </c>
      <c r="L45" s="21"/>
      <c r="M45" s="21"/>
      <c r="N45" s="12" t="str">
        <f t="shared" si="5"/>
        <v/>
      </c>
      <c r="O45" s="12" t="str">
        <f>IF(N45="","",COUNTIF('Match Log'!$J$3:$J$501,"&lt;"&amp;N45)+COUNTIF($N$4:$N$203,"&lt;"&amp;N45)+COUNTIF('Guest Log'!$K$4:$K$203,"&lt;"&amp;N45)+1)</f>
        <v/>
      </c>
    </row>
    <row r="46" spans="1:15" ht="15" customHeight="1" x14ac:dyDescent="0.2">
      <c r="A46" s="18"/>
      <c r="B46" s="17"/>
      <c r="C46" s="18"/>
      <c r="D46" s="18"/>
      <c r="E46" s="18"/>
      <c r="F46" s="18"/>
      <c r="G46" s="18"/>
      <c r="H46" s="18"/>
      <c r="I46" s="18"/>
      <c r="J46" s="19" t="str">
        <f t="shared" si="3"/>
        <v/>
      </c>
      <c r="K46" s="19" t="str">
        <f t="shared" si="4"/>
        <v/>
      </c>
      <c r="L46" s="17"/>
      <c r="M46" s="17"/>
      <c r="N46" s="12" t="str">
        <f t="shared" si="5"/>
        <v/>
      </c>
      <c r="O46" s="12" t="str">
        <f>IF(N46="","",COUNTIF('Match Log'!$J$3:$J$501,"&lt;"&amp;N46)+COUNTIF($N$4:$N$203,"&lt;"&amp;N46)+COUNTIF('Guest Log'!$K$4:$K$203,"&lt;"&amp;N46)+1)</f>
        <v/>
      </c>
    </row>
    <row r="47" spans="1:15" ht="15" customHeight="1" x14ac:dyDescent="0.2">
      <c r="A47" s="22"/>
      <c r="B47" s="21"/>
      <c r="C47" s="22"/>
      <c r="D47" s="22"/>
      <c r="E47" s="22"/>
      <c r="F47" s="22"/>
      <c r="G47" s="22"/>
      <c r="H47" s="22"/>
      <c r="I47" s="22"/>
      <c r="J47" s="23" t="str">
        <f t="shared" si="3"/>
        <v/>
      </c>
      <c r="K47" s="23" t="str">
        <f t="shared" si="4"/>
        <v/>
      </c>
      <c r="L47" s="21"/>
      <c r="M47" s="21"/>
      <c r="N47" s="12" t="str">
        <f t="shared" si="5"/>
        <v/>
      </c>
      <c r="O47" s="12" t="str">
        <f>IF(N47="","",COUNTIF('Match Log'!$J$3:$J$501,"&lt;"&amp;N47)+COUNTIF($N$4:$N$203,"&lt;"&amp;N47)+COUNTIF('Guest Log'!$K$4:$K$203,"&lt;"&amp;N47)+1)</f>
        <v/>
      </c>
    </row>
    <row r="48" spans="1:15" ht="15" customHeight="1" x14ac:dyDescent="0.2">
      <c r="A48" s="18"/>
      <c r="B48" s="17"/>
      <c r="C48" s="18"/>
      <c r="D48" s="18"/>
      <c r="E48" s="18"/>
      <c r="F48" s="18"/>
      <c r="G48" s="18"/>
      <c r="H48" s="18"/>
      <c r="I48" s="18"/>
      <c r="J48" s="19" t="str">
        <f t="shared" si="3"/>
        <v/>
      </c>
      <c r="K48" s="19" t="str">
        <f t="shared" si="4"/>
        <v/>
      </c>
      <c r="L48" s="17"/>
      <c r="M48" s="17"/>
      <c r="N48" s="12" t="str">
        <f t="shared" si="5"/>
        <v/>
      </c>
      <c r="O48" s="12" t="str">
        <f>IF(N48="","",COUNTIF('Match Log'!$J$3:$J$501,"&lt;"&amp;N48)+COUNTIF($N$4:$N$203,"&lt;"&amp;N48)+COUNTIF('Guest Log'!$K$4:$K$203,"&lt;"&amp;N48)+1)</f>
        <v/>
      </c>
    </row>
    <row r="49" spans="1:15" ht="15" customHeight="1" x14ac:dyDescent="0.2">
      <c r="A49" s="22"/>
      <c r="B49" s="21"/>
      <c r="C49" s="22"/>
      <c r="D49" s="22"/>
      <c r="E49" s="22"/>
      <c r="F49" s="22"/>
      <c r="G49" s="22"/>
      <c r="H49" s="22"/>
      <c r="I49" s="22"/>
      <c r="J49" s="23" t="str">
        <f t="shared" si="3"/>
        <v/>
      </c>
      <c r="K49" s="23" t="str">
        <f t="shared" si="4"/>
        <v/>
      </c>
      <c r="L49" s="21"/>
      <c r="M49" s="21"/>
      <c r="N49" s="12" t="str">
        <f t="shared" si="5"/>
        <v/>
      </c>
      <c r="O49" s="12" t="str">
        <f>IF(N49="","",COUNTIF('Match Log'!$J$3:$J$501,"&lt;"&amp;N49)+COUNTIF($N$4:$N$203,"&lt;"&amp;N49)+COUNTIF('Guest Log'!$K$4:$K$203,"&lt;"&amp;N49)+1)</f>
        <v/>
      </c>
    </row>
    <row r="50" spans="1:15" ht="15" customHeight="1" x14ac:dyDescent="0.2">
      <c r="A50" s="18"/>
      <c r="B50" s="17"/>
      <c r="C50" s="18"/>
      <c r="D50" s="18"/>
      <c r="E50" s="18"/>
      <c r="F50" s="18"/>
      <c r="G50" s="18"/>
      <c r="H50" s="18"/>
      <c r="I50" s="18"/>
      <c r="J50" s="19" t="str">
        <f t="shared" si="3"/>
        <v/>
      </c>
      <c r="K50" s="19" t="str">
        <f t="shared" si="4"/>
        <v/>
      </c>
      <c r="L50" s="17"/>
      <c r="M50" s="17"/>
      <c r="N50" s="12" t="str">
        <f t="shared" si="5"/>
        <v/>
      </c>
      <c r="O50" s="12" t="str">
        <f>IF(N50="","",COUNTIF('Match Log'!$J$3:$J$501,"&lt;"&amp;N50)+COUNTIF($N$4:$N$203,"&lt;"&amp;N50)+COUNTIF('Guest Log'!$K$4:$K$203,"&lt;"&amp;N50)+1)</f>
        <v/>
      </c>
    </row>
    <row r="51" spans="1:15" ht="15" customHeight="1" x14ac:dyDescent="0.2">
      <c r="A51" s="22"/>
      <c r="B51" s="21"/>
      <c r="C51" s="22"/>
      <c r="D51" s="22"/>
      <c r="E51" s="22"/>
      <c r="F51" s="22"/>
      <c r="G51" s="22"/>
      <c r="H51" s="22"/>
      <c r="I51" s="22"/>
      <c r="J51" s="23" t="str">
        <f t="shared" si="3"/>
        <v/>
      </c>
      <c r="K51" s="23" t="str">
        <f t="shared" si="4"/>
        <v/>
      </c>
      <c r="L51" s="21"/>
      <c r="M51" s="21"/>
      <c r="N51" s="12" t="str">
        <f t="shared" si="5"/>
        <v/>
      </c>
      <c r="O51" s="12" t="str">
        <f>IF(N51="","",COUNTIF('Match Log'!$J$3:$J$501,"&lt;"&amp;N51)+COUNTIF($N$4:$N$203,"&lt;"&amp;N51)+COUNTIF('Guest Log'!$K$4:$K$203,"&lt;"&amp;N51)+1)</f>
        <v/>
      </c>
    </row>
    <row r="52" spans="1:15" ht="15" customHeight="1" x14ac:dyDescent="0.2">
      <c r="A52" s="18"/>
      <c r="B52" s="17"/>
      <c r="C52" s="18"/>
      <c r="D52" s="18"/>
      <c r="E52" s="18"/>
      <c r="F52" s="18"/>
      <c r="G52" s="18"/>
      <c r="H52" s="18"/>
      <c r="I52" s="18"/>
      <c r="J52" s="19" t="str">
        <f t="shared" si="3"/>
        <v/>
      </c>
      <c r="K52" s="19" t="str">
        <f t="shared" si="4"/>
        <v/>
      </c>
      <c r="L52" s="17"/>
      <c r="M52" s="17"/>
      <c r="N52" s="12" t="str">
        <f t="shared" si="5"/>
        <v/>
      </c>
      <c r="O52" s="12" t="str">
        <f>IF(N52="","",COUNTIF('Match Log'!$J$3:$J$501,"&lt;"&amp;N52)+COUNTIF($N$4:$N$203,"&lt;"&amp;N52)+COUNTIF('Guest Log'!$K$4:$K$203,"&lt;"&amp;N52)+1)</f>
        <v/>
      </c>
    </row>
    <row r="53" spans="1:15" ht="15" customHeight="1" x14ac:dyDescent="0.2">
      <c r="A53" s="22"/>
      <c r="B53" s="21"/>
      <c r="C53" s="22"/>
      <c r="D53" s="22"/>
      <c r="E53" s="22"/>
      <c r="F53" s="22"/>
      <c r="G53" s="22"/>
      <c r="H53" s="22"/>
      <c r="I53" s="22"/>
      <c r="J53" s="23" t="str">
        <f t="shared" si="3"/>
        <v/>
      </c>
      <c r="K53" s="23" t="str">
        <f t="shared" si="4"/>
        <v/>
      </c>
      <c r="L53" s="21"/>
      <c r="M53" s="21"/>
      <c r="N53" s="12" t="str">
        <f t="shared" si="5"/>
        <v/>
      </c>
      <c r="O53" s="12" t="str">
        <f>IF(N53="","",COUNTIF('Match Log'!$J$3:$J$501,"&lt;"&amp;N53)+COUNTIF($N$4:$N$203,"&lt;"&amp;N53)+COUNTIF('Guest Log'!$K$4:$K$203,"&lt;"&amp;N53)+1)</f>
        <v/>
      </c>
    </row>
    <row r="54" spans="1:15" ht="15" customHeight="1" x14ac:dyDescent="0.2">
      <c r="A54" s="18"/>
      <c r="B54" s="17"/>
      <c r="C54" s="18"/>
      <c r="D54" s="18"/>
      <c r="E54" s="18"/>
      <c r="F54" s="18"/>
      <c r="G54" s="18"/>
      <c r="H54" s="18"/>
      <c r="I54" s="18"/>
      <c r="J54" s="19" t="str">
        <f t="shared" si="3"/>
        <v/>
      </c>
      <c r="K54" s="19" t="str">
        <f t="shared" si="4"/>
        <v/>
      </c>
      <c r="L54" s="17"/>
      <c r="M54" s="17"/>
      <c r="N54" s="12" t="str">
        <f t="shared" si="5"/>
        <v/>
      </c>
      <c r="O54" s="12" t="str">
        <f>IF(N54="","",COUNTIF('Match Log'!$J$3:$J$501,"&lt;"&amp;N54)+COUNTIF($N$4:$N$203,"&lt;"&amp;N54)+COUNTIF('Guest Log'!$K$4:$K$203,"&lt;"&amp;N54)+1)</f>
        <v/>
      </c>
    </row>
    <row r="55" spans="1:15" ht="15" customHeight="1" x14ac:dyDescent="0.2">
      <c r="A55" s="22"/>
      <c r="B55" s="21"/>
      <c r="C55" s="22"/>
      <c r="D55" s="22"/>
      <c r="E55" s="22"/>
      <c r="F55" s="22"/>
      <c r="G55" s="22"/>
      <c r="H55" s="22"/>
      <c r="I55" s="22"/>
      <c r="J55" s="23" t="str">
        <f t="shared" si="3"/>
        <v/>
      </c>
      <c r="K55" s="23" t="str">
        <f t="shared" si="4"/>
        <v/>
      </c>
      <c r="L55" s="21"/>
      <c r="M55" s="21"/>
      <c r="N55" s="12" t="str">
        <f t="shared" si="5"/>
        <v/>
      </c>
      <c r="O55" s="12" t="str">
        <f>IF(N55="","",COUNTIF('Match Log'!$J$3:$J$501,"&lt;"&amp;N55)+COUNTIF($N$4:$N$203,"&lt;"&amp;N55)+COUNTIF('Guest Log'!$K$4:$K$203,"&lt;"&amp;N55)+1)</f>
        <v/>
      </c>
    </row>
    <row r="56" spans="1:15" ht="15" customHeight="1" x14ac:dyDescent="0.2">
      <c r="A56" s="18"/>
      <c r="B56" s="17"/>
      <c r="C56" s="18"/>
      <c r="D56" s="18"/>
      <c r="E56" s="18"/>
      <c r="F56" s="18"/>
      <c r="G56" s="18"/>
      <c r="H56" s="18"/>
      <c r="I56" s="18"/>
      <c r="J56" s="19" t="str">
        <f t="shared" si="3"/>
        <v/>
      </c>
      <c r="K56" s="19" t="str">
        <f t="shared" si="4"/>
        <v/>
      </c>
      <c r="L56" s="17"/>
      <c r="M56" s="17"/>
      <c r="N56" s="12" t="str">
        <f t="shared" si="5"/>
        <v/>
      </c>
      <c r="O56" s="12" t="str">
        <f>IF(N56="","",COUNTIF('Match Log'!$J$3:$J$501,"&lt;"&amp;N56)+COUNTIF($N$4:$N$203,"&lt;"&amp;N56)+COUNTIF('Guest Log'!$K$4:$K$203,"&lt;"&amp;N56)+1)</f>
        <v/>
      </c>
    </row>
    <row r="57" spans="1:15" ht="15" customHeight="1" x14ac:dyDescent="0.2">
      <c r="A57" s="22"/>
      <c r="B57" s="21"/>
      <c r="C57" s="22"/>
      <c r="D57" s="22"/>
      <c r="E57" s="22"/>
      <c r="F57" s="22"/>
      <c r="G57" s="22"/>
      <c r="H57" s="22"/>
      <c r="I57" s="22"/>
      <c r="J57" s="23" t="str">
        <f t="shared" si="3"/>
        <v/>
      </c>
      <c r="K57" s="23" t="str">
        <f t="shared" si="4"/>
        <v/>
      </c>
      <c r="L57" s="21"/>
      <c r="M57" s="21"/>
      <c r="N57" s="12" t="str">
        <f t="shared" si="5"/>
        <v/>
      </c>
      <c r="O57" s="12" t="str">
        <f>IF(N57="","",COUNTIF('Match Log'!$J$3:$J$501,"&lt;"&amp;N57)+COUNTIF($N$4:$N$203,"&lt;"&amp;N57)+COUNTIF('Guest Log'!$K$4:$K$203,"&lt;"&amp;N57)+1)</f>
        <v/>
      </c>
    </row>
    <row r="58" spans="1:15" ht="15" customHeight="1" x14ac:dyDescent="0.2">
      <c r="A58" s="18"/>
      <c r="B58" s="17"/>
      <c r="C58" s="18"/>
      <c r="D58" s="18"/>
      <c r="E58" s="18"/>
      <c r="F58" s="18"/>
      <c r="G58" s="18"/>
      <c r="H58" s="18"/>
      <c r="I58" s="18"/>
      <c r="J58" s="19" t="str">
        <f t="shared" si="3"/>
        <v/>
      </c>
      <c r="K58" s="19" t="str">
        <f t="shared" si="4"/>
        <v/>
      </c>
      <c r="L58" s="17"/>
      <c r="M58" s="17"/>
      <c r="N58" s="12" t="str">
        <f t="shared" si="5"/>
        <v/>
      </c>
      <c r="O58" s="12" t="str">
        <f>IF(N58="","",COUNTIF('Match Log'!$J$3:$J$501,"&lt;"&amp;N58)+COUNTIF($N$4:$N$203,"&lt;"&amp;N58)+COUNTIF('Guest Log'!$K$4:$K$203,"&lt;"&amp;N58)+1)</f>
        <v/>
      </c>
    </row>
    <row r="59" spans="1:15" ht="15" customHeight="1" x14ac:dyDescent="0.2">
      <c r="A59" s="22"/>
      <c r="B59" s="21"/>
      <c r="C59" s="22"/>
      <c r="D59" s="22"/>
      <c r="E59" s="22"/>
      <c r="F59" s="22"/>
      <c r="G59" s="22"/>
      <c r="H59" s="22"/>
      <c r="I59" s="22"/>
      <c r="J59" s="23" t="str">
        <f t="shared" si="3"/>
        <v/>
      </c>
      <c r="K59" s="23" t="str">
        <f t="shared" si="4"/>
        <v/>
      </c>
      <c r="L59" s="21"/>
      <c r="M59" s="21"/>
      <c r="N59" s="12" t="str">
        <f t="shared" si="5"/>
        <v/>
      </c>
      <c r="O59" s="12" t="str">
        <f>IF(N59="","",COUNTIF('Match Log'!$J$3:$J$501,"&lt;"&amp;N59)+COUNTIF($N$4:$N$203,"&lt;"&amp;N59)+COUNTIF('Guest Log'!$K$4:$K$203,"&lt;"&amp;N59)+1)</f>
        <v/>
      </c>
    </row>
    <row r="60" spans="1:15" ht="15" customHeight="1" x14ac:dyDescent="0.2">
      <c r="A60" s="18"/>
      <c r="B60" s="17"/>
      <c r="C60" s="18"/>
      <c r="D60" s="18"/>
      <c r="E60" s="18"/>
      <c r="F60" s="18"/>
      <c r="G60" s="18"/>
      <c r="H60" s="18"/>
      <c r="I60" s="18"/>
      <c r="J60" s="19" t="str">
        <f t="shared" si="3"/>
        <v/>
      </c>
      <c r="K60" s="19" t="str">
        <f t="shared" si="4"/>
        <v/>
      </c>
      <c r="L60" s="17"/>
      <c r="M60" s="17"/>
      <c r="N60" s="12" t="str">
        <f t="shared" si="5"/>
        <v/>
      </c>
      <c r="O60" s="12" t="str">
        <f>IF(N60="","",COUNTIF('Match Log'!$J$3:$J$501,"&lt;"&amp;N60)+COUNTIF($N$4:$N$203,"&lt;"&amp;N60)+COUNTIF('Guest Log'!$K$4:$K$203,"&lt;"&amp;N60)+1)</f>
        <v/>
      </c>
    </row>
    <row r="61" spans="1:15" ht="15" customHeight="1" x14ac:dyDescent="0.2">
      <c r="A61" s="22"/>
      <c r="B61" s="21"/>
      <c r="C61" s="22"/>
      <c r="D61" s="22"/>
      <c r="E61" s="22"/>
      <c r="F61" s="22"/>
      <c r="G61" s="22"/>
      <c r="H61" s="22"/>
      <c r="I61" s="22"/>
      <c r="J61" s="23" t="str">
        <f t="shared" si="3"/>
        <v/>
      </c>
      <c r="K61" s="23" t="str">
        <f t="shared" si="4"/>
        <v/>
      </c>
      <c r="L61" s="21"/>
      <c r="M61" s="21"/>
      <c r="N61" s="12" t="str">
        <f t="shared" si="5"/>
        <v/>
      </c>
      <c r="O61" s="12" t="str">
        <f>IF(N61="","",COUNTIF('Match Log'!$J$3:$J$501,"&lt;"&amp;N61)+COUNTIF($N$4:$N$203,"&lt;"&amp;N61)+COUNTIF('Guest Log'!$K$4:$K$203,"&lt;"&amp;N61)+1)</f>
        <v/>
      </c>
    </row>
    <row r="62" spans="1:15" ht="15" customHeight="1" x14ac:dyDescent="0.2">
      <c r="A62" s="18"/>
      <c r="B62" s="17"/>
      <c r="C62" s="18"/>
      <c r="D62" s="18"/>
      <c r="E62" s="18"/>
      <c r="F62" s="18"/>
      <c r="G62" s="18"/>
      <c r="H62" s="18"/>
      <c r="I62" s="18"/>
      <c r="J62" s="19" t="str">
        <f t="shared" si="3"/>
        <v/>
      </c>
      <c r="K62" s="19" t="str">
        <f t="shared" si="4"/>
        <v/>
      </c>
      <c r="L62" s="17"/>
      <c r="M62" s="17"/>
      <c r="N62" s="12" t="str">
        <f t="shared" si="5"/>
        <v/>
      </c>
      <c r="O62" s="12" t="str">
        <f>IF(N62="","",COUNTIF('Match Log'!$J$3:$J$501,"&lt;"&amp;N62)+COUNTIF($N$4:$N$203,"&lt;"&amp;N62)+COUNTIF('Guest Log'!$K$4:$K$203,"&lt;"&amp;N62)+1)</f>
        <v/>
      </c>
    </row>
    <row r="63" spans="1:15" ht="15" customHeight="1" x14ac:dyDescent="0.2">
      <c r="A63" s="22"/>
      <c r="B63" s="21"/>
      <c r="C63" s="22"/>
      <c r="D63" s="22"/>
      <c r="E63" s="22"/>
      <c r="F63" s="22"/>
      <c r="G63" s="22"/>
      <c r="H63" s="22"/>
      <c r="I63" s="22"/>
      <c r="J63" s="23" t="str">
        <f t="shared" si="3"/>
        <v/>
      </c>
      <c r="K63" s="23" t="str">
        <f t="shared" si="4"/>
        <v/>
      </c>
      <c r="L63" s="21"/>
      <c r="M63" s="21"/>
      <c r="N63" s="12" t="str">
        <f t="shared" si="5"/>
        <v/>
      </c>
      <c r="O63" s="12" t="str">
        <f>IF(N63="","",COUNTIF('Match Log'!$J$3:$J$501,"&lt;"&amp;N63)+COUNTIF($N$4:$N$203,"&lt;"&amp;N63)+COUNTIF('Guest Log'!$K$4:$K$203,"&lt;"&amp;N63)+1)</f>
        <v/>
      </c>
    </row>
    <row r="64" spans="1:15" ht="15" customHeight="1" x14ac:dyDescent="0.2">
      <c r="A64" s="18"/>
      <c r="B64" s="17"/>
      <c r="C64" s="18"/>
      <c r="D64" s="18"/>
      <c r="E64" s="18"/>
      <c r="F64" s="18"/>
      <c r="G64" s="18"/>
      <c r="H64" s="18"/>
      <c r="I64" s="18"/>
      <c r="J64" s="19" t="str">
        <f t="shared" si="3"/>
        <v/>
      </c>
      <c r="K64" s="19" t="str">
        <f t="shared" si="4"/>
        <v/>
      </c>
      <c r="L64" s="17"/>
      <c r="M64" s="17"/>
      <c r="N64" s="12" t="str">
        <f t="shared" si="5"/>
        <v/>
      </c>
      <c r="O64" s="12" t="str">
        <f>IF(N64="","",COUNTIF('Match Log'!$J$3:$J$501,"&lt;"&amp;N64)+COUNTIF($N$4:$N$203,"&lt;"&amp;N64)+COUNTIF('Guest Log'!$K$4:$K$203,"&lt;"&amp;N64)+1)</f>
        <v/>
      </c>
    </row>
    <row r="65" spans="1:15" ht="15" customHeight="1" x14ac:dyDescent="0.2">
      <c r="A65" s="22"/>
      <c r="B65" s="21"/>
      <c r="C65" s="22"/>
      <c r="D65" s="22"/>
      <c r="E65" s="22"/>
      <c r="F65" s="22"/>
      <c r="G65" s="22"/>
      <c r="H65" s="22"/>
      <c r="I65" s="22"/>
      <c r="J65" s="23" t="str">
        <f t="shared" si="3"/>
        <v/>
      </c>
      <c r="K65" s="23" t="str">
        <f t="shared" si="4"/>
        <v/>
      </c>
      <c r="L65" s="21"/>
      <c r="M65" s="21"/>
      <c r="N65" s="12" t="str">
        <f t="shared" si="5"/>
        <v/>
      </c>
      <c r="O65" s="12" t="str">
        <f>IF(N65="","",COUNTIF('Match Log'!$J$3:$J$501,"&lt;"&amp;N65)+COUNTIF($N$4:$N$203,"&lt;"&amp;N65)+COUNTIF('Guest Log'!$K$4:$K$203,"&lt;"&amp;N65)+1)</f>
        <v/>
      </c>
    </row>
    <row r="66" spans="1:15" ht="15" customHeight="1" x14ac:dyDescent="0.2">
      <c r="A66" s="18"/>
      <c r="B66" s="17"/>
      <c r="C66" s="18"/>
      <c r="D66" s="18"/>
      <c r="E66" s="18"/>
      <c r="F66" s="18"/>
      <c r="G66" s="18"/>
      <c r="H66" s="18"/>
      <c r="I66" s="18"/>
      <c r="J66" s="19" t="str">
        <f t="shared" si="3"/>
        <v/>
      </c>
      <c r="K66" s="19" t="str">
        <f t="shared" si="4"/>
        <v/>
      </c>
      <c r="L66" s="17"/>
      <c r="M66" s="17"/>
      <c r="N66" s="12" t="str">
        <f t="shared" si="5"/>
        <v/>
      </c>
      <c r="O66" s="12" t="str">
        <f>IF(N66="","",COUNTIF('Match Log'!$J$3:$J$501,"&lt;"&amp;N66)+COUNTIF($N$4:$N$203,"&lt;"&amp;N66)+COUNTIF('Guest Log'!$K$4:$K$203,"&lt;"&amp;N66)+1)</f>
        <v/>
      </c>
    </row>
    <row r="67" spans="1:15" ht="15" customHeight="1" x14ac:dyDescent="0.2">
      <c r="A67" s="22"/>
      <c r="B67" s="21"/>
      <c r="C67" s="22"/>
      <c r="D67" s="22"/>
      <c r="E67" s="22"/>
      <c r="F67" s="22"/>
      <c r="G67" s="22"/>
      <c r="H67" s="22"/>
      <c r="I67" s="22"/>
      <c r="J67" s="23" t="str">
        <f t="shared" si="3"/>
        <v/>
      </c>
      <c r="K67" s="23" t="str">
        <f t="shared" si="4"/>
        <v/>
      </c>
      <c r="L67" s="21"/>
      <c r="M67" s="21"/>
      <c r="N67" s="12" t="str">
        <f t="shared" si="5"/>
        <v/>
      </c>
      <c r="O67" s="12" t="str">
        <f>IF(N67="","",COUNTIF('Match Log'!$J$3:$J$501,"&lt;"&amp;N67)+COUNTIF($N$4:$N$203,"&lt;"&amp;N67)+COUNTIF('Guest Log'!$K$4:$K$203,"&lt;"&amp;N67)+1)</f>
        <v/>
      </c>
    </row>
    <row r="68" spans="1:15" ht="15" customHeight="1" x14ac:dyDescent="0.2">
      <c r="A68" s="18"/>
      <c r="B68" s="17"/>
      <c r="C68" s="18"/>
      <c r="D68" s="18"/>
      <c r="E68" s="18"/>
      <c r="F68" s="18"/>
      <c r="G68" s="18"/>
      <c r="H68" s="18"/>
      <c r="I68" s="18"/>
      <c r="J68" s="19" t="str">
        <f t="shared" ref="J68:J99" si="6">IF(C68="","",IF(I68="","",ROUND(800+I68*400,0)))</f>
        <v/>
      </c>
      <c r="K68" s="19" t="str">
        <f t="shared" ref="K68:K99" si="7">IF(C68="","",IF(D68=0,"",ROUND((E68+0.5*F68)/D68,4)))</f>
        <v/>
      </c>
      <c r="L68" s="17"/>
      <c r="M68" s="17"/>
      <c r="N68" s="12" t="str">
        <f t="shared" ref="N68:N99" si="8">IF(A68="","",A68+0.0005+ROW()/10000000)</f>
        <v/>
      </c>
      <c r="O68" s="12" t="str">
        <f>IF(N68="","",COUNTIF('Match Log'!$J$3:$J$501,"&lt;"&amp;N68)+COUNTIF($N$4:$N$203,"&lt;"&amp;N68)+COUNTIF('Guest Log'!$K$4:$K$203,"&lt;"&amp;N68)+1)</f>
        <v/>
      </c>
    </row>
    <row r="69" spans="1:15" ht="15" customHeight="1" x14ac:dyDescent="0.2">
      <c r="A69" s="22"/>
      <c r="B69" s="21"/>
      <c r="C69" s="22"/>
      <c r="D69" s="22"/>
      <c r="E69" s="22"/>
      <c r="F69" s="22"/>
      <c r="G69" s="22"/>
      <c r="H69" s="22"/>
      <c r="I69" s="22"/>
      <c r="J69" s="23" t="str">
        <f t="shared" si="6"/>
        <v/>
      </c>
      <c r="K69" s="23" t="str">
        <f t="shared" si="7"/>
        <v/>
      </c>
      <c r="L69" s="21"/>
      <c r="M69" s="21"/>
      <c r="N69" s="12" t="str">
        <f t="shared" si="8"/>
        <v/>
      </c>
      <c r="O69" s="12" t="str">
        <f>IF(N69="","",COUNTIF('Match Log'!$J$3:$J$501,"&lt;"&amp;N69)+COUNTIF($N$4:$N$203,"&lt;"&amp;N69)+COUNTIF('Guest Log'!$K$4:$K$203,"&lt;"&amp;N69)+1)</f>
        <v/>
      </c>
    </row>
    <row r="70" spans="1:15" ht="15" customHeight="1" x14ac:dyDescent="0.2">
      <c r="A70" s="18"/>
      <c r="B70" s="17"/>
      <c r="C70" s="18"/>
      <c r="D70" s="18"/>
      <c r="E70" s="18"/>
      <c r="F70" s="18"/>
      <c r="G70" s="18"/>
      <c r="H70" s="18"/>
      <c r="I70" s="18"/>
      <c r="J70" s="19" t="str">
        <f t="shared" si="6"/>
        <v/>
      </c>
      <c r="K70" s="19" t="str">
        <f t="shared" si="7"/>
        <v/>
      </c>
      <c r="L70" s="17"/>
      <c r="M70" s="17"/>
      <c r="N70" s="12" t="str">
        <f t="shared" si="8"/>
        <v/>
      </c>
      <c r="O70" s="12" t="str">
        <f>IF(N70="","",COUNTIF('Match Log'!$J$3:$J$501,"&lt;"&amp;N70)+COUNTIF($N$4:$N$203,"&lt;"&amp;N70)+COUNTIF('Guest Log'!$K$4:$K$203,"&lt;"&amp;N70)+1)</f>
        <v/>
      </c>
    </row>
    <row r="71" spans="1:15" ht="15" customHeight="1" x14ac:dyDescent="0.2">
      <c r="A71" s="22"/>
      <c r="B71" s="21"/>
      <c r="C71" s="22"/>
      <c r="D71" s="22"/>
      <c r="E71" s="22"/>
      <c r="F71" s="22"/>
      <c r="G71" s="22"/>
      <c r="H71" s="22"/>
      <c r="I71" s="22"/>
      <c r="J71" s="23" t="str">
        <f t="shared" si="6"/>
        <v/>
      </c>
      <c r="K71" s="23" t="str">
        <f t="shared" si="7"/>
        <v/>
      </c>
      <c r="L71" s="21"/>
      <c r="M71" s="21"/>
      <c r="N71" s="12" t="str">
        <f t="shared" si="8"/>
        <v/>
      </c>
      <c r="O71" s="12" t="str">
        <f>IF(N71="","",COUNTIF('Match Log'!$J$3:$J$501,"&lt;"&amp;N71)+COUNTIF($N$4:$N$203,"&lt;"&amp;N71)+COUNTIF('Guest Log'!$K$4:$K$203,"&lt;"&amp;N71)+1)</f>
        <v/>
      </c>
    </row>
    <row r="72" spans="1:15" ht="15" customHeight="1" x14ac:dyDescent="0.2">
      <c r="A72" s="18"/>
      <c r="B72" s="17"/>
      <c r="C72" s="18"/>
      <c r="D72" s="18"/>
      <c r="E72" s="18"/>
      <c r="F72" s="18"/>
      <c r="G72" s="18"/>
      <c r="H72" s="18"/>
      <c r="I72" s="18"/>
      <c r="J72" s="19" t="str">
        <f t="shared" si="6"/>
        <v/>
      </c>
      <c r="K72" s="19" t="str">
        <f t="shared" si="7"/>
        <v/>
      </c>
      <c r="L72" s="17"/>
      <c r="M72" s="17"/>
      <c r="N72" s="12" t="str">
        <f t="shared" si="8"/>
        <v/>
      </c>
      <c r="O72" s="12" t="str">
        <f>IF(N72="","",COUNTIF('Match Log'!$J$3:$J$501,"&lt;"&amp;N72)+COUNTIF($N$4:$N$203,"&lt;"&amp;N72)+COUNTIF('Guest Log'!$K$4:$K$203,"&lt;"&amp;N72)+1)</f>
        <v/>
      </c>
    </row>
    <row r="73" spans="1:15" ht="15" customHeight="1" x14ac:dyDescent="0.2">
      <c r="A73" s="22"/>
      <c r="B73" s="21"/>
      <c r="C73" s="22"/>
      <c r="D73" s="22"/>
      <c r="E73" s="22"/>
      <c r="F73" s="22"/>
      <c r="G73" s="22"/>
      <c r="H73" s="22"/>
      <c r="I73" s="22"/>
      <c r="J73" s="23" t="str">
        <f t="shared" si="6"/>
        <v/>
      </c>
      <c r="K73" s="23" t="str">
        <f t="shared" si="7"/>
        <v/>
      </c>
      <c r="L73" s="21"/>
      <c r="M73" s="21"/>
      <c r="N73" s="12" t="str">
        <f t="shared" si="8"/>
        <v/>
      </c>
      <c r="O73" s="12" t="str">
        <f>IF(N73="","",COUNTIF('Match Log'!$J$3:$J$501,"&lt;"&amp;N73)+COUNTIF($N$4:$N$203,"&lt;"&amp;N73)+COUNTIF('Guest Log'!$K$4:$K$203,"&lt;"&amp;N73)+1)</f>
        <v/>
      </c>
    </row>
    <row r="74" spans="1:15" ht="15" customHeight="1" x14ac:dyDescent="0.2">
      <c r="A74" s="18"/>
      <c r="B74" s="17"/>
      <c r="C74" s="18"/>
      <c r="D74" s="18"/>
      <c r="E74" s="18"/>
      <c r="F74" s="18"/>
      <c r="G74" s="18"/>
      <c r="H74" s="18"/>
      <c r="I74" s="18"/>
      <c r="J74" s="19" t="str">
        <f t="shared" si="6"/>
        <v/>
      </c>
      <c r="K74" s="19" t="str">
        <f t="shared" si="7"/>
        <v/>
      </c>
      <c r="L74" s="17"/>
      <c r="M74" s="17"/>
      <c r="N74" s="12" t="str">
        <f t="shared" si="8"/>
        <v/>
      </c>
      <c r="O74" s="12" t="str">
        <f>IF(N74="","",COUNTIF('Match Log'!$J$3:$J$501,"&lt;"&amp;N74)+COUNTIF($N$4:$N$203,"&lt;"&amp;N74)+COUNTIF('Guest Log'!$K$4:$K$203,"&lt;"&amp;N74)+1)</f>
        <v/>
      </c>
    </row>
    <row r="75" spans="1:15" ht="15" customHeight="1" x14ac:dyDescent="0.2">
      <c r="A75" s="22"/>
      <c r="B75" s="21"/>
      <c r="C75" s="22"/>
      <c r="D75" s="22"/>
      <c r="E75" s="22"/>
      <c r="F75" s="22"/>
      <c r="G75" s="22"/>
      <c r="H75" s="22"/>
      <c r="I75" s="22"/>
      <c r="J75" s="23" t="str">
        <f t="shared" si="6"/>
        <v/>
      </c>
      <c r="K75" s="23" t="str">
        <f t="shared" si="7"/>
        <v/>
      </c>
      <c r="L75" s="21"/>
      <c r="M75" s="21"/>
      <c r="N75" s="12" t="str">
        <f t="shared" si="8"/>
        <v/>
      </c>
      <c r="O75" s="12" t="str">
        <f>IF(N75="","",COUNTIF('Match Log'!$J$3:$J$501,"&lt;"&amp;N75)+COUNTIF($N$4:$N$203,"&lt;"&amp;N75)+COUNTIF('Guest Log'!$K$4:$K$203,"&lt;"&amp;N75)+1)</f>
        <v/>
      </c>
    </row>
    <row r="76" spans="1:15" ht="15" customHeight="1" x14ac:dyDescent="0.2">
      <c r="A76" s="18"/>
      <c r="B76" s="17"/>
      <c r="C76" s="18"/>
      <c r="D76" s="18"/>
      <c r="E76" s="18"/>
      <c r="F76" s="18"/>
      <c r="G76" s="18"/>
      <c r="H76" s="18"/>
      <c r="I76" s="18"/>
      <c r="J76" s="19" t="str">
        <f t="shared" si="6"/>
        <v/>
      </c>
      <c r="K76" s="19" t="str">
        <f t="shared" si="7"/>
        <v/>
      </c>
      <c r="L76" s="17"/>
      <c r="M76" s="17"/>
      <c r="N76" s="12" t="str">
        <f t="shared" si="8"/>
        <v/>
      </c>
      <c r="O76" s="12" t="str">
        <f>IF(N76="","",COUNTIF('Match Log'!$J$3:$J$501,"&lt;"&amp;N76)+COUNTIF($N$4:$N$203,"&lt;"&amp;N76)+COUNTIF('Guest Log'!$K$4:$K$203,"&lt;"&amp;N76)+1)</f>
        <v/>
      </c>
    </row>
    <row r="77" spans="1:15" ht="15" customHeight="1" x14ac:dyDescent="0.2">
      <c r="A77" s="22"/>
      <c r="B77" s="21"/>
      <c r="C77" s="22"/>
      <c r="D77" s="22"/>
      <c r="E77" s="22"/>
      <c r="F77" s="22"/>
      <c r="G77" s="22"/>
      <c r="H77" s="22"/>
      <c r="I77" s="22"/>
      <c r="J77" s="23" t="str">
        <f t="shared" si="6"/>
        <v/>
      </c>
      <c r="K77" s="23" t="str">
        <f t="shared" si="7"/>
        <v/>
      </c>
      <c r="L77" s="21"/>
      <c r="M77" s="21"/>
      <c r="N77" s="12" t="str">
        <f t="shared" si="8"/>
        <v/>
      </c>
      <c r="O77" s="12" t="str">
        <f>IF(N77="","",COUNTIF('Match Log'!$J$3:$J$501,"&lt;"&amp;N77)+COUNTIF($N$4:$N$203,"&lt;"&amp;N77)+COUNTIF('Guest Log'!$K$4:$K$203,"&lt;"&amp;N77)+1)</f>
        <v/>
      </c>
    </row>
    <row r="78" spans="1:15" ht="15" customHeight="1" x14ac:dyDescent="0.2">
      <c r="A78" s="18"/>
      <c r="B78" s="17"/>
      <c r="C78" s="18"/>
      <c r="D78" s="18"/>
      <c r="E78" s="18"/>
      <c r="F78" s="18"/>
      <c r="G78" s="18"/>
      <c r="H78" s="18"/>
      <c r="I78" s="18"/>
      <c r="J78" s="19" t="str">
        <f t="shared" si="6"/>
        <v/>
      </c>
      <c r="K78" s="19" t="str">
        <f t="shared" si="7"/>
        <v/>
      </c>
      <c r="L78" s="17"/>
      <c r="M78" s="17"/>
      <c r="N78" s="12" t="str">
        <f t="shared" si="8"/>
        <v/>
      </c>
      <c r="O78" s="12" t="str">
        <f>IF(N78="","",COUNTIF('Match Log'!$J$3:$J$501,"&lt;"&amp;N78)+COUNTIF($N$4:$N$203,"&lt;"&amp;N78)+COUNTIF('Guest Log'!$K$4:$K$203,"&lt;"&amp;N78)+1)</f>
        <v/>
      </c>
    </row>
    <row r="79" spans="1:15" ht="15" customHeight="1" x14ac:dyDescent="0.2">
      <c r="A79" s="22"/>
      <c r="B79" s="21"/>
      <c r="C79" s="22"/>
      <c r="D79" s="22"/>
      <c r="E79" s="22"/>
      <c r="F79" s="22"/>
      <c r="G79" s="22"/>
      <c r="H79" s="22"/>
      <c r="I79" s="22"/>
      <c r="J79" s="23" t="str">
        <f t="shared" si="6"/>
        <v/>
      </c>
      <c r="K79" s="23" t="str">
        <f t="shared" si="7"/>
        <v/>
      </c>
      <c r="L79" s="21"/>
      <c r="M79" s="21"/>
      <c r="N79" s="12" t="str">
        <f t="shared" si="8"/>
        <v/>
      </c>
      <c r="O79" s="12" t="str">
        <f>IF(N79="","",COUNTIF('Match Log'!$J$3:$J$501,"&lt;"&amp;N79)+COUNTIF($N$4:$N$203,"&lt;"&amp;N79)+COUNTIF('Guest Log'!$K$4:$K$203,"&lt;"&amp;N79)+1)</f>
        <v/>
      </c>
    </row>
    <row r="80" spans="1:15" ht="15" customHeight="1" x14ac:dyDescent="0.2">
      <c r="A80" s="18"/>
      <c r="B80" s="17"/>
      <c r="C80" s="18"/>
      <c r="D80" s="18"/>
      <c r="E80" s="18"/>
      <c r="F80" s="18"/>
      <c r="G80" s="18"/>
      <c r="H80" s="18"/>
      <c r="I80" s="18"/>
      <c r="J80" s="19" t="str">
        <f t="shared" si="6"/>
        <v/>
      </c>
      <c r="K80" s="19" t="str">
        <f t="shared" si="7"/>
        <v/>
      </c>
      <c r="L80" s="17"/>
      <c r="M80" s="17"/>
      <c r="N80" s="12" t="str">
        <f t="shared" si="8"/>
        <v/>
      </c>
      <c r="O80" s="12" t="str">
        <f>IF(N80="","",COUNTIF('Match Log'!$J$3:$J$501,"&lt;"&amp;N80)+COUNTIF($N$4:$N$203,"&lt;"&amp;N80)+COUNTIF('Guest Log'!$K$4:$K$203,"&lt;"&amp;N80)+1)</f>
        <v/>
      </c>
    </row>
    <row r="81" spans="1:15" ht="15" customHeight="1" x14ac:dyDescent="0.2">
      <c r="A81" s="22"/>
      <c r="B81" s="21"/>
      <c r="C81" s="22"/>
      <c r="D81" s="22"/>
      <c r="E81" s="22"/>
      <c r="F81" s="22"/>
      <c r="G81" s="22"/>
      <c r="H81" s="22"/>
      <c r="I81" s="22"/>
      <c r="J81" s="23" t="str">
        <f t="shared" si="6"/>
        <v/>
      </c>
      <c r="K81" s="23" t="str">
        <f t="shared" si="7"/>
        <v/>
      </c>
      <c r="L81" s="21"/>
      <c r="M81" s="21"/>
      <c r="N81" s="12" t="str">
        <f t="shared" si="8"/>
        <v/>
      </c>
      <c r="O81" s="12" t="str">
        <f>IF(N81="","",COUNTIF('Match Log'!$J$3:$J$501,"&lt;"&amp;N81)+COUNTIF($N$4:$N$203,"&lt;"&amp;N81)+COUNTIF('Guest Log'!$K$4:$K$203,"&lt;"&amp;N81)+1)</f>
        <v/>
      </c>
    </row>
    <row r="82" spans="1:15" ht="15" customHeight="1" x14ac:dyDescent="0.2">
      <c r="A82" s="18"/>
      <c r="B82" s="17"/>
      <c r="C82" s="18"/>
      <c r="D82" s="18"/>
      <c r="E82" s="18"/>
      <c r="F82" s="18"/>
      <c r="G82" s="18"/>
      <c r="H82" s="18"/>
      <c r="I82" s="18"/>
      <c r="J82" s="19" t="str">
        <f t="shared" si="6"/>
        <v/>
      </c>
      <c r="K82" s="19" t="str">
        <f t="shared" si="7"/>
        <v/>
      </c>
      <c r="L82" s="17"/>
      <c r="M82" s="17"/>
      <c r="N82" s="12" t="str">
        <f t="shared" si="8"/>
        <v/>
      </c>
      <c r="O82" s="12" t="str">
        <f>IF(N82="","",COUNTIF('Match Log'!$J$3:$J$501,"&lt;"&amp;N82)+COUNTIF($N$4:$N$203,"&lt;"&amp;N82)+COUNTIF('Guest Log'!$K$4:$K$203,"&lt;"&amp;N82)+1)</f>
        <v/>
      </c>
    </row>
    <row r="83" spans="1:15" ht="15" customHeight="1" x14ac:dyDescent="0.2">
      <c r="A83" s="22"/>
      <c r="B83" s="21"/>
      <c r="C83" s="22"/>
      <c r="D83" s="22"/>
      <c r="E83" s="22"/>
      <c r="F83" s="22"/>
      <c r="G83" s="22"/>
      <c r="H83" s="22"/>
      <c r="I83" s="22"/>
      <c r="J83" s="23" t="str">
        <f t="shared" si="6"/>
        <v/>
      </c>
      <c r="K83" s="23" t="str">
        <f t="shared" si="7"/>
        <v/>
      </c>
      <c r="L83" s="21"/>
      <c r="M83" s="21"/>
      <c r="N83" s="12" t="str">
        <f t="shared" si="8"/>
        <v/>
      </c>
      <c r="O83" s="12" t="str">
        <f>IF(N83="","",COUNTIF('Match Log'!$J$3:$J$501,"&lt;"&amp;N83)+COUNTIF($N$4:$N$203,"&lt;"&amp;N83)+COUNTIF('Guest Log'!$K$4:$K$203,"&lt;"&amp;N83)+1)</f>
        <v/>
      </c>
    </row>
    <row r="84" spans="1:15" ht="15" customHeight="1" x14ac:dyDescent="0.2">
      <c r="A84" s="18"/>
      <c r="B84" s="17"/>
      <c r="C84" s="18"/>
      <c r="D84" s="18"/>
      <c r="E84" s="18"/>
      <c r="F84" s="18"/>
      <c r="G84" s="18"/>
      <c r="H84" s="18"/>
      <c r="I84" s="18"/>
      <c r="J84" s="19" t="str">
        <f t="shared" si="6"/>
        <v/>
      </c>
      <c r="K84" s="19" t="str">
        <f t="shared" si="7"/>
        <v/>
      </c>
      <c r="L84" s="17"/>
      <c r="M84" s="17"/>
      <c r="N84" s="12" t="str">
        <f t="shared" si="8"/>
        <v/>
      </c>
      <c r="O84" s="12" t="str">
        <f>IF(N84="","",COUNTIF('Match Log'!$J$3:$J$501,"&lt;"&amp;N84)+COUNTIF($N$4:$N$203,"&lt;"&amp;N84)+COUNTIF('Guest Log'!$K$4:$K$203,"&lt;"&amp;N84)+1)</f>
        <v/>
      </c>
    </row>
    <row r="85" spans="1:15" ht="15" customHeight="1" x14ac:dyDescent="0.2">
      <c r="A85" s="22"/>
      <c r="B85" s="21"/>
      <c r="C85" s="22"/>
      <c r="D85" s="22"/>
      <c r="E85" s="22"/>
      <c r="F85" s="22"/>
      <c r="G85" s="22"/>
      <c r="H85" s="22"/>
      <c r="I85" s="22"/>
      <c r="J85" s="23" t="str">
        <f t="shared" si="6"/>
        <v/>
      </c>
      <c r="K85" s="23" t="str">
        <f t="shared" si="7"/>
        <v/>
      </c>
      <c r="L85" s="21"/>
      <c r="M85" s="21"/>
      <c r="N85" s="12" t="str">
        <f t="shared" si="8"/>
        <v/>
      </c>
      <c r="O85" s="12" t="str">
        <f>IF(N85="","",COUNTIF('Match Log'!$J$3:$J$501,"&lt;"&amp;N85)+COUNTIF($N$4:$N$203,"&lt;"&amp;N85)+COUNTIF('Guest Log'!$K$4:$K$203,"&lt;"&amp;N85)+1)</f>
        <v/>
      </c>
    </row>
    <row r="86" spans="1:15" ht="15" customHeight="1" x14ac:dyDescent="0.2">
      <c r="A86" s="18"/>
      <c r="B86" s="17"/>
      <c r="C86" s="18"/>
      <c r="D86" s="18"/>
      <c r="E86" s="18"/>
      <c r="F86" s="18"/>
      <c r="G86" s="18"/>
      <c r="H86" s="18"/>
      <c r="I86" s="18"/>
      <c r="J86" s="19" t="str">
        <f t="shared" si="6"/>
        <v/>
      </c>
      <c r="K86" s="19" t="str">
        <f t="shared" si="7"/>
        <v/>
      </c>
      <c r="L86" s="17"/>
      <c r="M86" s="17"/>
      <c r="N86" s="12" t="str">
        <f t="shared" si="8"/>
        <v/>
      </c>
      <c r="O86" s="12" t="str">
        <f>IF(N86="","",COUNTIF('Match Log'!$J$3:$J$501,"&lt;"&amp;N86)+COUNTIF($N$4:$N$203,"&lt;"&amp;N86)+COUNTIF('Guest Log'!$K$4:$K$203,"&lt;"&amp;N86)+1)</f>
        <v/>
      </c>
    </row>
    <row r="87" spans="1:15" ht="15" customHeight="1" x14ac:dyDescent="0.2">
      <c r="A87" s="22"/>
      <c r="B87" s="21"/>
      <c r="C87" s="22"/>
      <c r="D87" s="22"/>
      <c r="E87" s="22"/>
      <c r="F87" s="22"/>
      <c r="G87" s="22"/>
      <c r="H87" s="22"/>
      <c r="I87" s="22"/>
      <c r="J87" s="23" t="str">
        <f t="shared" si="6"/>
        <v/>
      </c>
      <c r="K87" s="23" t="str">
        <f t="shared" si="7"/>
        <v/>
      </c>
      <c r="L87" s="21"/>
      <c r="M87" s="21"/>
      <c r="N87" s="12" t="str">
        <f t="shared" si="8"/>
        <v/>
      </c>
      <c r="O87" s="12" t="str">
        <f>IF(N87="","",COUNTIF('Match Log'!$J$3:$J$501,"&lt;"&amp;N87)+COUNTIF($N$4:$N$203,"&lt;"&amp;N87)+COUNTIF('Guest Log'!$K$4:$K$203,"&lt;"&amp;N87)+1)</f>
        <v/>
      </c>
    </row>
    <row r="88" spans="1:15" ht="15" customHeight="1" x14ac:dyDescent="0.2">
      <c r="A88" s="18"/>
      <c r="B88" s="17"/>
      <c r="C88" s="18"/>
      <c r="D88" s="18"/>
      <c r="E88" s="18"/>
      <c r="F88" s="18"/>
      <c r="G88" s="18"/>
      <c r="H88" s="18"/>
      <c r="I88" s="18"/>
      <c r="J88" s="19" t="str">
        <f t="shared" si="6"/>
        <v/>
      </c>
      <c r="K88" s="19" t="str">
        <f t="shared" si="7"/>
        <v/>
      </c>
      <c r="L88" s="17"/>
      <c r="M88" s="17"/>
      <c r="N88" s="12" t="str">
        <f t="shared" si="8"/>
        <v/>
      </c>
      <c r="O88" s="12" t="str">
        <f>IF(N88="","",COUNTIF('Match Log'!$J$3:$J$501,"&lt;"&amp;N88)+COUNTIF($N$4:$N$203,"&lt;"&amp;N88)+COUNTIF('Guest Log'!$K$4:$K$203,"&lt;"&amp;N88)+1)</f>
        <v/>
      </c>
    </row>
    <row r="89" spans="1:15" ht="15" customHeight="1" x14ac:dyDescent="0.2">
      <c r="A89" s="22"/>
      <c r="B89" s="21"/>
      <c r="C89" s="22"/>
      <c r="D89" s="22"/>
      <c r="E89" s="22"/>
      <c r="F89" s="22"/>
      <c r="G89" s="22"/>
      <c r="H89" s="22"/>
      <c r="I89" s="22"/>
      <c r="J89" s="23" t="str">
        <f t="shared" si="6"/>
        <v/>
      </c>
      <c r="K89" s="23" t="str">
        <f t="shared" si="7"/>
        <v/>
      </c>
      <c r="L89" s="21"/>
      <c r="M89" s="21"/>
      <c r="N89" s="12" t="str">
        <f t="shared" si="8"/>
        <v/>
      </c>
      <c r="O89" s="12" t="str">
        <f>IF(N89="","",COUNTIF('Match Log'!$J$3:$J$501,"&lt;"&amp;N89)+COUNTIF($N$4:$N$203,"&lt;"&amp;N89)+COUNTIF('Guest Log'!$K$4:$K$203,"&lt;"&amp;N89)+1)</f>
        <v/>
      </c>
    </row>
    <row r="90" spans="1:15" ht="15" customHeight="1" x14ac:dyDescent="0.2">
      <c r="A90" s="18"/>
      <c r="B90" s="17"/>
      <c r="C90" s="18"/>
      <c r="D90" s="18"/>
      <c r="E90" s="18"/>
      <c r="F90" s="18"/>
      <c r="G90" s="18"/>
      <c r="H90" s="18"/>
      <c r="I90" s="18"/>
      <c r="J90" s="19" t="str">
        <f t="shared" si="6"/>
        <v/>
      </c>
      <c r="K90" s="19" t="str">
        <f t="shared" si="7"/>
        <v/>
      </c>
      <c r="L90" s="17"/>
      <c r="M90" s="17"/>
      <c r="N90" s="12" t="str">
        <f t="shared" si="8"/>
        <v/>
      </c>
      <c r="O90" s="12" t="str">
        <f>IF(N90="","",COUNTIF('Match Log'!$J$3:$J$501,"&lt;"&amp;N90)+COUNTIF($N$4:$N$203,"&lt;"&amp;N90)+COUNTIF('Guest Log'!$K$4:$K$203,"&lt;"&amp;N90)+1)</f>
        <v/>
      </c>
    </row>
    <row r="91" spans="1:15" ht="15" customHeight="1" x14ac:dyDescent="0.2">
      <c r="A91" s="22"/>
      <c r="B91" s="21"/>
      <c r="C91" s="22"/>
      <c r="D91" s="22"/>
      <c r="E91" s="22"/>
      <c r="F91" s="22"/>
      <c r="G91" s="22"/>
      <c r="H91" s="22"/>
      <c r="I91" s="22"/>
      <c r="J91" s="23" t="str">
        <f t="shared" si="6"/>
        <v/>
      </c>
      <c r="K91" s="23" t="str">
        <f t="shared" si="7"/>
        <v/>
      </c>
      <c r="L91" s="21"/>
      <c r="M91" s="21"/>
      <c r="N91" s="12" t="str">
        <f t="shared" si="8"/>
        <v/>
      </c>
      <c r="O91" s="12" t="str">
        <f>IF(N91="","",COUNTIF('Match Log'!$J$3:$J$501,"&lt;"&amp;N91)+COUNTIF($N$4:$N$203,"&lt;"&amp;N91)+COUNTIF('Guest Log'!$K$4:$K$203,"&lt;"&amp;N91)+1)</f>
        <v/>
      </c>
    </row>
    <row r="92" spans="1:15" ht="15" customHeight="1" x14ac:dyDescent="0.2">
      <c r="A92" s="18"/>
      <c r="B92" s="17"/>
      <c r="C92" s="18"/>
      <c r="D92" s="18"/>
      <c r="E92" s="18"/>
      <c r="F92" s="18"/>
      <c r="G92" s="18"/>
      <c r="H92" s="18"/>
      <c r="I92" s="18"/>
      <c r="J92" s="19" t="str">
        <f t="shared" si="6"/>
        <v/>
      </c>
      <c r="K92" s="19" t="str">
        <f t="shared" si="7"/>
        <v/>
      </c>
      <c r="L92" s="17"/>
      <c r="M92" s="17"/>
      <c r="N92" s="12" t="str">
        <f t="shared" si="8"/>
        <v/>
      </c>
      <c r="O92" s="12" t="str">
        <f>IF(N92="","",COUNTIF('Match Log'!$J$3:$J$501,"&lt;"&amp;N92)+COUNTIF($N$4:$N$203,"&lt;"&amp;N92)+COUNTIF('Guest Log'!$K$4:$K$203,"&lt;"&amp;N92)+1)</f>
        <v/>
      </c>
    </row>
    <row r="93" spans="1:15" ht="15" customHeight="1" x14ac:dyDescent="0.2">
      <c r="A93" s="22"/>
      <c r="B93" s="21"/>
      <c r="C93" s="22"/>
      <c r="D93" s="22"/>
      <c r="E93" s="22"/>
      <c r="F93" s="22"/>
      <c r="G93" s="22"/>
      <c r="H93" s="22"/>
      <c r="I93" s="22"/>
      <c r="J93" s="23" t="str">
        <f t="shared" si="6"/>
        <v/>
      </c>
      <c r="K93" s="23" t="str">
        <f t="shared" si="7"/>
        <v/>
      </c>
      <c r="L93" s="21"/>
      <c r="M93" s="21"/>
      <c r="N93" s="12" t="str">
        <f t="shared" si="8"/>
        <v/>
      </c>
      <c r="O93" s="12" t="str">
        <f>IF(N93="","",COUNTIF('Match Log'!$J$3:$J$501,"&lt;"&amp;N93)+COUNTIF($N$4:$N$203,"&lt;"&amp;N93)+COUNTIF('Guest Log'!$K$4:$K$203,"&lt;"&amp;N93)+1)</f>
        <v/>
      </c>
    </row>
    <row r="94" spans="1:15" ht="15" customHeight="1" x14ac:dyDescent="0.2">
      <c r="A94" s="18"/>
      <c r="B94" s="17"/>
      <c r="C94" s="18"/>
      <c r="D94" s="18"/>
      <c r="E94" s="18"/>
      <c r="F94" s="18"/>
      <c r="G94" s="18"/>
      <c r="H94" s="18"/>
      <c r="I94" s="18"/>
      <c r="J94" s="19" t="str">
        <f t="shared" si="6"/>
        <v/>
      </c>
      <c r="K94" s="19" t="str">
        <f t="shared" si="7"/>
        <v/>
      </c>
      <c r="L94" s="17"/>
      <c r="M94" s="17"/>
      <c r="N94" s="12" t="str">
        <f t="shared" si="8"/>
        <v/>
      </c>
      <c r="O94" s="12" t="str">
        <f>IF(N94="","",COUNTIF('Match Log'!$J$3:$J$501,"&lt;"&amp;N94)+COUNTIF($N$4:$N$203,"&lt;"&amp;N94)+COUNTIF('Guest Log'!$K$4:$K$203,"&lt;"&amp;N94)+1)</f>
        <v/>
      </c>
    </row>
    <row r="95" spans="1:15" ht="15" customHeight="1" x14ac:dyDescent="0.2">
      <c r="A95" s="22"/>
      <c r="B95" s="21"/>
      <c r="C95" s="22"/>
      <c r="D95" s="22"/>
      <c r="E95" s="22"/>
      <c r="F95" s="22"/>
      <c r="G95" s="22"/>
      <c r="H95" s="22"/>
      <c r="I95" s="22"/>
      <c r="J95" s="23" t="str">
        <f t="shared" si="6"/>
        <v/>
      </c>
      <c r="K95" s="23" t="str">
        <f t="shared" si="7"/>
        <v/>
      </c>
      <c r="L95" s="21"/>
      <c r="M95" s="21"/>
      <c r="N95" s="12" t="str">
        <f t="shared" si="8"/>
        <v/>
      </c>
      <c r="O95" s="12" t="str">
        <f>IF(N95="","",COUNTIF('Match Log'!$J$3:$J$501,"&lt;"&amp;N95)+COUNTIF($N$4:$N$203,"&lt;"&amp;N95)+COUNTIF('Guest Log'!$K$4:$K$203,"&lt;"&amp;N95)+1)</f>
        <v/>
      </c>
    </row>
    <row r="96" spans="1:15" ht="15" customHeight="1" x14ac:dyDescent="0.2">
      <c r="A96" s="18"/>
      <c r="B96" s="17"/>
      <c r="C96" s="18"/>
      <c r="D96" s="18"/>
      <c r="E96" s="18"/>
      <c r="F96" s="18"/>
      <c r="G96" s="18"/>
      <c r="H96" s="18"/>
      <c r="I96" s="18"/>
      <c r="J96" s="19" t="str">
        <f t="shared" si="6"/>
        <v/>
      </c>
      <c r="K96" s="19" t="str">
        <f t="shared" si="7"/>
        <v/>
      </c>
      <c r="L96" s="17"/>
      <c r="M96" s="17"/>
      <c r="N96" s="12" t="str">
        <f t="shared" si="8"/>
        <v/>
      </c>
      <c r="O96" s="12" t="str">
        <f>IF(N96="","",COUNTIF('Match Log'!$J$3:$J$501,"&lt;"&amp;N96)+COUNTIF($N$4:$N$203,"&lt;"&amp;N96)+COUNTIF('Guest Log'!$K$4:$K$203,"&lt;"&amp;N96)+1)</f>
        <v/>
      </c>
    </row>
    <row r="97" spans="1:15" ht="15" customHeight="1" x14ac:dyDescent="0.2">
      <c r="A97" s="22"/>
      <c r="B97" s="21"/>
      <c r="C97" s="22"/>
      <c r="D97" s="22"/>
      <c r="E97" s="22"/>
      <c r="F97" s="22"/>
      <c r="G97" s="22"/>
      <c r="H97" s="22"/>
      <c r="I97" s="22"/>
      <c r="J97" s="23" t="str">
        <f t="shared" si="6"/>
        <v/>
      </c>
      <c r="K97" s="23" t="str">
        <f t="shared" si="7"/>
        <v/>
      </c>
      <c r="L97" s="21"/>
      <c r="M97" s="21"/>
      <c r="N97" s="12" t="str">
        <f t="shared" si="8"/>
        <v/>
      </c>
      <c r="O97" s="12" t="str">
        <f>IF(N97="","",COUNTIF('Match Log'!$J$3:$J$501,"&lt;"&amp;N97)+COUNTIF($N$4:$N$203,"&lt;"&amp;N97)+COUNTIF('Guest Log'!$K$4:$K$203,"&lt;"&amp;N97)+1)</f>
        <v/>
      </c>
    </row>
    <row r="98" spans="1:15" ht="15" customHeight="1" x14ac:dyDescent="0.2">
      <c r="A98" s="18"/>
      <c r="B98" s="17"/>
      <c r="C98" s="18"/>
      <c r="D98" s="18"/>
      <c r="E98" s="18"/>
      <c r="F98" s="18"/>
      <c r="G98" s="18"/>
      <c r="H98" s="18"/>
      <c r="I98" s="18"/>
      <c r="J98" s="19" t="str">
        <f t="shared" si="6"/>
        <v/>
      </c>
      <c r="K98" s="19" t="str">
        <f t="shared" si="7"/>
        <v/>
      </c>
      <c r="L98" s="17"/>
      <c r="M98" s="17"/>
      <c r="N98" s="12" t="str">
        <f t="shared" si="8"/>
        <v/>
      </c>
      <c r="O98" s="12" t="str">
        <f>IF(N98="","",COUNTIF('Match Log'!$J$3:$J$501,"&lt;"&amp;N98)+COUNTIF($N$4:$N$203,"&lt;"&amp;N98)+COUNTIF('Guest Log'!$K$4:$K$203,"&lt;"&amp;N98)+1)</f>
        <v/>
      </c>
    </row>
    <row r="99" spans="1:15" ht="15" customHeight="1" x14ac:dyDescent="0.2">
      <c r="A99" s="22"/>
      <c r="B99" s="21"/>
      <c r="C99" s="22"/>
      <c r="D99" s="22"/>
      <c r="E99" s="22"/>
      <c r="F99" s="22"/>
      <c r="G99" s="22"/>
      <c r="H99" s="22"/>
      <c r="I99" s="22"/>
      <c r="J99" s="23" t="str">
        <f t="shared" si="6"/>
        <v/>
      </c>
      <c r="K99" s="23" t="str">
        <f t="shared" si="7"/>
        <v/>
      </c>
      <c r="L99" s="21"/>
      <c r="M99" s="21"/>
      <c r="N99" s="12" t="str">
        <f t="shared" si="8"/>
        <v/>
      </c>
      <c r="O99" s="12" t="str">
        <f>IF(N99="","",COUNTIF('Match Log'!$J$3:$J$501,"&lt;"&amp;N99)+COUNTIF($N$4:$N$203,"&lt;"&amp;N99)+COUNTIF('Guest Log'!$K$4:$K$203,"&lt;"&amp;N99)+1)</f>
        <v/>
      </c>
    </row>
    <row r="100" spans="1:15" ht="15" customHeight="1" x14ac:dyDescent="0.2">
      <c r="A100" s="18"/>
      <c r="B100" s="17"/>
      <c r="C100" s="18"/>
      <c r="D100" s="18"/>
      <c r="E100" s="18"/>
      <c r="F100" s="18"/>
      <c r="G100" s="18"/>
      <c r="H100" s="18"/>
      <c r="I100" s="18"/>
      <c r="J100" s="19" t="str">
        <f t="shared" ref="J100:J131" si="9">IF(C100="","",IF(I100="","",ROUND(800+I100*400,0)))</f>
        <v/>
      </c>
      <c r="K100" s="19" t="str">
        <f t="shared" ref="K100:K131" si="10">IF(C100="","",IF(D100=0,"",ROUND((E100+0.5*F100)/D100,4)))</f>
        <v/>
      </c>
      <c r="L100" s="17"/>
      <c r="M100" s="17"/>
      <c r="N100" s="12" t="str">
        <f t="shared" ref="N100:N131" si="11">IF(A100="","",A100+0.0005+ROW()/10000000)</f>
        <v/>
      </c>
      <c r="O100" s="12" t="str">
        <f>IF(N100="","",COUNTIF('Match Log'!$J$3:$J$501,"&lt;"&amp;N100)+COUNTIF($N$4:$N$203,"&lt;"&amp;N100)+COUNTIF('Guest Log'!$K$4:$K$203,"&lt;"&amp;N100)+1)</f>
        <v/>
      </c>
    </row>
    <row r="101" spans="1:15" ht="15" customHeight="1" x14ac:dyDescent="0.2">
      <c r="A101" s="22"/>
      <c r="B101" s="21"/>
      <c r="C101" s="22"/>
      <c r="D101" s="22"/>
      <c r="E101" s="22"/>
      <c r="F101" s="22"/>
      <c r="G101" s="22"/>
      <c r="H101" s="22"/>
      <c r="I101" s="22"/>
      <c r="J101" s="23" t="str">
        <f t="shared" si="9"/>
        <v/>
      </c>
      <c r="K101" s="23" t="str">
        <f t="shared" si="10"/>
        <v/>
      </c>
      <c r="L101" s="21"/>
      <c r="M101" s="21"/>
      <c r="N101" s="12" t="str">
        <f t="shared" si="11"/>
        <v/>
      </c>
      <c r="O101" s="12" t="str">
        <f>IF(N101="","",COUNTIF('Match Log'!$J$3:$J$501,"&lt;"&amp;N101)+COUNTIF($N$4:$N$203,"&lt;"&amp;N101)+COUNTIF('Guest Log'!$K$4:$K$203,"&lt;"&amp;N101)+1)</f>
        <v/>
      </c>
    </row>
    <row r="102" spans="1:15" ht="15" customHeight="1" x14ac:dyDescent="0.2">
      <c r="A102" s="18"/>
      <c r="B102" s="17"/>
      <c r="C102" s="18"/>
      <c r="D102" s="18"/>
      <c r="E102" s="18"/>
      <c r="F102" s="18"/>
      <c r="G102" s="18"/>
      <c r="H102" s="18"/>
      <c r="I102" s="18"/>
      <c r="J102" s="19" t="str">
        <f t="shared" si="9"/>
        <v/>
      </c>
      <c r="K102" s="19" t="str">
        <f t="shared" si="10"/>
        <v/>
      </c>
      <c r="L102" s="17"/>
      <c r="M102" s="17"/>
      <c r="N102" s="12" t="str">
        <f t="shared" si="11"/>
        <v/>
      </c>
      <c r="O102" s="12" t="str">
        <f>IF(N102="","",COUNTIF('Match Log'!$J$3:$J$501,"&lt;"&amp;N102)+COUNTIF($N$4:$N$203,"&lt;"&amp;N102)+COUNTIF('Guest Log'!$K$4:$K$203,"&lt;"&amp;N102)+1)</f>
        <v/>
      </c>
    </row>
    <row r="103" spans="1:15" ht="15" customHeight="1" x14ac:dyDescent="0.2">
      <c r="A103" s="22"/>
      <c r="B103" s="21"/>
      <c r="C103" s="22"/>
      <c r="D103" s="22"/>
      <c r="E103" s="22"/>
      <c r="F103" s="22"/>
      <c r="G103" s="22"/>
      <c r="H103" s="22"/>
      <c r="I103" s="22"/>
      <c r="J103" s="23" t="str">
        <f t="shared" si="9"/>
        <v/>
      </c>
      <c r="K103" s="23" t="str">
        <f t="shared" si="10"/>
        <v/>
      </c>
      <c r="L103" s="21"/>
      <c r="M103" s="21"/>
      <c r="N103" s="12" t="str">
        <f t="shared" si="11"/>
        <v/>
      </c>
      <c r="O103" s="12" t="str">
        <f>IF(N103="","",COUNTIF('Match Log'!$J$3:$J$501,"&lt;"&amp;N103)+COUNTIF($N$4:$N$203,"&lt;"&amp;N103)+COUNTIF('Guest Log'!$K$4:$K$203,"&lt;"&amp;N103)+1)</f>
        <v/>
      </c>
    </row>
    <row r="104" spans="1:15" ht="15" customHeight="1" x14ac:dyDescent="0.2">
      <c r="A104" s="18"/>
      <c r="B104" s="17"/>
      <c r="C104" s="18"/>
      <c r="D104" s="18"/>
      <c r="E104" s="18"/>
      <c r="F104" s="18"/>
      <c r="G104" s="18"/>
      <c r="H104" s="18"/>
      <c r="I104" s="18"/>
      <c r="J104" s="19" t="str">
        <f t="shared" si="9"/>
        <v/>
      </c>
      <c r="K104" s="19" t="str">
        <f t="shared" si="10"/>
        <v/>
      </c>
      <c r="L104" s="17"/>
      <c r="M104" s="17"/>
      <c r="N104" s="12" t="str">
        <f t="shared" si="11"/>
        <v/>
      </c>
      <c r="O104" s="12" t="str">
        <f>IF(N104="","",COUNTIF('Match Log'!$J$3:$J$501,"&lt;"&amp;N104)+COUNTIF($N$4:$N$203,"&lt;"&amp;N104)+COUNTIF('Guest Log'!$K$4:$K$203,"&lt;"&amp;N104)+1)</f>
        <v/>
      </c>
    </row>
    <row r="105" spans="1:15" ht="15" customHeight="1" x14ac:dyDescent="0.2">
      <c r="A105" s="22"/>
      <c r="B105" s="21"/>
      <c r="C105" s="22"/>
      <c r="D105" s="22"/>
      <c r="E105" s="22"/>
      <c r="F105" s="22"/>
      <c r="G105" s="22"/>
      <c r="H105" s="22"/>
      <c r="I105" s="22"/>
      <c r="J105" s="23" t="str">
        <f t="shared" si="9"/>
        <v/>
      </c>
      <c r="K105" s="23" t="str">
        <f t="shared" si="10"/>
        <v/>
      </c>
      <c r="L105" s="21"/>
      <c r="M105" s="21"/>
      <c r="N105" s="12" t="str">
        <f t="shared" si="11"/>
        <v/>
      </c>
      <c r="O105" s="12" t="str">
        <f>IF(N105="","",COUNTIF('Match Log'!$J$3:$J$501,"&lt;"&amp;N105)+COUNTIF($N$4:$N$203,"&lt;"&amp;N105)+COUNTIF('Guest Log'!$K$4:$K$203,"&lt;"&amp;N105)+1)</f>
        <v/>
      </c>
    </row>
    <row r="106" spans="1:15" ht="15" customHeight="1" x14ac:dyDescent="0.2">
      <c r="A106" s="18"/>
      <c r="B106" s="17"/>
      <c r="C106" s="18"/>
      <c r="D106" s="18"/>
      <c r="E106" s="18"/>
      <c r="F106" s="18"/>
      <c r="G106" s="18"/>
      <c r="H106" s="18"/>
      <c r="I106" s="18"/>
      <c r="J106" s="19" t="str">
        <f t="shared" si="9"/>
        <v/>
      </c>
      <c r="K106" s="19" t="str">
        <f t="shared" si="10"/>
        <v/>
      </c>
      <c r="L106" s="17"/>
      <c r="M106" s="17"/>
      <c r="N106" s="12" t="str">
        <f t="shared" si="11"/>
        <v/>
      </c>
      <c r="O106" s="12" t="str">
        <f>IF(N106="","",COUNTIF('Match Log'!$J$3:$J$501,"&lt;"&amp;N106)+COUNTIF($N$4:$N$203,"&lt;"&amp;N106)+COUNTIF('Guest Log'!$K$4:$K$203,"&lt;"&amp;N106)+1)</f>
        <v/>
      </c>
    </row>
    <row r="107" spans="1:15" ht="15" customHeight="1" x14ac:dyDescent="0.2">
      <c r="A107" s="22"/>
      <c r="B107" s="21"/>
      <c r="C107" s="22"/>
      <c r="D107" s="22"/>
      <c r="E107" s="22"/>
      <c r="F107" s="22"/>
      <c r="G107" s="22"/>
      <c r="H107" s="22"/>
      <c r="I107" s="22"/>
      <c r="J107" s="23" t="str">
        <f t="shared" si="9"/>
        <v/>
      </c>
      <c r="K107" s="23" t="str">
        <f t="shared" si="10"/>
        <v/>
      </c>
      <c r="L107" s="21"/>
      <c r="M107" s="21"/>
      <c r="N107" s="12" t="str">
        <f t="shared" si="11"/>
        <v/>
      </c>
      <c r="O107" s="12" t="str">
        <f>IF(N107="","",COUNTIF('Match Log'!$J$3:$J$501,"&lt;"&amp;N107)+COUNTIF($N$4:$N$203,"&lt;"&amp;N107)+COUNTIF('Guest Log'!$K$4:$K$203,"&lt;"&amp;N107)+1)</f>
        <v/>
      </c>
    </row>
    <row r="108" spans="1:15" ht="15" customHeight="1" x14ac:dyDescent="0.2">
      <c r="A108" s="18"/>
      <c r="B108" s="17"/>
      <c r="C108" s="18"/>
      <c r="D108" s="18"/>
      <c r="E108" s="18"/>
      <c r="F108" s="18"/>
      <c r="G108" s="18"/>
      <c r="H108" s="18"/>
      <c r="I108" s="18"/>
      <c r="J108" s="19" t="str">
        <f t="shared" si="9"/>
        <v/>
      </c>
      <c r="K108" s="19" t="str">
        <f t="shared" si="10"/>
        <v/>
      </c>
      <c r="L108" s="17"/>
      <c r="M108" s="17"/>
      <c r="N108" s="12" t="str">
        <f t="shared" si="11"/>
        <v/>
      </c>
      <c r="O108" s="12" t="str">
        <f>IF(N108="","",COUNTIF('Match Log'!$J$3:$J$501,"&lt;"&amp;N108)+COUNTIF($N$4:$N$203,"&lt;"&amp;N108)+COUNTIF('Guest Log'!$K$4:$K$203,"&lt;"&amp;N108)+1)</f>
        <v/>
      </c>
    </row>
    <row r="109" spans="1:15" ht="15" customHeight="1" x14ac:dyDescent="0.2">
      <c r="A109" s="22"/>
      <c r="B109" s="21"/>
      <c r="C109" s="22"/>
      <c r="D109" s="22"/>
      <c r="E109" s="22"/>
      <c r="F109" s="22"/>
      <c r="G109" s="22"/>
      <c r="H109" s="22"/>
      <c r="I109" s="22"/>
      <c r="J109" s="23" t="str">
        <f t="shared" si="9"/>
        <v/>
      </c>
      <c r="K109" s="23" t="str">
        <f t="shared" si="10"/>
        <v/>
      </c>
      <c r="L109" s="21"/>
      <c r="M109" s="21"/>
      <c r="N109" s="12" t="str">
        <f t="shared" si="11"/>
        <v/>
      </c>
      <c r="O109" s="12" t="str">
        <f>IF(N109="","",COUNTIF('Match Log'!$J$3:$J$501,"&lt;"&amp;N109)+COUNTIF($N$4:$N$203,"&lt;"&amp;N109)+COUNTIF('Guest Log'!$K$4:$K$203,"&lt;"&amp;N109)+1)</f>
        <v/>
      </c>
    </row>
    <row r="110" spans="1:15" ht="15" customHeight="1" x14ac:dyDescent="0.2">
      <c r="A110" s="18"/>
      <c r="B110" s="17"/>
      <c r="C110" s="18"/>
      <c r="D110" s="18"/>
      <c r="E110" s="18"/>
      <c r="F110" s="18"/>
      <c r="G110" s="18"/>
      <c r="H110" s="18"/>
      <c r="I110" s="18"/>
      <c r="J110" s="19" t="str">
        <f t="shared" si="9"/>
        <v/>
      </c>
      <c r="K110" s="19" t="str">
        <f t="shared" si="10"/>
        <v/>
      </c>
      <c r="L110" s="17"/>
      <c r="M110" s="17"/>
      <c r="N110" s="12" t="str">
        <f t="shared" si="11"/>
        <v/>
      </c>
      <c r="O110" s="12" t="str">
        <f>IF(N110="","",COUNTIF('Match Log'!$J$3:$J$501,"&lt;"&amp;N110)+COUNTIF($N$4:$N$203,"&lt;"&amp;N110)+COUNTIF('Guest Log'!$K$4:$K$203,"&lt;"&amp;N110)+1)</f>
        <v/>
      </c>
    </row>
    <row r="111" spans="1:15" ht="15" customHeight="1" x14ac:dyDescent="0.2">
      <c r="A111" s="22"/>
      <c r="B111" s="21"/>
      <c r="C111" s="22"/>
      <c r="D111" s="22"/>
      <c r="E111" s="22"/>
      <c r="F111" s="22"/>
      <c r="G111" s="22"/>
      <c r="H111" s="22"/>
      <c r="I111" s="22"/>
      <c r="J111" s="23" t="str">
        <f t="shared" si="9"/>
        <v/>
      </c>
      <c r="K111" s="23" t="str">
        <f t="shared" si="10"/>
        <v/>
      </c>
      <c r="L111" s="21"/>
      <c r="M111" s="21"/>
      <c r="N111" s="12" t="str">
        <f t="shared" si="11"/>
        <v/>
      </c>
      <c r="O111" s="12" t="str">
        <f>IF(N111="","",COUNTIF('Match Log'!$J$3:$J$501,"&lt;"&amp;N111)+COUNTIF($N$4:$N$203,"&lt;"&amp;N111)+COUNTIF('Guest Log'!$K$4:$K$203,"&lt;"&amp;N111)+1)</f>
        <v/>
      </c>
    </row>
    <row r="112" spans="1:15" ht="15" customHeight="1" x14ac:dyDescent="0.2">
      <c r="A112" s="18"/>
      <c r="B112" s="17"/>
      <c r="C112" s="18"/>
      <c r="D112" s="18"/>
      <c r="E112" s="18"/>
      <c r="F112" s="18"/>
      <c r="G112" s="18"/>
      <c r="H112" s="18"/>
      <c r="I112" s="18"/>
      <c r="J112" s="19" t="str">
        <f t="shared" si="9"/>
        <v/>
      </c>
      <c r="K112" s="19" t="str">
        <f t="shared" si="10"/>
        <v/>
      </c>
      <c r="L112" s="17"/>
      <c r="M112" s="17"/>
      <c r="N112" s="12" t="str">
        <f t="shared" si="11"/>
        <v/>
      </c>
      <c r="O112" s="12" t="str">
        <f>IF(N112="","",COUNTIF('Match Log'!$J$3:$J$501,"&lt;"&amp;N112)+COUNTIF($N$4:$N$203,"&lt;"&amp;N112)+COUNTIF('Guest Log'!$K$4:$K$203,"&lt;"&amp;N112)+1)</f>
        <v/>
      </c>
    </row>
    <row r="113" spans="1:15" ht="15" customHeight="1" x14ac:dyDescent="0.2">
      <c r="A113" s="22"/>
      <c r="B113" s="21"/>
      <c r="C113" s="22"/>
      <c r="D113" s="22"/>
      <c r="E113" s="22"/>
      <c r="F113" s="22"/>
      <c r="G113" s="22"/>
      <c r="H113" s="22"/>
      <c r="I113" s="22"/>
      <c r="J113" s="23" t="str">
        <f t="shared" si="9"/>
        <v/>
      </c>
      <c r="K113" s="23" t="str">
        <f t="shared" si="10"/>
        <v/>
      </c>
      <c r="L113" s="21"/>
      <c r="M113" s="21"/>
      <c r="N113" s="12" t="str">
        <f t="shared" si="11"/>
        <v/>
      </c>
      <c r="O113" s="12" t="str">
        <f>IF(N113="","",COUNTIF('Match Log'!$J$3:$J$501,"&lt;"&amp;N113)+COUNTIF($N$4:$N$203,"&lt;"&amp;N113)+COUNTIF('Guest Log'!$K$4:$K$203,"&lt;"&amp;N113)+1)</f>
        <v/>
      </c>
    </row>
    <row r="114" spans="1:15" ht="15" customHeight="1" x14ac:dyDescent="0.2">
      <c r="A114" s="18"/>
      <c r="B114" s="17"/>
      <c r="C114" s="18"/>
      <c r="D114" s="18"/>
      <c r="E114" s="18"/>
      <c r="F114" s="18"/>
      <c r="G114" s="18"/>
      <c r="H114" s="18"/>
      <c r="I114" s="18"/>
      <c r="J114" s="19" t="str">
        <f t="shared" si="9"/>
        <v/>
      </c>
      <c r="K114" s="19" t="str">
        <f t="shared" si="10"/>
        <v/>
      </c>
      <c r="L114" s="17"/>
      <c r="M114" s="17"/>
      <c r="N114" s="12" t="str">
        <f t="shared" si="11"/>
        <v/>
      </c>
      <c r="O114" s="12" t="str">
        <f>IF(N114="","",COUNTIF('Match Log'!$J$3:$J$501,"&lt;"&amp;N114)+COUNTIF($N$4:$N$203,"&lt;"&amp;N114)+COUNTIF('Guest Log'!$K$4:$K$203,"&lt;"&amp;N114)+1)</f>
        <v/>
      </c>
    </row>
    <row r="115" spans="1:15" ht="15" customHeight="1" x14ac:dyDescent="0.2">
      <c r="A115" s="22"/>
      <c r="B115" s="21"/>
      <c r="C115" s="22"/>
      <c r="D115" s="22"/>
      <c r="E115" s="22"/>
      <c r="F115" s="22"/>
      <c r="G115" s="22"/>
      <c r="H115" s="22"/>
      <c r="I115" s="22"/>
      <c r="J115" s="23" t="str">
        <f t="shared" si="9"/>
        <v/>
      </c>
      <c r="K115" s="23" t="str">
        <f t="shared" si="10"/>
        <v/>
      </c>
      <c r="L115" s="21"/>
      <c r="M115" s="21"/>
      <c r="N115" s="12" t="str">
        <f t="shared" si="11"/>
        <v/>
      </c>
      <c r="O115" s="12" t="str">
        <f>IF(N115="","",COUNTIF('Match Log'!$J$3:$J$501,"&lt;"&amp;N115)+COUNTIF($N$4:$N$203,"&lt;"&amp;N115)+COUNTIF('Guest Log'!$K$4:$K$203,"&lt;"&amp;N115)+1)</f>
        <v/>
      </c>
    </row>
    <row r="116" spans="1:15" ht="15" customHeight="1" x14ac:dyDescent="0.2">
      <c r="A116" s="18"/>
      <c r="B116" s="17"/>
      <c r="C116" s="18"/>
      <c r="D116" s="18"/>
      <c r="E116" s="18"/>
      <c r="F116" s="18"/>
      <c r="G116" s="18"/>
      <c r="H116" s="18"/>
      <c r="I116" s="18"/>
      <c r="J116" s="19" t="str">
        <f t="shared" si="9"/>
        <v/>
      </c>
      <c r="K116" s="19" t="str">
        <f t="shared" si="10"/>
        <v/>
      </c>
      <c r="L116" s="17"/>
      <c r="M116" s="17"/>
      <c r="N116" s="12" t="str">
        <f t="shared" si="11"/>
        <v/>
      </c>
      <c r="O116" s="12" t="str">
        <f>IF(N116="","",COUNTIF('Match Log'!$J$3:$J$501,"&lt;"&amp;N116)+COUNTIF($N$4:$N$203,"&lt;"&amp;N116)+COUNTIF('Guest Log'!$K$4:$K$203,"&lt;"&amp;N116)+1)</f>
        <v/>
      </c>
    </row>
    <row r="117" spans="1:15" ht="15" customHeight="1" x14ac:dyDescent="0.2">
      <c r="A117" s="22"/>
      <c r="B117" s="21"/>
      <c r="C117" s="22"/>
      <c r="D117" s="22"/>
      <c r="E117" s="22"/>
      <c r="F117" s="22"/>
      <c r="G117" s="22"/>
      <c r="H117" s="22"/>
      <c r="I117" s="22"/>
      <c r="J117" s="23" t="str">
        <f t="shared" si="9"/>
        <v/>
      </c>
      <c r="K117" s="23" t="str">
        <f t="shared" si="10"/>
        <v/>
      </c>
      <c r="L117" s="21"/>
      <c r="M117" s="21"/>
      <c r="N117" s="12" t="str">
        <f t="shared" si="11"/>
        <v/>
      </c>
      <c r="O117" s="12" t="str">
        <f>IF(N117="","",COUNTIF('Match Log'!$J$3:$J$501,"&lt;"&amp;N117)+COUNTIF($N$4:$N$203,"&lt;"&amp;N117)+COUNTIF('Guest Log'!$K$4:$K$203,"&lt;"&amp;N117)+1)</f>
        <v/>
      </c>
    </row>
    <row r="118" spans="1:15" ht="15" customHeight="1" x14ac:dyDescent="0.2">
      <c r="A118" s="18"/>
      <c r="B118" s="17"/>
      <c r="C118" s="18"/>
      <c r="D118" s="18"/>
      <c r="E118" s="18"/>
      <c r="F118" s="18"/>
      <c r="G118" s="18"/>
      <c r="H118" s="18"/>
      <c r="I118" s="18"/>
      <c r="J118" s="19" t="str">
        <f t="shared" si="9"/>
        <v/>
      </c>
      <c r="K118" s="19" t="str">
        <f t="shared" si="10"/>
        <v/>
      </c>
      <c r="L118" s="17"/>
      <c r="M118" s="17"/>
      <c r="N118" s="12" t="str">
        <f t="shared" si="11"/>
        <v/>
      </c>
      <c r="O118" s="12" t="str">
        <f>IF(N118="","",COUNTIF('Match Log'!$J$3:$J$501,"&lt;"&amp;N118)+COUNTIF($N$4:$N$203,"&lt;"&amp;N118)+COUNTIF('Guest Log'!$K$4:$K$203,"&lt;"&amp;N118)+1)</f>
        <v/>
      </c>
    </row>
    <row r="119" spans="1:15" ht="15" customHeight="1" x14ac:dyDescent="0.2">
      <c r="A119" s="22"/>
      <c r="B119" s="21"/>
      <c r="C119" s="22"/>
      <c r="D119" s="22"/>
      <c r="E119" s="22"/>
      <c r="F119" s="22"/>
      <c r="G119" s="22"/>
      <c r="H119" s="22"/>
      <c r="I119" s="22"/>
      <c r="J119" s="23" t="str">
        <f t="shared" si="9"/>
        <v/>
      </c>
      <c r="K119" s="23" t="str">
        <f t="shared" si="10"/>
        <v/>
      </c>
      <c r="L119" s="21"/>
      <c r="M119" s="21"/>
      <c r="N119" s="12" t="str">
        <f t="shared" si="11"/>
        <v/>
      </c>
      <c r="O119" s="12" t="str">
        <f>IF(N119="","",COUNTIF('Match Log'!$J$3:$J$501,"&lt;"&amp;N119)+COUNTIF($N$4:$N$203,"&lt;"&amp;N119)+COUNTIF('Guest Log'!$K$4:$K$203,"&lt;"&amp;N119)+1)</f>
        <v/>
      </c>
    </row>
    <row r="120" spans="1:15" ht="15" customHeight="1" x14ac:dyDescent="0.2">
      <c r="A120" s="18"/>
      <c r="B120" s="17"/>
      <c r="C120" s="18"/>
      <c r="D120" s="18"/>
      <c r="E120" s="18"/>
      <c r="F120" s="18"/>
      <c r="G120" s="18"/>
      <c r="H120" s="18"/>
      <c r="I120" s="18"/>
      <c r="J120" s="19" t="str">
        <f t="shared" si="9"/>
        <v/>
      </c>
      <c r="K120" s="19" t="str">
        <f t="shared" si="10"/>
        <v/>
      </c>
      <c r="L120" s="17"/>
      <c r="M120" s="17"/>
      <c r="N120" s="12" t="str">
        <f t="shared" si="11"/>
        <v/>
      </c>
      <c r="O120" s="12" t="str">
        <f>IF(N120="","",COUNTIF('Match Log'!$J$3:$J$501,"&lt;"&amp;N120)+COUNTIF($N$4:$N$203,"&lt;"&amp;N120)+COUNTIF('Guest Log'!$K$4:$K$203,"&lt;"&amp;N120)+1)</f>
        <v/>
      </c>
    </row>
    <row r="121" spans="1:15" ht="15" customHeight="1" x14ac:dyDescent="0.2">
      <c r="A121" s="22"/>
      <c r="B121" s="21"/>
      <c r="C121" s="22"/>
      <c r="D121" s="22"/>
      <c r="E121" s="22"/>
      <c r="F121" s="22"/>
      <c r="G121" s="22"/>
      <c r="H121" s="22"/>
      <c r="I121" s="22"/>
      <c r="J121" s="23" t="str">
        <f t="shared" si="9"/>
        <v/>
      </c>
      <c r="K121" s="23" t="str">
        <f t="shared" si="10"/>
        <v/>
      </c>
      <c r="L121" s="21"/>
      <c r="M121" s="21"/>
      <c r="N121" s="12" t="str">
        <f t="shared" si="11"/>
        <v/>
      </c>
      <c r="O121" s="12" t="str">
        <f>IF(N121="","",COUNTIF('Match Log'!$J$3:$J$501,"&lt;"&amp;N121)+COUNTIF($N$4:$N$203,"&lt;"&amp;N121)+COUNTIF('Guest Log'!$K$4:$K$203,"&lt;"&amp;N121)+1)</f>
        <v/>
      </c>
    </row>
    <row r="122" spans="1:15" ht="15" customHeight="1" x14ac:dyDescent="0.2">
      <c r="A122" s="18"/>
      <c r="B122" s="17"/>
      <c r="C122" s="18"/>
      <c r="D122" s="18"/>
      <c r="E122" s="18"/>
      <c r="F122" s="18"/>
      <c r="G122" s="18"/>
      <c r="H122" s="18"/>
      <c r="I122" s="18"/>
      <c r="J122" s="19" t="str">
        <f t="shared" si="9"/>
        <v/>
      </c>
      <c r="K122" s="19" t="str">
        <f t="shared" si="10"/>
        <v/>
      </c>
      <c r="L122" s="17"/>
      <c r="M122" s="17"/>
      <c r="N122" s="12" t="str">
        <f t="shared" si="11"/>
        <v/>
      </c>
      <c r="O122" s="12" t="str">
        <f>IF(N122="","",COUNTIF('Match Log'!$J$3:$J$501,"&lt;"&amp;N122)+COUNTIF($N$4:$N$203,"&lt;"&amp;N122)+COUNTIF('Guest Log'!$K$4:$K$203,"&lt;"&amp;N122)+1)</f>
        <v/>
      </c>
    </row>
    <row r="123" spans="1:15" ht="15" customHeight="1" x14ac:dyDescent="0.2">
      <c r="A123" s="22"/>
      <c r="B123" s="21"/>
      <c r="C123" s="22"/>
      <c r="D123" s="22"/>
      <c r="E123" s="22"/>
      <c r="F123" s="22"/>
      <c r="G123" s="22"/>
      <c r="H123" s="22"/>
      <c r="I123" s="22"/>
      <c r="J123" s="23" t="str">
        <f t="shared" si="9"/>
        <v/>
      </c>
      <c r="K123" s="23" t="str">
        <f t="shared" si="10"/>
        <v/>
      </c>
      <c r="L123" s="21"/>
      <c r="M123" s="21"/>
      <c r="N123" s="12" t="str">
        <f t="shared" si="11"/>
        <v/>
      </c>
      <c r="O123" s="12" t="str">
        <f>IF(N123="","",COUNTIF('Match Log'!$J$3:$J$501,"&lt;"&amp;N123)+COUNTIF($N$4:$N$203,"&lt;"&amp;N123)+COUNTIF('Guest Log'!$K$4:$K$203,"&lt;"&amp;N123)+1)</f>
        <v/>
      </c>
    </row>
    <row r="124" spans="1:15" ht="15" customHeight="1" x14ac:dyDescent="0.2">
      <c r="A124" s="18"/>
      <c r="B124" s="17"/>
      <c r="C124" s="18"/>
      <c r="D124" s="18"/>
      <c r="E124" s="18"/>
      <c r="F124" s="18"/>
      <c r="G124" s="18"/>
      <c r="H124" s="18"/>
      <c r="I124" s="18"/>
      <c r="J124" s="19" t="str">
        <f t="shared" si="9"/>
        <v/>
      </c>
      <c r="K124" s="19" t="str">
        <f t="shared" si="10"/>
        <v/>
      </c>
      <c r="L124" s="17"/>
      <c r="M124" s="17"/>
      <c r="N124" s="12" t="str">
        <f t="shared" si="11"/>
        <v/>
      </c>
      <c r="O124" s="12" t="str">
        <f>IF(N124="","",COUNTIF('Match Log'!$J$3:$J$501,"&lt;"&amp;N124)+COUNTIF($N$4:$N$203,"&lt;"&amp;N124)+COUNTIF('Guest Log'!$K$4:$K$203,"&lt;"&amp;N124)+1)</f>
        <v/>
      </c>
    </row>
    <row r="125" spans="1:15" ht="15" customHeight="1" x14ac:dyDescent="0.2">
      <c r="A125" s="22"/>
      <c r="B125" s="21"/>
      <c r="C125" s="22"/>
      <c r="D125" s="22"/>
      <c r="E125" s="22"/>
      <c r="F125" s="22"/>
      <c r="G125" s="22"/>
      <c r="H125" s="22"/>
      <c r="I125" s="22"/>
      <c r="J125" s="23" t="str">
        <f t="shared" si="9"/>
        <v/>
      </c>
      <c r="K125" s="23" t="str">
        <f t="shared" si="10"/>
        <v/>
      </c>
      <c r="L125" s="21"/>
      <c r="M125" s="21"/>
      <c r="N125" s="12" t="str">
        <f t="shared" si="11"/>
        <v/>
      </c>
      <c r="O125" s="12" t="str">
        <f>IF(N125="","",COUNTIF('Match Log'!$J$3:$J$501,"&lt;"&amp;N125)+COUNTIF($N$4:$N$203,"&lt;"&amp;N125)+COUNTIF('Guest Log'!$K$4:$K$203,"&lt;"&amp;N125)+1)</f>
        <v/>
      </c>
    </row>
    <row r="126" spans="1:15" ht="15" customHeight="1" x14ac:dyDescent="0.2">
      <c r="A126" s="18"/>
      <c r="B126" s="17"/>
      <c r="C126" s="18"/>
      <c r="D126" s="18"/>
      <c r="E126" s="18"/>
      <c r="F126" s="18"/>
      <c r="G126" s="18"/>
      <c r="H126" s="18"/>
      <c r="I126" s="18"/>
      <c r="J126" s="19" t="str">
        <f t="shared" si="9"/>
        <v/>
      </c>
      <c r="K126" s="19" t="str">
        <f t="shared" si="10"/>
        <v/>
      </c>
      <c r="L126" s="17"/>
      <c r="M126" s="17"/>
      <c r="N126" s="12" t="str">
        <f t="shared" si="11"/>
        <v/>
      </c>
      <c r="O126" s="12" t="str">
        <f>IF(N126="","",COUNTIF('Match Log'!$J$3:$J$501,"&lt;"&amp;N126)+COUNTIF($N$4:$N$203,"&lt;"&amp;N126)+COUNTIF('Guest Log'!$K$4:$K$203,"&lt;"&amp;N126)+1)</f>
        <v/>
      </c>
    </row>
    <row r="127" spans="1:15" ht="15" customHeight="1" x14ac:dyDescent="0.2">
      <c r="A127" s="22"/>
      <c r="B127" s="21"/>
      <c r="C127" s="22"/>
      <c r="D127" s="22"/>
      <c r="E127" s="22"/>
      <c r="F127" s="22"/>
      <c r="G127" s="22"/>
      <c r="H127" s="22"/>
      <c r="I127" s="22"/>
      <c r="J127" s="23" t="str">
        <f t="shared" si="9"/>
        <v/>
      </c>
      <c r="K127" s="23" t="str">
        <f t="shared" si="10"/>
        <v/>
      </c>
      <c r="L127" s="21"/>
      <c r="M127" s="21"/>
      <c r="N127" s="12" t="str">
        <f t="shared" si="11"/>
        <v/>
      </c>
      <c r="O127" s="12" t="str">
        <f>IF(N127="","",COUNTIF('Match Log'!$J$3:$J$501,"&lt;"&amp;N127)+COUNTIF($N$4:$N$203,"&lt;"&amp;N127)+COUNTIF('Guest Log'!$K$4:$K$203,"&lt;"&amp;N127)+1)</f>
        <v/>
      </c>
    </row>
    <row r="128" spans="1:15" ht="15" customHeight="1" x14ac:dyDescent="0.2">
      <c r="A128" s="18"/>
      <c r="B128" s="17"/>
      <c r="C128" s="18"/>
      <c r="D128" s="18"/>
      <c r="E128" s="18"/>
      <c r="F128" s="18"/>
      <c r="G128" s="18"/>
      <c r="H128" s="18"/>
      <c r="I128" s="18"/>
      <c r="J128" s="19" t="str">
        <f t="shared" si="9"/>
        <v/>
      </c>
      <c r="K128" s="19" t="str">
        <f t="shared" si="10"/>
        <v/>
      </c>
      <c r="L128" s="17"/>
      <c r="M128" s="17"/>
      <c r="N128" s="12" t="str">
        <f t="shared" si="11"/>
        <v/>
      </c>
      <c r="O128" s="12" t="str">
        <f>IF(N128="","",COUNTIF('Match Log'!$J$3:$J$501,"&lt;"&amp;N128)+COUNTIF($N$4:$N$203,"&lt;"&amp;N128)+COUNTIF('Guest Log'!$K$4:$K$203,"&lt;"&amp;N128)+1)</f>
        <v/>
      </c>
    </row>
    <row r="129" spans="1:15" ht="15" customHeight="1" x14ac:dyDescent="0.2">
      <c r="A129" s="22"/>
      <c r="B129" s="21"/>
      <c r="C129" s="22"/>
      <c r="D129" s="22"/>
      <c r="E129" s="22"/>
      <c r="F129" s="22"/>
      <c r="G129" s="22"/>
      <c r="H129" s="22"/>
      <c r="I129" s="22"/>
      <c r="J129" s="23" t="str">
        <f t="shared" si="9"/>
        <v/>
      </c>
      <c r="K129" s="23" t="str">
        <f t="shared" si="10"/>
        <v/>
      </c>
      <c r="L129" s="21"/>
      <c r="M129" s="21"/>
      <c r="N129" s="12" t="str">
        <f t="shared" si="11"/>
        <v/>
      </c>
      <c r="O129" s="12" t="str">
        <f>IF(N129="","",COUNTIF('Match Log'!$J$3:$J$501,"&lt;"&amp;N129)+COUNTIF($N$4:$N$203,"&lt;"&amp;N129)+COUNTIF('Guest Log'!$K$4:$K$203,"&lt;"&amp;N129)+1)</f>
        <v/>
      </c>
    </row>
    <row r="130" spans="1:15" ht="15" customHeight="1" x14ac:dyDescent="0.2">
      <c r="A130" s="18"/>
      <c r="B130" s="17"/>
      <c r="C130" s="18"/>
      <c r="D130" s="18"/>
      <c r="E130" s="18"/>
      <c r="F130" s="18"/>
      <c r="G130" s="18"/>
      <c r="H130" s="18"/>
      <c r="I130" s="18"/>
      <c r="J130" s="19" t="str">
        <f t="shared" si="9"/>
        <v/>
      </c>
      <c r="K130" s="19" t="str">
        <f t="shared" si="10"/>
        <v/>
      </c>
      <c r="L130" s="17"/>
      <c r="M130" s="17"/>
      <c r="N130" s="12" t="str">
        <f t="shared" si="11"/>
        <v/>
      </c>
      <c r="O130" s="12" t="str">
        <f>IF(N130="","",COUNTIF('Match Log'!$J$3:$J$501,"&lt;"&amp;N130)+COUNTIF($N$4:$N$203,"&lt;"&amp;N130)+COUNTIF('Guest Log'!$K$4:$K$203,"&lt;"&amp;N130)+1)</f>
        <v/>
      </c>
    </row>
    <row r="131" spans="1:15" ht="15" customHeight="1" x14ac:dyDescent="0.2">
      <c r="A131" s="22"/>
      <c r="B131" s="21"/>
      <c r="C131" s="22"/>
      <c r="D131" s="22"/>
      <c r="E131" s="22"/>
      <c r="F131" s="22"/>
      <c r="G131" s="22"/>
      <c r="H131" s="22"/>
      <c r="I131" s="22"/>
      <c r="J131" s="23" t="str">
        <f t="shared" si="9"/>
        <v/>
      </c>
      <c r="K131" s="23" t="str">
        <f t="shared" si="10"/>
        <v/>
      </c>
      <c r="L131" s="21"/>
      <c r="M131" s="21"/>
      <c r="N131" s="12" t="str">
        <f t="shared" si="11"/>
        <v/>
      </c>
      <c r="O131" s="12" t="str">
        <f>IF(N131="","",COUNTIF('Match Log'!$J$3:$J$501,"&lt;"&amp;N131)+COUNTIF($N$4:$N$203,"&lt;"&amp;N131)+COUNTIF('Guest Log'!$K$4:$K$203,"&lt;"&amp;N131)+1)</f>
        <v/>
      </c>
    </row>
    <row r="132" spans="1:15" ht="15" customHeight="1" x14ac:dyDescent="0.2">
      <c r="A132" s="18"/>
      <c r="B132" s="17"/>
      <c r="C132" s="18"/>
      <c r="D132" s="18"/>
      <c r="E132" s="18"/>
      <c r="F132" s="18"/>
      <c r="G132" s="18"/>
      <c r="H132" s="18"/>
      <c r="I132" s="18"/>
      <c r="J132" s="19" t="str">
        <f t="shared" ref="J132:J163" si="12">IF(C132="","",IF(I132="","",ROUND(800+I132*400,0)))</f>
        <v/>
      </c>
      <c r="K132" s="19" t="str">
        <f t="shared" ref="K132:K163" si="13">IF(C132="","",IF(D132=0,"",ROUND((E132+0.5*F132)/D132,4)))</f>
        <v/>
      </c>
      <c r="L132" s="17"/>
      <c r="M132" s="17"/>
      <c r="N132" s="12" t="str">
        <f t="shared" ref="N132:N163" si="14">IF(A132="","",A132+0.0005+ROW()/10000000)</f>
        <v/>
      </c>
      <c r="O132" s="12" t="str">
        <f>IF(N132="","",COUNTIF('Match Log'!$J$3:$J$501,"&lt;"&amp;N132)+COUNTIF($N$4:$N$203,"&lt;"&amp;N132)+COUNTIF('Guest Log'!$K$4:$K$203,"&lt;"&amp;N132)+1)</f>
        <v/>
      </c>
    </row>
    <row r="133" spans="1:15" ht="15" customHeight="1" x14ac:dyDescent="0.2">
      <c r="A133" s="22"/>
      <c r="B133" s="21"/>
      <c r="C133" s="22"/>
      <c r="D133" s="22"/>
      <c r="E133" s="22"/>
      <c r="F133" s="22"/>
      <c r="G133" s="22"/>
      <c r="H133" s="22"/>
      <c r="I133" s="22"/>
      <c r="J133" s="23" t="str">
        <f t="shared" si="12"/>
        <v/>
      </c>
      <c r="K133" s="23" t="str">
        <f t="shared" si="13"/>
        <v/>
      </c>
      <c r="L133" s="21"/>
      <c r="M133" s="21"/>
      <c r="N133" s="12" t="str">
        <f t="shared" si="14"/>
        <v/>
      </c>
      <c r="O133" s="12" t="str">
        <f>IF(N133="","",COUNTIF('Match Log'!$J$3:$J$501,"&lt;"&amp;N133)+COUNTIF($N$4:$N$203,"&lt;"&amp;N133)+COUNTIF('Guest Log'!$K$4:$K$203,"&lt;"&amp;N133)+1)</f>
        <v/>
      </c>
    </row>
    <row r="134" spans="1:15" ht="15" customHeight="1" x14ac:dyDescent="0.2">
      <c r="A134" s="18"/>
      <c r="B134" s="17"/>
      <c r="C134" s="18"/>
      <c r="D134" s="18"/>
      <c r="E134" s="18"/>
      <c r="F134" s="18"/>
      <c r="G134" s="18"/>
      <c r="H134" s="18"/>
      <c r="I134" s="18"/>
      <c r="J134" s="19" t="str">
        <f t="shared" si="12"/>
        <v/>
      </c>
      <c r="K134" s="19" t="str">
        <f t="shared" si="13"/>
        <v/>
      </c>
      <c r="L134" s="17"/>
      <c r="M134" s="17"/>
      <c r="N134" s="12" t="str">
        <f t="shared" si="14"/>
        <v/>
      </c>
      <c r="O134" s="12" t="str">
        <f>IF(N134="","",COUNTIF('Match Log'!$J$3:$J$501,"&lt;"&amp;N134)+COUNTIF($N$4:$N$203,"&lt;"&amp;N134)+COUNTIF('Guest Log'!$K$4:$K$203,"&lt;"&amp;N134)+1)</f>
        <v/>
      </c>
    </row>
    <row r="135" spans="1:15" ht="15" customHeight="1" x14ac:dyDescent="0.2">
      <c r="A135" s="22"/>
      <c r="B135" s="21"/>
      <c r="C135" s="22"/>
      <c r="D135" s="22"/>
      <c r="E135" s="22"/>
      <c r="F135" s="22"/>
      <c r="G135" s="22"/>
      <c r="H135" s="22"/>
      <c r="I135" s="22"/>
      <c r="J135" s="23" t="str">
        <f t="shared" si="12"/>
        <v/>
      </c>
      <c r="K135" s="23" t="str">
        <f t="shared" si="13"/>
        <v/>
      </c>
      <c r="L135" s="21"/>
      <c r="M135" s="21"/>
      <c r="N135" s="12" t="str">
        <f t="shared" si="14"/>
        <v/>
      </c>
      <c r="O135" s="12" t="str">
        <f>IF(N135="","",COUNTIF('Match Log'!$J$3:$J$501,"&lt;"&amp;N135)+COUNTIF($N$4:$N$203,"&lt;"&amp;N135)+COUNTIF('Guest Log'!$K$4:$K$203,"&lt;"&amp;N135)+1)</f>
        <v/>
      </c>
    </row>
    <row r="136" spans="1:15" ht="15" customHeight="1" x14ac:dyDescent="0.2">
      <c r="A136" s="18"/>
      <c r="B136" s="17"/>
      <c r="C136" s="18"/>
      <c r="D136" s="18"/>
      <c r="E136" s="18"/>
      <c r="F136" s="18"/>
      <c r="G136" s="18"/>
      <c r="H136" s="18"/>
      <c r="I136" s="18"/>
      <c r="J136" s="19" t="str">
        <f t="shared" si="12"/>
        <v/>
      </c>
      <c r="K136" s="19" t="str">
        <f t="shared" si="13"/>
        <v/>
      </c>
      <c r="L136" s="17"/>
      <c r="M136" s="17"/>
      <c r="N136" s="12" t="str">
        <f t="shared" si="14"/>
        <v/>
      </c>
      <c r="O136" s="12" t="str">
        <f>IF(N136="","",COUNTIF('Match Log'!$J$3:$J$501,"&lt;"&amp;N136)+COUNTIF($N$4:$N$203,"&lt;"&amp;N136)+COUNTIF('Guest Log'!$K$4:$K$203,"&lt;"&amp;N136)+1)</f>
        <v/>
      </c>
    </row>
    <row r="137" spans="1:15" ht="15" customHeight="1" x14ac:dyDescent="0.2">
      <c r="A137" s="22"/>
      <c r="B137" s="21"/>
      <c r="C137" s="22"/>
      <c r="D137" s="22"/>
      <c r="E137" s="22"/>
      <c r="F137" s="22"/>
      <c r="G137" s="22"/>
      <c r="H137" s="22"/>
      <c r="I137" s="22"/>
      <c r="J137" s="23" t="str">
        <f t="shared" si="12"/>
        <v/>
      </c>
      <c r="K137" s="23" t="str">
        <f t="shared" si="13"/>
        <v/>
      </c>
      <c r="L137" s="21"/>
      <c r="M137" s="21"/>
      <c r="N137" s="12" t="str">
        <f t="shared" si="14"/>
        <v/>
      </c>
      <c r="O137" s="12" t="str">
        <f>IF(N137="","",COUNTIF('Match Log'!$J$3:$J$501,"&lt;"&amp;N137)+COUNTIF($N$4:$N$203,"&lt;"&amp;N137)+COUNTIF('Guest Log'!$K$4:$K$203,"&lt;"&amp;N137)+1)</f>
        <v/>
      </c>
    </row>
    <row r="138" spans="1:15" ht="15" customHeight="1" x14ac:dyDescent="0.2">
      <c r="A138" s="18"/>
      <c r="B138" s="17"/>
      <c r="C138" s="18"/>
      <c r="D138" s="18"/>
      <c r="E138" s="18"/>
      <c r="F138" s="18"/>
      <c r="G138" s="18"/>
      <c r="H138" s="18"/>
      <c r="I138" s="18"/>
      <c r="J138" s="19" t="str">
        <f t="shared" si="12"/>
        <v/>
      </c>
      <c r="K138" s="19" t="str">
        <f t="shared" si="13"/>
        <v/>
      </c>
      <c r="L138" s="17"/>
      <c r="M138" s="17"/>
      <c r="N138" s="12" t="str">
        <f t="shared" si="14"/>
        <v/>
      </c>
      <c r="O138" s="12" t="str">
        <f>IF(N138="","",COUNTIF('Match Log'!$J$3:$J$501,"&lt;"&amp;N138)+COUNTIF($N$4:$N$203,"&lt;"&amp;N138)+COUNTIF('Guest Log'!$K$4:$K$203,"&lt;"&amp;N138)+1)</f>
        <v/>
      </c>
    </row>
    <row r="139" spans="1:15" ht="15" customHeight="1" x14ac:dyDescent="0.2">
      <c r="A139" s="22"/>
      <c r="B139" s="21"/>
      <c r="C139" s="22"/>
      <c r="D139" s="22"/>
      <c r="E139" s="22"/>
      <c r="F139" s="22"/>
      <c r="G139" s="22"/>
      <c r="H139" s="22"/>
      <c r="I139" s="22"/>
      <c r="J139" s="23" t="str">
        <f t="shared" si="12"/>
        <v/>
      </c>
      <c r="K139" s="23" t="str">
        <f t="shared" si="13"/>
        <v/>
      </c>
      <c r="L139" s="21"/>
      <c r="M139" s="21"/>
      <c r="N139" s="12" t="str">
        <f t="shared" si="14"/>
        <v/>
      </c>
      <c r="O139" s="12" t="str">
        <f>IF(N139="","",COUNTIF('Match Log'!$J$3:$J$501,"&lt;"&amp;N139)+COUNTIF($N$4:$N$203,"&lt;"&amp;N139)+COUNTIF('Guest Log'!$K$4:$K$203,"&lt;"&amp;N139)+1)</f>
        <v/>
      </c>
    </row>
    <row r="140" spans="1:15" ht="15" customHeight="1" x14ac:dyDescent="0.2">
      <c r="A140" s="18"/>
      <c r="B140" s="17"/>
      <c r="C140" s="18"/>
      <c r="D140" s="18"/>
      <c r="E140" s="18"/>
      <c r="F140" s="18"/>
      <c r="G140" s="18"/>
      <c r="H140" s="18"/>
      <c r="I140" s="18"/>
      <c r="J140" s="19" t="str">
        <f t="shared" si="12"/>
        <v/>
      </c>
      <c r="K140" s="19" t="str">
        <f t="shared" si="13"/>
        <v/>
      </c>
      <c r="L140" s="17"/>
      <c r="M140" s="17"/>
      <c r="N140" s="12" t="str">
        <f t="shared" si="14"/>
        <v/>
      </c>
      <c r="O140" s="12" t="str">
        <f>IF(N140="","",COUNTIF('Match Log'!$J$3:$J$501,"&lt;"&amp;N140)+COUNTIF($N$4:$N$203,"&lt;"&amp;N140)+COUNTIF('Guest Log'!$K$4:$K$203,"&lt;"&amp;N140)+1)</f>
        <v/>
      </c>
    </row>
    <row r="141" spans="1:15" ht="15" customHeight="1" x14ac:dyDescent="0.2">
      <c r="A141" s="22"/>
      <c r="B141" s="21"/>
      <c r="C141" s="22"/>
      <c r="D141" s="22"/>
      <c r="E141" s="22"/>
      <c r="F141" s="22"/>
      <c r="G141" s="22"/>
      <c r="H141" s="22"/>
      <c r="I141" s="22"/>
      <c r="J141" s="23" t="str">
        <f t="shared" si="12"/>
        <v/>
      </c>
      <c r="K141" s="23" t="str">
        <f t="shared" si="13"/>
        <v/>
      </c>
      <c r="L141" s="21"/>
      <c r="M141" s="21"/>
      <c r="N141" s="12" t="str">
        <f t="shared" si="14"/>
        <v/>
      </c>
      <c r="O141" s="12" t="str">
        <f>IF(N141="","",COUNTIF('Match Log'!$J$3:$J$501,"&lt;"&amp;N141)+COUNTIF($N$4:$N$203,"&lt;"&amp;N141)+COUNTIF('Guest Log'!$K$4:$K$203,"&lt;"&amp;N141)+1)</f>
        <v/>
      </c>
    </row>
    <row r="142" spans="1:15" ht="15" customHeight="1" x14ac:dyDescent="0.2">
      <c r="A142" s="18"/>
      <c r="B142" s="17"/>
      <c r="C142" s="18"/>
      <c r="D142" s="18"/>
      <c r="E142" s="18"/>
      <c r="F142" s="18"/>
      <c r="G142" s="18"/>
      <c r="H142" s="18"/>
      <c r="I142" s="18"/>
      <c r="J142" s="19" t="str">
        <f t="shared" si="12"/>
        <v/>
      </c>
      <c r="K142" s="19" t="str">
        <f t="shared" si="13"/>
        <v/>
      </c>
      <c r="L142" s="17"/>
      <c r="M142" s="17"/>
      <c r="N142" s="12" t="str">
        <f t="shared" si="14"/>
        <v/>
      </c>
      <c r="O142" s="12" t="str">
        <f>IF(N142="","",COUNTIF('Match Log'!$J$3:$J$501,"&lt;"&amp;N142)+COUNTIF($N$4:$N$203,"&lt;"&amp;N142)+COUNTIF('Guest Log'!$K$4:$K$203,"&lt;"&amp;N142)+1)</f>
        <v/>
      </c>
    </row>
    <row r="143" spans="1:15" ht="15" customHeight="1" x14ac:dyDescent="0.2">
      <c r="A143" s="22"/>
      <c r="B143" s="21"/>
      <c r="C143" s="22"/>
      <c r="D143" s="22"/>
      <c r="E143" s="22"/>
      <c r="F143" s="22"/>
      <c r="G143" s="22"/>
      <c r="H143" s="22"/>
      <c r="I143" s="22"/>
      <c r="J143" s="23" t="str">
        <f t="shared" si="12"/>
        <v/>
      </c>
      <c r="K143" s="23" t="str">
        <f t="shared" si="13"/>
        <v/>
      </c>
      <c r="L143" s="21"/>
      <c r="M143" s="21"/>
      <c r="N143" s="12" t="str">
        <f t="shared" si="14"/>
        <v/>
      </c>
      <c r="O143" s="12" t="str">
        <f>IF(N143="","",COUNTIF('Match Log'!$J$3:$J$501,"&lt;"&amp;N143)+COUNTIF($N$4:$N$203,"&lt;"&amp;N143)+COUNTIF('Guest Log'!$K$4:$K$203,"&lt;"&amp;N143)+1)</f>
        <v/>
      </c>
    </row>
    <row r="144" spans="1:15" ht="15" customHeight="1" x14ac:dyDescent="0.2">
      <c r="A144" s="18"/>
      <c r="B144" s="17"/>
      <c r="C144" s="18"/>
      <c r="D144" s="18"/>
      <c r="E144" s="18"/>
      <c r="F144" s="18"/>
      <c r="G144" s="18"/>
      <c r="H144" s="18"/>
      <c r="I144" s="18"/>
      <c r="J144" s="19" t="str">
        <f t="shared" si="12"/>
        <v/>
      </c>
      <c r="K144" s="19" t="str">
        <f t="shared" si="13"/>
        <v/>
      </c>
      <c r="L144" s="17"/>
      <c r="M144" s="17"/>
      <c r="N144" s="12" t="str">
        <f t="shared" si="14"/>
        <v/>
      </c>
      <c r="O144" s="12" t="str">
        <f>IF(N144="","",COUNTIF('Match Log'!$J$3:$J$501,"&lt;"&amp;N144)+COUNTIF($N$4:$N$203,"&lt;"&amp;N144)+COUNTIF('Guest Log'!$K$4:$K$203,"&lt;"&amp;N144)+1)</f>
        <v/>
      </c>
    </row>
    <row r="145" spans="1:15" ht="15" customHeight="1" x14ac:dyDescent="0.2">
      <c r="A145" s="22"/>
      <c r="B145" s="21"/>
      <c r="C145" s="22"/>
      <c r="D145" s="22"/>
      <c r="E145" s="22"/>
      <c r="F145" s="22"/>
      <c r="G145" s="22"/>
      <c r="H145" s="22"/>
      <c r="I145" s="22"/>
      <c r="J145" s="23" t="str">
        <f t="shared" si="12"/>
        <v/>
      </c>
      <c r="K145" s="23" t="str">
        <f t="shared" si="13"/>
        <v/>
      </c>
      <c r="L145" s="21"/>
      <c r="M145" s="21"/>
      <c r="N145" s="12" t="str">
        <f t="shared" si="14"/>
        <v/>
      </c>
      <c r="O145" s="12" t="str">
        <f>IF(N145="","",COUNTIF('Match Log'!$J$3:$J$501,"&lt;"&amp;N145)+COUNTIF($N$4:$N$203,"&lt;"&amp;N145)+COUNTIF('Guest Log'!$K$4:$K$203,"&lt;"&amp;N145)+1)</f>
        <v/>
      </c>
    </row>
    <row r="146" spans="1:15" ht="15" customHeight="1" x14ac:dyDescent="0.2">
      <c r="A146" s="18"/>
      <c r="B146" s="17"/>
      <c r="C146" s="18"/>
      <c r="D146" s="18"/>
      <c r="E146" s="18"/>
      <c r="F146" s="18"/>
      <c r="G146" s="18"/>
      <c r="H146" s="18"/>
      <c r="I146" s="18"/>
      <c r="J146" s="19" t="str">
        <f t="shared" si="12"/>
        <v/>
      </c>
      <c r="K146" s="19" t="str">
        <f t="shared" si="13"/>
        <v/>
      </c>
      <c r="L146" s="17"/>
      <c r="M146" s="17"/>
      <c r="N146" s="12" t="str">
        <f t="shared" si="14"/>
        <v/>
      </c>
      <c r="O146" s="12" t="str">
        <f>IF(N146="","",COUNTIF('Match Log'!$J$3:$J$501,"&lt;"&amp;N146)+COUNTIF($N$4:$N$203,"&lt;"&amp;N146)+COUNTIF('Guest Log'!$K$4:$K$203,"&lt;"&amp;N146)+1)</f>
        <v/>
      </c>
    </row>
    <row r="147" spans="1:15" ht="15" customHeight="1" x14ac:dyDescent="0.2">
      <c r="A147" s="22"/>
      <c r="B147" s="21"/>
      <c r="C147" s="22"/>
      <c r="D147" s="22"/>
      <c r="E147" s="22"/>
      <c r="F147" s="22"/>
      <c r="G147" s="22"/>
      <c r="H147" s="22"/>
      <c r="I147" s="22"/>
      <c r="J147" s="23" t="str">
        <f t="shared" si="12"/>
        <v/>
      </c>
      <c r="K147" s="23" t="str">
        <f t="shared" si="13"/>
        <v/>
      </c>
      <c r="L147" s="21"/>
      <c r="M147" s="21"/>
      <c r="N147" s="12" t="str">
        <f t="shared" si="14"/>
        <v/>
      </c>
      <c r="O147" s="12" t="str">
        <f>IF(N147="","",COUNTIF('Match Log'!$J$3:$J$501,"&lt;"&amp;N147)+COUNTIF($N$4:$N$203,"&lt;"&amp;N147)+COUNTIF('Guest Log'!$K$4:$K$203,"&lt;"&amp;N147)+1)</f>
        <v/>
      </c>
    </row>
    <row r="148" spans="1:15" ht="15" customHeight="1" x14ac:dyDescent="0.2">
      <c r="A148" s="18"/>
      <c r="B148" s="17"/>
      <c r="C148" s="18"/>
      <c r="D148" s="18"/>
      <c r="E148" s="18"/>
      <c r="F148" s="18"/>
      <c r="G148" s="18"/>
      <c r="H148" s="18"/>
      <c r="I148" s="18"/>
      <c r="J148" s="19" t="str">
        <f t="shared" si="12"/>
        <v/>
      </c>
      <c r="K148" s="19" t="str">
        <f t="shared" si="13"/>
        <v/>
      </c>
      <c r="L148" s="17"/>
      <c r="M148" s="17"/>
      <c r="N148" s="12" t="str">
        <f t="shared" si="14"/>
        <v/>
      </c>
      <c r="O148" s="12" t="str">
        <f>IF(N148="","",COUNTIF('Match Log'!$J$3:$J$501,"&lt;"&amp;N148)+COUNTIF($N$4:$N$203,"&lt;"&amp;N148)+COUNTIF('Guest Log'!$K$4:$K$203,"&lt;"&amp;N148)+1)</f>
        <v/>
      </c>
    </row>
    <row r="149" spans="1:15" ht="15" customHeight="1" x14ac:dyDescent="0.2">
      <c r="A149" s="22"/>
      <c r="B149" s="21"/>
      <c r="C149" s="22"/>
      <c r="D149" s="22"/>
      <c r="E149" s="22"/>
      <c r="F149" s="22"/>
      <c r="G149" s="22"/>
      <c r="H149" s="22"/>
      <c r="I149" s="22"/>
      <c r="J149" s="23" t="str">
        <f t="shared" si="12"/>
        <v/>
      </c>
      <c r="K149" s="23" t="str">
        <f t="shared" si="13"/>
        <v/>
      </c>
      <c r="L149" s="21"/>
      <c r="M149" s="21"/>
      <c r="N149" s="12" t="str">
        <f t="shared" si="14"/>
        <v/>
      </c>
      <c r="O149" s="12" t="str">
        <f>IF(N149="","",COUNTIF('Match Log'!$J$3:$J$501,"&lt;"&amp;N149)+COUNTIF($N$4:$N$203,"&lt;"&amp;N149)+COUNTIF('Guest Log'!$K$4:$K$203,"&lt;"&amp;N149)+1)</f>
        <v/>
      </c>
    </row>
    <row r="150" spans="1:15" ht="15" customHeight="1" x14ac:dyDescent="0.2">
      <c r="A150" s="18"/>
      <c r="B150" s="17"/>
      <c r="C150" s="18"/>
      <c r="D150" s="18"/>
      <c r="E150" s="18"/>
      <c r="F150" s="18"/>
      <c r="G150" s="18"/>
      <c r="H150" s="18"/>
      <c r="I150" s="18"/>
      <c r="J150" s="19" t="str">
        <f t="shared" si="12"/>
        <v/>
      </c>
      <c r="K150" s="19" t="str">
        <f t="shared" si="13"/>
        <v/>
      </c>
      <c r="L150" s="17"/>
      <c r="M150" s="17"/>
      <c r="N150" s="12" t="str">
        <f t="shared" si="14"/>
        <v/>
      </c>
      <c r="O150" s="12" t="str">
        <f>IF(N150="","",COUNTIF('Match Log'!$J$3:$J$501,"&lt;"&amp;N150)+COUNTIF($N$4:$N$203,"&lt;"&amp;N150)+COUNTIF('Guest Log'!$K$4:$K$203,"&lt;"&amp;N150)+1)</f>
        <v/>
      </c>
    </row>
    <row r="151" spans="1:15" ht="15" customHeight="1" x14ac:dyDescent="0.2">
      <c r="A151" s="22"/>
      <c r="B151" s="21"/>
      <c r="C151" s="22"/>
      <c r="D151" s="22"/>
      <c r="E151" s="22"/>
      <c r="F151" s="22"/>
      <c r="G151" s="22"/>
      <c r="H151" s="22"/>
      <c r="I151" s="22"/>
      <c r="J151" s="23" t="str">
        <f t="shared" si="12"/>
        <v/>
      </c>
      <c r="K151" s="23" t="str">
        <f t="shared" si="13"/>
        <v/>
      </c>
      <c r="L151" s="21"/>
      <c r="M151" s="21"/>
      <c r="N151" s="12" t="str">
        <f t="shared" si="14"/>
        <v/>
      </c>
      <c r="O151" s="12" t="str">
        <f>IF(N151="","",COUNTIF('Match Log'!$J$3:$J$501,"&lt;"&amp;N151)+COUNTIF($N$4:$N$203,"&lt;"&amp;N151)+COUNTIF('Guest Log'!$K$4:$K$203,"&lt;"&amp;N151)+1)</f>
        <v/>
      </c>
    </row>
    <row r="152" spans="1:15" ht="15" customHeight="1" x14ac:dyDescent="0.2">
      <c r="A152" s="18"/>
      <c r="B152" s="17"/>
      <c r="C152" s="18"/>
      <c r="D152" s="18"/>
      <c r="E152" s="18"/>
      <c r="F152" s="18"/>
      <c r="G152" s="18"/>
      <c r="H152" s="18"/>
      <c r="I152" s="18"/>
      <c r="J152" s="19" t="str">
        <f t="shared" si="12"/>
        <v/>
      </c>
      <c r="K152" s="19" t="str">
        <f t="shared" si="13"/>
        <v/>
      </c>
      <c r="L152" s="17"/>
      <c r="M152" s="17"/>
      <c r="N152" s="12" t="str">
        <f t="shared" si="14"/>
        <v/>
      </c>
      <c r="O152" s="12" t="str">
        <f>IF(N152="","",COUNTIF('Match Log'!$J$3:$J$501,"&lt;"&amp;N152)+COUNTIF($N$4:$N$203,"&lt;"&amp;N152)+COUNTIF('Guest Log'!$K$4:$K$203,"&lt;"&amp;N152)+1)</f>
        <v/>
      </c>
    </row>
    <row r="153" spans="1:15" ht="15" customHeight="1" x14ac:dyDescent="0.2">
      <c r="A153" s="22"/>
      <c r="B153" s="21"/>
      <c r="C153" s="22"/>
      <c r="D153" s="22"/>
      <c r="E153" s="22"/>
      <c r="F153" s="22"/>
      <c r="G153" s="22"/>
      <c r="H153" s="22"/>
      <c r="I153" s="22"/>
      <c r="J153" s="23" t="str">
        <f t="shared" si="12"/>
        <v/>
      </c>
      <c r="K153" s="23" t="str">
        <f t="shared" si="13"/>
        <v/>
      </c>
      <c r="L153" s="21"/>
      <c r="M153" s="21"/>
      <c r="N153" s="12" t="str">
        <f t="shared" si="14"/>
        <v/>
      </c>
      <c r="O153" s="12" t="str">
        <f>IF(N153="","",COUNTIF('Match Log'!$J$3:$J$501,"&lt;"&amp;N153)+COUNTIF($N$4:$N$203,"&lt;"&amp;N153)+COUNTIF('Guest Log'!$K$4:$K$203,"&lt;"&amp;N153)+1)</f>
        <v/>
      </c>
    </row>
    <row r="154" spans="1:15" ht="15" customHeight="1" x14ac:dyDescent="0.2">
      <c r="A154" s="18"/>
      <c r="B154" s="17"/>
      <c r="C154" s="18"/>
      <c r="D154" s="18"/>
      <c r="E154" s="18"/>
      <c r="F154" s="18"/>
      <c r="G154" s="18"/>
      <c r="H154" s="18"/>
      <c r="I154" s="18"/>
      <c r="J154" s="19" t="str">
        <f t="shared" si="12"/>
        <v/>
      </c>
      <c r="K154" s="19" t="str">
        <f t="shared" si="13"/>
        <v/>
      </c>
      <c r="L154" s="17"/>
      <c r="M154" s="17"/>
      <c r="N154" s="12" t="str">
        <f t="shared" si="14"/>
        <v/>
      </c>
      <c r="O154" s="12" t="str">
        <f>IF(N154="","",COUNTIF('Match Log'!$J$3:$J$501,"&lt;"&amp;N154)+COUNTIF($N$4:$N$203,"&lt;"&amp;N154)+COUNTIF('Guest Log'!$K$4:$K$203,"&lt;"&amp;N154)+1)</f>
        <v/>
      </c>
    </row>
    <row r="155" spans="1:15" ht="15" customHeight="1" x14ac:dyDescent="0.2">
      <c r="A155" s="22"/>
      <c r="B155" s="21"/>
      <c r="C155" s="22"/>
      <c r="D155" s="22"/>
      <c r="E155" s="22"/>
      <c r="F155" s="22"/>
      <c r="G155" s="22"/>
      <c r="H155" s="22"/>
      <c r="I155" s="22"/>
      <c r="J155" s="23" t="str">
        <f t="shared" si="12"/>
        <v/>
      </c>
      <c r="K155" s="23" t="str">
        <f t="shared" si="13"/>
        <v/>
      </c>
      <c r="L155" s="21"/>
      <c r="M155" s="21"/>
      <c r="N155" s="12" t="str">
        <f t="shared" si="14"/>
        <v/>
      </c>
      <c r="O155" s="12" t="str">
        <f>IF(N155="","",COUNTIF('Match Log'!$J$3:$J$501,"&lt;"&amp;N155)+COUNTIF($N$4:$N$203,"&lt;"&amp;N155)+COUNTIF('Guest Log'!$K$4:$K$203,"&lt;"&amp;N155)+1)</f>
        <v/>
      </c>
    </row>
    <row r="156" spans="1:15" ht="15" customHeight="1" x14ac:dyDescent="0.2">
      <c r="A156" s="18"/>
      <c r="B156" s="17"/>
      <c r="C156" s="18"/>
      <c r="D156" s="18"/>
      <c r="E156" s="18"/>
      <c r="F156" s="18"/>
      <c r="G156" s="18"/>
      <c r="H156" s="18"/>
      <c r="I156" s="18"/>
      <c r="J156" s="19" t="str">
        <f t="shared" si="12"/>
        <v/>
      </c>
      <c r="K156" s="19" t="str">
        <f t="shared" si="13"/>
        <v/>
      </c>
      <c r="L156" s="17"/>
      <c r="M156" s="17"/>
      <c r="N156" s="12" t="str">
        <f t="shared" si="14"/>
        <v/>
      </c>
      <c r="O156" s="12" t="str">
        <f>IF(N156="","",COUNTIF('Match Log'!$J$3:$J$501,"&lt;"&amp;N156)+COUNTIF($N$4:$N$203,"&lt;"&amp;N156)+COUNTIF('Guest Log'!$K$4:$K$203,"&lt;"&amp;N156)+1)</f>
        <v/>
      </c>
    </row>
    <row r="157" spans="1:15" ht="15" customHeight="1" x14ac:dyDescent="0.2">
      <c r="A157" s="22"/>
      <c r="B157" s="21"/>
      <c r="C157" s="22"/>
      <c r="D157" s="22"/>
      <c r="E157" s="22"/>
      <c r="F157" s="22"/>
      <c r="G157" s="22"/>
      <c r="H157" s="22"/>
      <c r="I157" s="22"/>
      <c r="J157" s="23" t="str">
        <f t="shared" si="12"/>
        <v/>
      </c>
      <c r="K157" s="23" t="str">
        <f t="shared" si="13"/>
        <v/>
      </c>
      <c r="L157" s="21"/>
      <c r="M157" s="21"/>
      <c r="N157" s="12" t="str">
        <f t="shared" si="14"/>
        <v/>
      </c>
      <c r="O157" s="12" t="str">
        <f>IF(N157="","",COUNTIF('Match Log'!$J$3:$J$501,"&lt;"&amp;N157)+COUNTIF($N$4:$N$203,"&lt;"&amp;N157)+COUNTIF('Guest Log'!$K$4:$K$203,"&lt;"&amp;N157)+1)</f>
        <v/>
      </c>
    </row>
    <row r="158" spans="1:15" ht="15" customHeight="1" x14ac:dyDescent="0.2">
      <c r="A158" s="18"/>
      <c r="B158" s="17"/>
      <c r="C158" s="18"/>
      <c r="D158" s="18"/>
      <c r="E158" s="18"/>
      <c r="F158" s="18"/>
      <c r="G158" s="18"/>
      <c r="H158" s="18"/>
      <c r="I158" s="18"/>
      <c r="J158" s="19" t="str">
        <f t="shared" si="12"/>
        <v/>
      </c>
      <c r="K158" s="19" t="str">
        <f t="shared" si="13"/>
        <v/>
      </c>
      <c r="L158" s="17"/>
      <c r="M158" s="17"/>
      <c r="N158" s="12" t="str">
        <f t="shared" si="14"/>
        <v/>
      </c>
      <c r="O158" s="12" t="str">
        <f>IF(N158="","",COUNTIF('Match Log'!$J$3:$J$501,"&lt;"&amp;N158)+COUNTIF($N$4:$N$203,"&lt;"&amp;N158)+COUNTIF('Guest Log'!$K$4:$K$203,"&lt;"&amp;N158)+1)</f>
        <v/>
      </c>
    </row>
    <row r="159" spans="1:15" ht="15" customHeight="1" x14ac:dyDescent="0.2">
      <c r="A159" s="22"/>
      <c r="B159" s="21"/>
      <c r="C159" s="22"/>
      <c r="D159" s="22"/>
      <c r="E159" s="22"/>
      <c r="F159" s="22"/>
      <c r="G159" s="22"/>
      <c r="H159" s="22"/>
      <c r="I159" s="22"/>
      <c r="J159" s="23" t="str">
        <f t="shared" si="12"/>
        <v/>
      </c>
      <c r="K159" s="23" t="str">
        <f t="shared" si="13"/>
        <v/>
      </c>
      <c r="L159" s="21"/>
      <c r="M159" s="21"/>
      <c r="N159" s="12" t="str">
        <f t="shared" si="14"/>
        <v/>
      </c>
      <c r="O159" s="12" t="str">
        <f>IF(N159="","",COUNTIF('Match Log'!$J$3:$J$501,"&lt;"&amp;N159)+COUNTIF($N$4:$N$203,"&lt;"&amp;N159)+COUNTIF('Guest Log'!$K$4:$K$203,"&lt;"&amp;N159)+1)</f>
        <v/>
      </c>
    </row>
    <row r="160" spans="1:15" ht="15" customHeight="1" x14ac:dyDescent="0.2">
      <c r="A160" s="18"/>
      <c r="B160" s="17"/>
      <c r="C160" s="18"/>
      <c r="D160" s="18"/>
      <c r="E160" s="18"/>
      <c r="F160" s="18"/>
      <c r="G160" s="18"/>
      <c r="H160" s="18"/>
      <c r="I160" s="18"/>
      <c r="J160" s="19" t="str">
        <f t="shared" si="12"/>
        <v/>
      </c>
      <c r="K160" s="19" t="str">
        <f t="shared" si="13"/>
        <v/>
      </c>
      <c r="L160" s="17"/>
      <c r="M160" s="17"/>
      <c r="N160" s="12" t="str">
        <f t="shared" si="14"/>
        <v/>
      </c>
      <c r="O160" s="12" t="str">
        <f>IF(N160="","",COUNTIF('Match Log'!$J$3:$J$501,"&lt;"&amp;N160)+COUNTIF($N$4:$N$203,"&lt;"&amp;N160)+COUNTIF('Guest Log'!$K$4:$K$203,"&lt;"&amp;N160)+1)</f>
        <v/>
      </c>
    </row>
    <row r="161" spans="1:15" ht="15" customHeight="1" x14ac:dyDescent="0.2">
      <c r="A161" s="22"/>
      <c r="B161" s="21"/>
      <c r="C161" s="22"/>
      <c r="D161" s="22"/>
      <c r="E161" s="22"/>
      <c r="F161" s="22"/>
      <c r="G161" s="22"/>
      <c r="H161" s="22"/>
      <c r="I161" s="22"/>
      <c r="J161" s="23" t="str">
        <f t="shared" si="12"/>
        <v/>
      </c>
      <c r="K161" s="23" t="str">
        <f t="shared" si="13"/>
        <v/>
      </c>
      <c r="L161" s="21"/>
      <c r="M161" s="21"/>
      <c r="N161" s="12" t="str">
        <f t="shared" si="14"/>
        <v/>
      </c>
      <c r="O161" s="12" t="str">
        <f>IF(N161="","",COUNTIF('Match Log'!$J$3:$J$501,"&lt;"&amp;N161)+COUNTIF($N$4:$N$203,"&lt;"&amp;N161)+COUNTIF('Guest Log'!$K$4:$K$203,"&lt;"&amp;N161)+1)</f>
        <v/>
      </c>
    </row>
    <row r="162" spans="1:15" ht="15" customHeight="1" x14ac:dyDescent="0.2">
      <c r="A162" s="18"/>
      <c r="B162" s="17"/>
      <c r="C162" s="18"/>
      <c r="D162" s="18"/>
      <c r="E162" s="18"/>
      <c r="F162" s="18"/>
      <c r="G162" s="18"/>
      <c r="H162" s="18"/>
      <c r="I162" s="18"/>
      <c r="J162" s="19" t="str">
        <f t="shared" si="12"/>
        <v/>
      </c>
      <c r="K162" s="19" t="str">
        <f t="shared" si="13"/>
        <v/>
      </c>
      <c r="L162" s="17"/>
      <c r="M162" s="17"/>
      <c r="N162" s="12" t="str">
        <f t="shared" si="14"/>
        <v/>
      </c>
      <c r="O162" s="12" t="str">
        <f>IF(N162="","",COUNTIF('Match Log'!$J$3:$J$501,"&lt;"&amp;N162)+COUNTIF($N$4:$N$203,"&lt;"&amp;N162)+COUNTIF('Guest Log'!$K$4:$K$203,"&lt;"&amp;N162)+1)</f>
        <v/>
      </c>
    </row>
    <row r="163" spans="1:15" ht="15" customHeight="1" x14ac:dyDescent="0.2">
      <c r="A163" s="22"/>
      <c r="B163" s="21"/>
      <c r="C163" s="22"/>
      <c r="D163" s="22"/>
      <c r="E163" s="22"/>
      <c r="F163" s="22"/>
      <c r="G163" s="22"/>
      <c r="H163" s="22"/>
      <c r="I163" s="22"/>
      <c r="J163" s="23" t="str">
        <f t="shared" si="12"/>
        <v/>
      </c>
      <c r="K163" s="23" t="str">
        <f t="shared" si="13"/>
        <v/>
      </c>
      <c r="L163" s="21"/>
      <c r="M163" s="21"/>
      <c r="N163" s="12" t="str">
        <f t="shared" si="14"/>
        <v/>
      </c>
      <c r="O163" s="12" t="str">
        <f>IF(N163="","",COUNTIF('Match Log'!$J$3:$J$501,"&lt;"&amp;N163)+COUNTIF($N$4:$N$203,"&lt;"&amp;N163)+COUNTIF('Guest Log'!$K$4:$K$203,"&lt;"&amp;N163)+1)</f>
        <v/>
      </c>
    </row>
    <row r="164" spans="1:15" ht="15" customHeight="1" x14ac:dyDescent="0.2">
      <c r="A164" s="18"/>
      <c r="B164" s="17"/>
      <c r="C164" s="18"/>
      <c r="D164" s="18"/>
      <c r="E164" s="18"/>
      <c r="F164" s="18"/>
      <c r="G164" s="18"/>
      <c r="H164" s="18"/>
      <c r="I164" s="18"/>
      <c r="J164" s="19" t="str">
        <f t="shared" ref="J164:J195" si="15">IF(C164="","",IF(I164="","",ROUND(800+I164*400,0)))</f>
        <v/>
      </c>
      <c r="K164" s="19" t="str">
        <f t="shared" ref="K164:K195" si="16">IF(C164="","",IF(D164=0,"",ROUND((E164+0.5*F164)/D164,4)))</f>
        <v/>
      </c>
      <c r="L164" s="17"/>
      <c r="M164" s="17"/>
      <c r="N164" s="12" t="str">
        <f t="shared" ref="N164:N195" si="17">IF(A164="","",A164+0.0005+ROW()/10000000)</f>
        <v/>
      </c>
      <c r="O164" s="12" t="str">
        <f>IF(N164="","",COUNTIF('Match Log'!$J$3:$J$501,"&lt;"&amp;N164)+COUNTIF($N$4:$N$203,"&lt;"&amp;N164)+COUNTIF('Guest Log'!$K$4:$K$203,"&lt;"&amp;N164)+1)</f>
        <v/>
      </c>
    </row>
    <row r="165" spans="1:15" ht="15" customHeight="1" x14ac:dyDescent="0.2">
      <c r="A165" s="22"/>
      <c r="B165" s="21"/>
      <c r="C165" s="22"/>
      <c r="D165" s="22"/>
      <c r="E165" s="22"/>
      <c r="F165" s="22"/>
      <c r="G165" s="22"/>
      <c r="H165" s="22"/>
      <c r="I165" s="22"/>
      <c r="J165" s="23" t="str">
        <f t="shared" si="15"/>
        <v/>
      </c>
      <c r="K165" s="23" t="str">
        <f t="shared" si="16"/>
        <v/>
      </c>
      <c r="L165" s="21"/>
      <c r="M165" s="21"/>
      <c r="N165" s="12" t="str">
        <f t="shared" si="17"/>
        <v/>
      </c>
      <c r="O165" s="12" t="str">
        <f>IF(N165="","",COUNTIF('Match Log'!$J$3:$J$501,"&lt;"&amp;N165)+COUNTIF($N$4:$N$203,"&lt;"&amp;N165)+COUNTIF('Guest Log'!$K$4:$K$203,"&lt;"&amp;N165)+1)</f>
        <v/>
      </c>
    </row>
    <row r="166" spans="1:15" ht="15" customHeight="1" x14ac:dyDescent="0.2">
      <c r="A166" s="18"/>
      <c r="B166" s="17"/>
      <c r="C166" s="18"/>
      <c r="D166" s="18"/>
      <c r="E166" s="18"/>
      <c r="F166" s="18"/>
      <c r="G166" s="18"/>
      <c r="H166" s="18"/>
      <c r="I166" s="18"/>
      <c r="J166" s="19" t="str">
        <f t="shared" si="15"/>
        <v/>
      </c>
      <c r="K166" s="19" t="str">
        <f t="shared" si="16"/>
        <v/>
      </c>
      <c r="L166" s="17"/>
      <c r="M166" s="17"/>
      <c r="N166" s="12" t="str">
        <f t="shared" si="17"/>
        <v/>
      </c>
      <c r="O166" s="12" t="str">
        <f>IF(N166="","",COUNTIF('Match Log'!$J$3:$J$501,"&lt;"&amp;N166)+COUNTIF($N$4:$N$203,"&lt;"&amp;N166)+COUNTIF('Guest Log'!$K$4:$K$203,"&lt;"&amp;N166)+1)</f>
        <v/>
      </c>
    </row>
    <row r="167" spans="1:15" ht="15" customHeight="1" x14ac:dyDescent="0.2">
      <c r="A167" s="22"/>
      <c r="B167" s="21"/>
      <c r="C167" s="22"/>
      <c r="D167" s="22"/>
      <c r="E167" s="22"/>
      <c r="F167" s="22"/>
      <c r="G167" s="22"/>
      <c r="H167" s="22"/>
      <c r="I167" s="22"/>
      <c r="J167" s="23" t="str">
        <f t="shared" si="15"/>
        <v/>
      </c>
      <c r="K167" s="23" t="str">
        <f t="shared" si="16"/>
        <v/>
      </c>
      <c r="L167" s="21"/>
      <c r="M167" s="21"/>
      <c r="N167" s="12" t="str">
        <f t="shared" si="17"/>
        <v/>
      </c>
      <c r="O167" s="12" t="str">
        <f>IF(N167="","",COUNTIF('Match Log'!$J$3:$J$501,"&lt;"&amp;N167)+COUNTIF($N$4:$N$203,"&lt;"&amp;N167)+COUNTIF('Guest Log'!$K$4:$K$203,"&lt;"&amp;N167)+1)</f>
        <v/>
      </c>
    </row>
    <row r="168" spans="1:15" ht="15" customHeight="1" x14ac:dyDescent="0.2">
      <c r="A168" s="18"/>
      <c r="B168" s="17"/>
      <c r="C168" s="18"/>
      <c r="D168" s="18"/>
      <c r="E168" s="18"/>
      <c r="F168" s="18"/>
      <c r="G168" s="18"/>
      <c r="H168" s="18"/>
      <c r="I168" s="18"/>
      <c r="J168" s="19" t="str">
        <f t="shared" si="15"/>
        <v/>
      </c>
      <c r="K168" s="19" t="str">
        <f t="shared" si="16"/>
        <v/>
      </c>
      <c r="L168" s="17"/>
      <c r="M168" s="17"/>
      <c r="N168" s="12" t="str">
        <f t="shared" si="17"/>
        <v/>
      </c>
      <c r="O168" s="12" t="str">
        <f>IF(N168="","",COUNTIF('Match Log'!$J$3:$J$501,"&lt;"&amp;N168)+COUNTIF($N$4:$N$203,"&lt;"&amp;N168)+COUNTIF('Guest Log'!$K$4:$K$203,"&lt;"&amp;N168)+1)</f>
        <v/>
      </c>
    </row>
    <row r="169" spans="1:15" ht="15" customHeight="1" x14ac:dyDescent="0.2">
      <c r="A169" s="22"/>
      <c r="B169" s="21"/>
      <c r="C169" s="22"/>
      <c r="D169" s="22"/>
      <c r="E169" s="22"/>
      <c r="F169" s="22"/>
      <c r="G169" s="22"/>
      <c r="H169" s="22"/>
      <c r="I169" s="22"/>
      <c r="J169" s="23" t="str">
        <f t="shared" si="15"/>
        <v/>
      </c>
      <c r="K169" s="23" t="str">
        <f t="shared" si="16"/>
        <v/>
      </c>
      <c r="L169" s="21"/>
      <c r="M169" s="21"/>
      <c r="N169" s="12" t="str">
        <f t="shared" si="17"/>
        <v/>
      </c>
      <c r="O169" s="12" t="str">
        <f>IF(N169="","",COUNTIF('Match Log'!$J$3:$J$501,"&lt;"&amp;N169)+COUNTIF($N$4:$N$203,"&lt;"&amp;N169)+COUNTIF('Guest Log'!$K$4:$K$203,"&lt;"&amp;N169)+1)</f>
        <v/>
      </c>
    </row>
    <row r="170" spans="1:15" ht="15" customHeight="1" x14ac:dyDescent="0.2">
      <c r="A170" s="18"/>
      <c r="B170" s="17"/>
      <c r="C170" s="18"/>
      <c r="D170" s="18"/>
      <c r="E170" s="18"/>
      <c r="F170" s="18"/>
      <c r="G170" s="18"/>
      <c r="H170" s="18"/>
      <c r="I170" s="18"/>
      <c r="J170" s="19" t="str">
        <f t="shared" si="15"/>
        <v/>
      </c>
      <c r="K170" s="19" t="str">
        <f t="shared" si="16"/>
        <v/>
      </c>
      <c r="L170" s="17"/>
      <c r="M170" s="17"/>
      <c r="N170" s="12" t="str">
        <f t="shared" si="17"/>
        <v/>
      </c>
      <c r="O170" s="12" t="str">
        <f>IF(N170="","",COUNTIF('Match Log'!$J$3:$J$501,"&lt;"&amp;N170)+COUNTIF($N$4:$N$203,"&lt;"&amp;N170)+COUNTIF('Guest Log'!$K$4:$K$203,"&lt;"&amp;N170)+1)</f>
        <v/>
      </c>
    </row>
    <row r="171" spans="1:15" ht="15" customHeight="1" x14ac:dyDescent="0.2">
      <c r="A171" s="22"/>
      <c r="B171" s="21"/>
      <c r="C171" s="22"/>
      <c r="D171" s="22"/>
      <c r="E171" s="22"/>
      <c r="F171" s="22"/>
      <c r="G171" s="22"/>
      <c r="H171" s="22"/>
      <c r="I171" s="22"/>
      <c r="J171" s="23" t="str">
        <f t="shared" si="15"/>
        <v/>
      </c>
      <c r="K171" s="23" t="str">
        <f t="shared" si="16"/>
        <v/>
      </c>
      <c r="L171" s="21"/>
      <c r="M171" s="21"/>
      <c r="N171" s="12" t="str">
        <f t="shared" si="17"/>
        <v/>
      </c>
      <c r="O171" s="12" t="str">
        <f>IF(N171="","",COUNTIF('Match Log'!$J$3:$J$501,"&lt;"&amp;N171)+COUNTIF($N$4:$N$203,"&lt;"&amp;N171)+COUNTIF('Guest Log'!$K$4:$K$203,"&lt;"&amp;N171)+1)</f>
        <v/>
      </c>
    </row>
    <row r="172" spans="1:15" ht="15" customHeight="1" x14ac:dyDescent="0.2">
      <c r="A172" s="18"/>
      <c r="B172" s="17"/>
      <c r="C172" s="18"/>
      <c r="D172" s="18"/>
      <c r="E172" s="18"/>
      <c r="F172" s="18"/>
      <c r="G172" s="18"/>
      <c r="H172" s="18"/>
      <c r="I172" s="18"/>
      <c r="J172" s="19" t="str">
        <f t="shared" si="15"/>
        <v/>
      </c>
      <c r="K172" s="19" t="str">
        <f t="shared" si="16"/>
        <v/>
      </c>
      <c r="L172" s="17"/>
      <c r="M172" s="17"/>
      <c r="N172" s="12" t="str">
        <f t="shared" si="17"/>
        <v/>
      </c>
      <c r="O172" s="12" t="str">
        <f>IF(N172="","",COUNTIF('Match Log'!$J$3:$J$501,"&lt;"&amp;N172)+COUNTIF($N$4:$N$203,"&lt;"&amp;N172)+COUNTIF('Guest Log'!$K$4:$K$203,"&lt;"&amp;N172)+1)</f>
        <v/>
      </c>
    </row>
    <row r="173" spans="1:15" ht="15" customHeight="1" x14ac:dyDescent="0.2">
      <c r="A173" s="22"/>
      <c r="B173" s="21"/>
      <c r="C173" s="22"/>
      <c r="D173" s="22"/>
      <c r="E173" s="22"/>
      <c r="F173" s="22"/>
      <c r="G173" s="22"/>
      <c r="H173" s="22"/>
      <c r="I173" s="22"/>
      <c r="J173" s="23" t="str">
        <f t="shared" si="15"/>
        <v/>
      </c>
      <c r="K173" s="23" t="str">
        <f t="shared" si="16"/>
        <v/>
      </c>
      <c r="L173" s="21"/>
      <c r="M173" s="21"/>
      <c r="N173" s="12" t="str">
        <f t="shared" si="17"/>
        <v/>
      </c>
      <c r="O173" s="12" t="str">
        <f>IF(N173="","",COUNTIF('Match Log'!$J$3:$J$501,"&lt;"&amp;N173)+COUNTIF($N$4:$N$203,"&lt;"&amp;N173)+COUNTIF('Guest Log'!$K$4:$K$203,"&lt;"&amp;N173)+1)</f>
        <v/>
      </c>
    </row>
    <row r="174" spans="1:15" ht="15" customHeight="1" x14ac:dyDescent="0.2">
      <c r="A174" s="18"/>
      <c r="B174" s="17"/>
      <c r="C174" s="18"/>
      <c r="D174" s="18"/>
      <c r="E174" s="18"/>
      <c r="F174" s="18"/>
      <c r="G174" s="18"/>
      <c r="H174" s="18"/>
      <c r="I174" s="18"/>
      <c r="J174" s="19" t="str">
        <f t="shared" si="15"/>
        <v/>
      </c>
      <c r="K174" s="19" t="str">
        <f t="shared" si="16"/>
        <v/>
      </c>
      <c r="L174" s="17"/>
      <c r="M174" s="17"/>
      <c r="N174" s="12" t="str">
        <f t="shared" si="17"/>
        <v/>
      </c>
      <c r="O174" s="12" t="str">
        <f>IF(N174="","",COUNTIF('Match Log'!$J$3:$J$501,"&lt;"&amp;N174)+COUNTIF($N$4:$N$203,"&lt;"&amp;N174)+COUNTIF('Guest Log'!$K$4:$K$203,"&lt;"&amp;N174)+1)</f>
        <v/>
      </c>
    </row>
    <row r="175" spans="1:15" ht="15" customHeight="1" x14ac:dyDescent="0.2">
      <c r="A175" s="22"/>
      <c r="B175" s="21"/>
      <c r="C175" s="22"/>
      <c r="D175" s="22"/>
      <c r="E175" s="22"/>
      <c r="F175" s="22"/>
      <c r="G175" s="22"/>
      <c r="H175" s="22"/>
      <c r="I175" s="22"/>
      <c r="J175" s="23" t="str">
        <f t="shared" si="15"/>
        <v/>
      </c>
      <c r="K175" s="23" t="str">
        <f t="shared" si="16"/>
        <v/>
      </c>
      <c r="L175" s="21"/>
      <c r="M175" s="21"/>
      <c r="N175" s="12" t="str">
        <f t="shared" si="17"/>
        <v/>
      </c>
      <c r="O175" s="12" t="str">
        <f>IF(N175="","",COUNTIF('Match Log'!$J$3:$J$501,"&lt;"&amp;N175)+COUNTIF($N$4:$N$203,"&lt;"&amp;N175)+COUNTIF('Guest Log'!$K$4:$K$203,"&lt;"&amp;N175)+1)</f>
        <v/>
      </c>
    </row>
    <row r="176" spans="1:15" ht="15" customHeight="1" x14ac:dyDescent="0.2">
      <c r="A176" s="18"/>
      <c r="B176" s="17"/>
      <c r="C176" s="18"/>
      <c r="D176" s="18"/>
      <c r="E176" s="18"/>
      <c r="F176" s="18"/>
      <c r="G176" s="18"/>
      <c r="H176" s="18"/>
      <c r="I176" s="18"/>
      <c r="J176" s="19" t="str">
        <f t="shared" si="15"/>
        <v/>
      </c>
      <c r="K176" s="19" t="str">
        <f t="shared" si="16"/>
        <v/>
      </c>
      <c r="L176" s="17"/>
      <c r="M176" s="17"/>
      <c r="N176" s="12" t="str">
        <f t="shared" si="17"/>
        <v/>
      </c>
      <c r="O176" s="12" t="str">
        <f>IF(N176="","",COUNTIF('Match Log'!$J$3:$J$501,"&lt;"&amp;N176)+COUNTIF($N$4:$N$203,"&lt;"&amp;N176)+COUNTIF('Guest Log'!$K$4:$K$203,"&lt;"&amp;N176)+1)</f>
        <v/>
      </c>
    </row>
    <row r="177" spans="1:15" ht="15" customHeight="1" x14ac:dyDescent="0.2">
      <c r="A177" s="22"/>
      <c r="B177" s="21"/>
      <c r="C177" s="22"/>
      <c r="D177" s="22"/>
      <c r="E177" s="22"/>
      <c r="F177" s="22"/>
      <c r="G177" s="22"/>
      <c r="H177" s="22"/>
      <c r="I177" s="22"/>
      <c r="J177" s="23" t="str">
        <f t="shared" si="15"/>
        <v/>
      </c>
      <c r="K177" s="23" t="str">
        <f t="shared" si="16"/>
        <v/>
      </c>
      <c r="L177" s="21"/>
      <c r="M177" s="21"/>
      <c r="N177" s="12" t="str">
        <f t="shared" si="17"/>
        <v/>
      </c>
      <c r="O177" s="12" t="str">
        <f>IF(N177="","",COUNTIF('Match Log'!$J$3:$J$501,"&lt;"&amp;N177)+COUNTIF($N$4:$N$203,"&lt;"&amp;N177)+COUNTIF('Guest Log'!$K$4:$K$203,"&lt;"&amp;N177)+1)</f>
        <v/>
      </c>
    </row>
    <row r="178" spans="1:15" ht="15" customHeight="1" x14ac:dyDescent="0.2">
      <c r="A178" s="18"/>
      <c r="B178" s="17"/>
      <c r="C178" s="18"/>
      <c r="D178" s="18"/>
      <c r="E178" s="18"/>
      <c r="F178" s="18"/>
      <c r="G178" s="18"/>
      <c r="H178" s="18"/>
      <c r="I178" s="18"/>
      <c r="J178" s="19" t="str">
        <f t="shared" si="15"/>
        <v/>
      </c>
      <c r="K178" s="19" t="str">
        <f t="shared" si="16"/>
        <v/>
      </c>
      <c r="L178" s="17"/>
      <c r="M178" s="17"/>
      <c r="N178" s="12" t="str">
        <f t="shared" si="17"/>
        <v/>
      </c>
      <c r="O178" s="12" t="str">
        <f>IF(N178="","",COUNTIF('Match Log'!$J$3:$J$501,"&lt;"&amp;N178)+COUNTIF($N$4:$N$203,"&lt;"&amp;N178)+COUNTIF('Guest Log'!$K$4:$K$203,"&lt;"&amp;N178)+1)</f>
        <v/>
      </c>
    </row>
    <row r="179" spans="1:15" ht="15" customHeight="1" x14ac:dyDescent="0.2">
      <c r="A179" s="22"/>
      <c r="B179" s="21"/>
      <c r="C179" s="22"/>
      <c r="D179" s="22"/>
      <c r="E179" s="22"/>
      <c r="F179" s="22"/>
      <c r="G179" s="22"/>
      <c r="H179" s="22"/>
      <c r="I179" s="22"/>
      <c r="J179" s="23" t="str">
        <f t="shared" si="15"/>
        <v/>
      </c>
      <c r="K179" s="23" t="str">
        <f t="shared" si="16"/>
        <v/>
      </c>
      <c r="L179" s="21"/>
      <c r="M179" s="21"/>
      <c r="N179" s="12" t="str">
        <f t="shared" si="17"/>
        <v/>
      </c>
      <c r="O179" s="12" t="str">
        <f>IF(N179="","",COUNTIF('Match Log'!$J$3:$J$501,"&lt;"&amp;N179)+COUNTIF($N$4:$N$203,"&lt;"&amp;N179)+COUNTIF('Guest Log'!$K$4:$K$203,"&lt;"&amp;N179)+1)</f>
        <v/>
      </c>
    </row>
    <row r="180" spans="1:15" ht="15" customHeight="1" x14ac:dyDescent="0.2">
      <c r="A180" s="18"/>
      <c r="B180" s="17"/>
      <c r="C180" s="18"/>
      <c r="D180" s="18"/>
      <c r="E180" s="18"/>
      <c r="F180" s="18"/>
      <c r="G180" s="18"/>
      <c r="H180" s="18"/>
      <c r="I180" s="18"/>
      <c r="J180" s="19" t="str">
        <f t="shared" si="15"/>
        <v/>
      </c>
      <c r="K180" s="19" t="str">
        <f t="shared" si="16"/>
        <v/>
      </c>
      <c r="L180" s="17"/>
      <c r="M180" s="17"/>
      <c r="N180" s="12" t="str">
        <f t="shared" si="17"/>
        <v/>
      </c>
      <c r="O180" s="12" t="str">
        <f>IF(N180="","",COUNTIF('Match Log'!$J$3:$J$501,"&lt;"&amp;N180)+COUNTIF($N$4:$N$203,"&lt;"&amp;N180)+COUNTIF('Guest Log'!$K$4:$K$203,"&lt;"&amp;N180)+1)</f>
        <v/>
      </c>
    </row>
    <row r="181" spans="1:15" ht="15" customHeight="1" x14ac:dyDescent="0.2">
      <c r="A181" s="22"/>
      <c r="B181" s="21"/>
      <c r="C181" s="22"/>
      <c r="D181" s="22"/>
      <c r="E181" s="22"/>
      <c r="F181" s="22"/>
      <c r="G181" s="22"/>
      <c r="H181" s="22"/>
      <c r="I181" s="22"/>
      <c r="J181" s="23" t="str">
        <f t="shared" si="15"/>
        <v/>
      </c>
      <c r="K181" s="23" t="str">
        <f t="shared" si="16"/>
        <v/>
      </c>
      <c r="L181" s="21"/>
      <c r="M181" s="21"/>
      <c r="N181" s="12" t="str">
        <f t="shared" si="17"/>
        <v/>
      </c>
      <c r="O181" s="12" t="str">
        <f>IF(N181="","",COUNTIF('Match Log'!$J$3:$J$501,"&lt;"&amp;N181)+COUNTIF($N$4:$N$203,"&lt;"&amp;N181)+COUNTIF('Guest Log'!$K$4:$K$203,"&lt;"&amp;N181)+1)</f>
        <v/>
      </c>
    </row>
    <row r="182" spans="1:15" ht="15" customHeight="1" x14ac:dyDescent="0.2">
      <c r="A182" s="18"/>
      <c r="B182" s="17"/>
      <c r="C182" s="18"/>
      <c r="D182" s="18"/>
      <c r="E182" s="18"/>
      <c r="F182" s="18"/>
      <c r="G182" s="18"/>
      <c r="H182" s="18"/>
      <c r="I182" s="18"/>
      <c r="J182" s="19" t="str">
        <f t="shared" si="15"/>
        <v/>
      </c>
      <c r="K182" s="19" t="str">
        <f t="shared" si="16"/>
        <v/>
      </c>
      <c r="L182" s="17"/>
      <c r="M182" s="17"/>
      <c r="N182" s="12" t="str">
        <f t="shared" si="17"/>
        <v/>
      </c>
      <c r="O182" s="12" t="str">
        <f>IF(N182="","",COUNTIF('Match Log'!$J$3:$J$501,"&lt;"&amp;N182)+COUNTIF($N$4:$N$203,"&lt;"&amp;N182)+COUNTIF('Guest Log'!$K$4:$K$203,"&lt;"&amp;N182)+1)</f>
        <v/>
      </c>
    </row>
    <row r="183" spans="1:15" ht="15" customHeight="1" x14ac:dyDescent="0.2">
      <c r="A183" s="22"/>
      <c r="B183" s="21"/>
      <c r="C183" s="22"/>
      <c r="D183" s="22"/>
      <c r="E183" s="22"/>
      <c r="F183" s="22"/>
      <c r="G183" s="22"/>
      <c r="H183" s="22"/>
      <c r="I183" s="22"/>
      <c r="J183" s="23" t="str">
        <f t="shared" si="15"/>
        <v/>
      </c>
      <c r="K183" s="23" t="str">
        <f t="shared" si="16"/>
        <v/>
      </c>
      <c r="L183" s="21"/>
      <c r="M183" s="21"/>
      <c r="N183" s="12" t="str">
        <f t="shared" si="17"/>
        <v/>
      </c>
      <c r="O183" s="12" t="str">
        <f>IF(N183="","",COUNTIF('Match Log'!$J$3:$J$501,"&lt;"&amp;N183)+COUNTIF($N$4:$N$203,"&lt;"&amp;N183)+COUNTIF('Guest Log'!$K$4:$K$203,"&lt;"&amp;N183)+1)</f>
        <v/>
      </c>
    </row>
    <row r="184" spans="1:15" ht="15" customHeight="1" x14ac:dyDescent="0.2">
      <c r="A184" s="18"/>
      <c r="B184" s="17"/>
      <c r="C184" s="18"/>
      <c r="D184" s="18"/>
      <c r="E184" s="18"/>
      <c r="F184" s="18"/>
      <c r="G184" s="18"/>
      <c r="H184" s="18"/>
      <c r="I184" s="18"/>
      <c r="J184" s="19" t="str">
        <f t="shared" si="15"/>
        <v/>
      </c>
      <c r="K184" s="19" t="str">
        <f t="shared" si="16"/>
        <v/>
      </c>
      <c r="L184" s="17"/>
      <c r="M184" s="17"/>
      <c r="N184" s="12" t="str">
        <f t="shared" si="17"/>
        <v/>
      </c>
      <c r="O184" s="12" t="str">
        <f>IF(N184="","",COUNTIF('Match Log'!$J$3:$J$501,"&lt;"&amp;N184)+COUNTIF($N$4:$N$203,"&lt;"&amp;N184)+COUNTIF('Guest Log'!$K$4:$K$203,"&lt;"&amp;N184)+1)</f>
        <v/>
      </c>
    </row>
    <row r="185" spans="1:15" ht="15" customHeight="1" x14ac:dyDescent="0.2">
      <c r="A185" s="22"/>
      <c r="B185" s="21"/>
      <c r="C185" s="22"/>
      <c r="D185" s="22"/>
      <c r="E185" s="22"/>
      <c r="F185" s="22"/>
      <c r="G185" s="22"/>
      <c r="H185" s="22"/>
      <c r="I185" s="22"/>
      <c r="J185" s="23" t="str">
        <f t="shared" si="15"/>
        <v/>
      </c>
      <c r="K185" s="23" t="str">
        <f t="shared" si="16"/>
        <v/>
      </c>
      <c r="L185" s="21"/>
      <c r="M185" s="21"/>
      <c r="N185" s="12" t="str">
        <f t="shared" si="17"/>
        <v/>
      </c>
      <c r="O185" s="12" t="str">
        <f>IF(N185="","",COUNTIF('Match Log'!$J$3:$J$501,"&lt;"&amp;N185)+COUNTIF($N$4:$N$203,"&lt;"&amp;N185)+COUNTIF('Guest Log'!$K$4:$K$203,"&lt;"&amp;N185)+1)</f>
        <v/>
      </c>
    </row>
    <row r="186" spans="1:15" ht="15" customHeight="1" x14ac:dyDescent="0.2">
      <c r="A186" s="18"/>
      <c r="B186" s="17"/>
      <c r="C186" s="18"/>
      <c r="D186" s="18"/>
      <c r="E186" s="18"/>
      <c r="F186" s="18"/>
      <c r="G186" s="18"/>
      <c r="H186" s="18"/>
      <c r="I186" s="18"/>
      <c r="J186" s="19" t="str">
        <f t="shared" si="15"/>
        <v/>
      </c>
      <c r="K186" s="19" t="str">
        <f t="shared" si="16"/>
        <v/>
      </c>
      <c r="L186" s="17"/>
      <c r="M186" s="17"/>
      <c r="N186" s="12" t="str">
        <f t="shared" si="17"/>
        <v/>
      </c>
      <c r="O186" s="12" t="str">
        <f>IF(N186="","",COUNTIF('Match Log'!$J$3:$J$501,"&lt;"&amp;N186)+COUNTIF($N$4:$N$203,"&lt;"&amp;N186)+COUNTIF('Guest Log'!$K$4:$K$203,"&lt;"&amp;N186)+1)</f>
        <v/>
      </c>
    </row>
    <row r="187" spans="1:15" ht="15" customHeight="1" x14ac:dyDescent="0.2">
      <c r="A187" s="22"/>
      <c r="B187" s="21"/>
      <c r="C187" s="22"/>
      <c r="D187" s="22"/>
      <c r="E187" s="22"/>
      <c r="F187" s="22"/>
      <c r="G187" s="22"/>
      <c r="H187" s="22"/>
      <c r="I187" s="22"/>
      <c r="J187" s="23" t="str">
        <f t="shared" si="15"/>
        <v/>
      </c>
      <c r="K187" s="23" t="str">
        <f t="shared" si="16"/>
        <v/>
      </c>
      <c r="L187" s="21"/>
      <c r="M187" s="21"/>
      <c r="N187" s="12" t="str">
        <f t="shared" si="17"/>
        <v/>
      </c>
      <c r="O187" s="12" t="str">
        <f>IF(N187="","",COUNTIF('Match Log'!$J$3:$J$501,"&lt;"&amp;N187)+COUNTIF($N$4:$N$203,"&lt;"&amp;N187)+COUNTIF('Guest Log'!$K$4:$K$203,"&lt;"&amp;N187)+1)</f>
        <v/>
      </c>
    </row>
    <row r="188" spans="1:15" ht="15" customHeight="1" x14ac:dyDescent="0.2">
      <c r="A188" s="18"/>
      <c r="B188" s="17"/>
      <c r="C188" s="18"/>
      <c r="D188" s="18"/>
      <c r="E188" s="18"/>
      <c r="F188" s="18"/>
      <c r="G188" s="18"/>
      <c r="H188" s="18"/>
      <c r="I188" s="18"/>
      <c r="J188" s="19" t="str">
        <f t="shared" si="15"/>
        <v/>
      </c>
      <c r="K188" s="19" t="str">
        <f t="shared" si="16"/>
        <v/>
      </c>
      <c r="L188" s="17"/>
      <c r="M188" s="17"/>
      <c r="N188" s="12" t="str">
        <f t="shared" si="17"/>
        <v/>
      </c>
      <c r="O188" s="12" t="str">
        <f>IF(N188="","",COUNTIF('Match Log'!$J$3:$J$501,"&lt;"&amp;N188)+COUNTIF($N$4:$N$203,"&lt;"&amp;N188)+COUNTIF('Guest Log'!$K$4:$K$203,"&lt;"&amp;N188)+1)</f>
        <v/>
      </c>
    </row>
    <row r="189" spans="1:15" ht="15" customHeight="1" x14ac:dyDescent="0.2">
      <c r="A189" s="22"/>
      <c r="B189" s="21"/>
      <c r="C189" s="22"/>
      <c r="D189" s="22"/>
      <c r="E189" s="22"/>
      <c r="F189" s="22"/>
      <c r="G189" s="22"/>
      <c r="H189" s="22"/>
      <c r="I189" s="22"/>
      <c r="J189" s="23" t="str">
        <f t="shared" si="15"/>
        <v/>
      </c>
      <c r="K189" s="23" t="str">
        <f t="shared" si="16"/>
        <v/>
      </c>
      <c r="L189" s="21"/>
      <c r="M189" s="21"/>
      <c r="N189" s="12" t="str">
        <f t="shared" si="17"/>
        <v/>
      </c>
      <c r="O189" s="12" t="str">
        <f>IF(N189="","",COUNTIF('Match Log'!$J$3:$J$501,"&lt;"&amp;N189)+COUNTIF($N$4:$N$203,"&lt;"&amp;N189)+COUNTIF('Guest Log'!$K$4:$K$203,"&lt;"&amp;N189)+1)</f>
        <v/>
      </c>
    </row>
    <row r="190" spans="1:15" ht="15" customHeight="1" x14ac:dyDescent="0.2">
      <c r="A190" s="18"/>
      <c r="B190" s="17"/>
      <c r="C190" s="18"/>
      <c r="D190" s="18"/>
      <c r="E190" s="18"/>
      <c r="F190" s="18"/>
      <c r="G190" s="18"/>
      <c r="H190" s="18"/>
      <c r="I190" s="18"/>
      <c r="J190" s="19" t="str">
        <f t="shared" si="15"/>
        <v/>
      </c>
      <c r="K190" s="19" t="str">
        <f t="shared" si="16"/>
        <v/>
      </c>
      <c r="L190" s="17"/>
      <c r="M190" s="17"/>
      <c r="N190" s="12" t="str">
        <f t="shared" si="17"/>
        <v/>
      </c>
      <c r="O190" s="12" t="str">
        <f>IF(N190="","",COUNTIF('Match Log'!$J$3:$J$501,"&lt;"&amp;N190)+COUNTIF($N$4:$N$203,"&lt;"&amp;N190)+COUNTIF('Guest Log'!$K$4:$K$203,"&lt;"&amp;N190)+1)</f>
        <v/>
      </c>
    </row>
    <row r="191" spans="1:15" ht="15" customHeight="1" x14ac:dyDescent="0.2">
      <c r="A191" s="22"/>
      <c r="B191" s="21"/>
      <c r="C191" s="22"/>
      <c r="D191" s="22"/>
      <c r="E191" s="22"/>
      <c r="F191" s="22"/>
      <c r="G191" s="22"/>
      <c r="H191" s="22"/>
      <c r="I191" s="22"/>
      <c r="J191" s="23" t="str">
        <f t="shared" si="15"/>
        <v/>
      </c>
      <c r="K191" s="23" t="str">
        <f t="shared" si="16"/>
        <v/>
      </c>
      <c r="L191" s="21"/>
      <c r="M191" s="21"/>
      <c r="N191" s="12" t="str">
        <f t="shared" si="17"/>
        <v/>
      </c>
      <c r="O191" s="12" t="str">
        <f>IF(N191="","",COUNTIF('Match Log'!$J$3:$J$501,"&lt;"&amp;N191)+COUNTIF($N$4:$N$203,"&lt;"&amp;N191)+COUNTIF('Guest Log'!$K$4:$K$203,"&lt;"&amp;N191)+1)</f>
        <v/>
      </c>
    </row>
    <row r="192" spans="1:15" ht="15" customHeight="1" x14ac:dyDescent="0.2">
      <c r="A192" s="18"/>
      <c r="B192" s="17"/>
      <c r="C192" s="18"/>
      <c r="D192" s="18"/>
      <c r="E192" s="18"/>
      <c r="F192" s="18"/>
      <c r="G192" s="18"/>
      <c r="H192" s="18"/>
      <c r="I192" s="18"/>
      <c r="J192" s="19" t="str">
        <f t="shared" si="15"/>
        <v/>
      </c>
      <c r="K192" s="19" t="str">
        <f t="shared" si="16"/>
        <v/>
      </c>
      <c r="L192" s="17"/>
      <c r="M192" s="17"/>
      <c r="N192" s="12" t="str">
        <f t="shared" si="17"/>
        <v/>
      </c>
      <c r="O192" s="12" t="str">
        <f>IF(N192="","",COUNTIF('Match Log'!$J$3:$J$501,"&lt;"&amp;N192)+COUNTIF($N$4:$N$203,"&lt;"&amp;N192)+COUNTIF('Guest Log'!$K$4:$K$203,"&lt;"&amp;N192)+1)</f>
        <v/>
      </c>
    </row>
    <row r="193" spans="1:15" ht="15" customHeight="1" x14ac:dyDescent="0.2">
      <c r="A193" s="22"/>
      <c r="B193" s="21"/>
      <c r="C193" s="22"/>
      <c r="D193" s="22"/>
      <c r="E193" s="22"/>
      <c r="F193" s="22"/>
      <c r="G193" s="22"/>
      <c r="H193" s="22"/>
      <c r="I193" s="22"/>
      <c r="J193" s="23" t="str">
        <f t="shared" si="15"/>
        <v/>
      </c>
      <c r="K193" s="23" t="str">
        <f t="shared" si="16"/>
        <v/>
      </c>
      <c r="L193" s="21"/>
      <c r="M193" s="21"/>
      <c r="N193" s="12" t="str">
        <f t="shared" si="17"/>
        <v/>
      </c>
      <c r="O193" s="12" t="str">
        <f>IF(N193="","",COUNTIF('Match Log'!$J$3:$J$501,"&lt;"&amp;N193)+COUNTIF($N$4:$N$203,"&lt;"&amp;N193)+COUNTIF('Guest Log'!$K$4:$K$203,"&lt;"&amp;N193)+1)</f>
        <v/>
      </c>
    </row>
    <row r="194" spans="1:15" ht="15" customHeight="1" x14ac:dyDescent="0.2">
      <c r="A194" s="18"/>
      <c r="B194" s="17"/>
      <c r="C194" s="18"/>
      <c r="D194" s="18"/>
      <c r="E194" s="18"/>
      <c r="F194" s="18"/>
      <c r="G194" s="18"/>
      <c r="H194" s="18"/>
      <c r="I194" s="18"/>
      <c r="J194" s="19" t="str">
        <f t="shared" si="15"/>
        <v/>
      </c>
      <c r="K194" s="19" t="str">
        <f t="shared" si="16"/>
        <v/>
      </c>
      <c r="L194" s="17"/>
      <c r="M194" s="17"/>
      <c r="N194" s="12" t="str">
        <f t="shared" si="17"/>
        <v/>
      </c>
      <c r="O194" s="12" t="str">
        <f>IF(N194="","",COUNTIF('Match Log'!$J$3:$J$501,"&lt;"&amp;N194)+COUNTIF($N$4:$N$203,"&lt;"&amp;N194)+COUNTIF('Guest Log'!$K$4:$K$203,"&lt;"&amp;N194)+1)</f>
        <v/>
      </c>
    </row>
    <row r="195" spans="1:15" ht="15" customHeight="1" x14ac:dyDescent="0.2">
      <c r="A195" s="22"/>
      <c r="B195" s="21"/>
      <c r="C195" s="22"/>
      <c r="D195" s="22"/>
      <c r="E195" s="22"/>
      <c r="F195" s="22"/>
      <c r="G195" s="22"/>
      <c r="H195" s="22"/>
      <c r="I195" s="22"/>
      <c r="J195" s="23" t="str">
        <f t="shared" si="15"/>
        <v/>
      </c>
      <c r="K195" s="23" t="str">
        <f t="shared" si="16"/>
        <v/>
      </c>
      <c r="L195" s="21"/>
      <c r="M195" s="21"/>
      <c r="N195" s="12" t="str">
        <f t="shared" si="17"/>
        <v/>
      </c>
      <c r="O195" s="12" t="str">
        <f>IF(N195="","",COUNTIF('Match Log'!$J$3:$J$501,"&lt;"&amp;N195)+COUNTIF($N$4:$N$203,"&lt;"&amp;N195)+COUNTIF('Guest Log'!$K$4:$K$203,"&lt;"&amp;N195)+1)</f>
        <v/>
      </c>
    </row>
    <row r="196" spans="1:15" ht="15" customHeight="1" x14ac:dyDescent="0.2">
      <c r="A196" s="18"/>
      <c r="B196" s="17"/>
      <c r="C196" s="18"/>
      <c r="D196" s="18"/>
      <c r="E196" s="18"/>
      <c r="F196" s="18"/>
      <c r="G196" s="18"/>
      <c r="H196" s="18"/>
      <c r="I196" s="18"/>
      <c r="J196" s="19" t="str">
        <f t="shared" ref="J196:J227" si="18">IF(C196="","",IF(I196="","",ROUND(800+I196*400,0)))</f>
        <v/>
      </c>
      <c r="K196" s="19" t="str">
        <f t="shared" ref="K196:K203" si="19">IF(C196="","",IF(D196=0,"",ROUND((E196+0.5*F196)/D196,4)))</f>
        <v/>
      </c>
      <c r="L196" s="17"/>
      <c r="M196" s="17"/>
      <c r="N196" s="12" t="str">
        <f t="shared" ref="N196:N203" si="20">IF(A196="","",A196+0.0005+ROW()/10000000)</f>
        <v/>
      </c>
      <c r="O196" s="12" t="str">
        <f>IF(N196="","",COUNTIF('Match Log'!$J$3:$J$501,"&lt;"&amp;N196)+COUNTIF($N$4:$N$203,"&lt;"&amp;N196)+COUNTIF('Guest Log'!$K$4:$K$203,"&lt;"&amp;N196)+1)</f>
        <v/>
      </c>
    </row>
    <row r="197" spans="1:15" ht="15" customHeight="1" x14ac:dyDescent="0.2">
      <c r="A197" s="22"/>
      <c r="B197" s="21"/>
      <c r="C197" s="22"/>
      <c r="D197" s="22"/>
      <c r="E197" s="22"/>
      <c r="F197" s="22"/>
      <c r="G197" s="22"/>
      <c r="H197" s="22"/>
      <c r="I197" s="22"/>
      <c r="J197" s="23" t="str">
        <f t="shared" si="18"/>
        <v/>
      </c>
      <c r="K197" s="23" t="str">
        <f t="shared" si="19"/>
        <v/>
      </c>
      <c r="L197" s="21"/>
      <c r="M197" s="21"/>
      <c r="N197" s="12" t="str">
        <f t="shared" si="20"/>
        <v/>
      </c>
      <c r="O197" s="12" t="str">
        <f>IF(N197="","",COUNTIF('Match Log'!$J$3:$J$501,"&lt;"&amp;N197)+COUNTIF($N$4:$N$203,"&lt;"&amp;N197)+COUNTIF('Guest Log'!$K$4:$K$203,"&lt;"&amp;N197)+1)</f>
        <v/>
      </c>
    </row>
    <row r="198" spans="1:15" ht="15" customHeight="1" x14ac:dyDescent="0.2">
      <c r="A198" s="18"/>
      <c r="B198" s="17"/>
      <c r="C198" s="18"/>
      <c r="D198" s="18"/>
      <c r="E198" s="18"/>
      <c r="F198" s="18"/>
      <c r="G198" s="18"/>
      <c r="H198" s="18"/>
      <c r="I198" s="18"/>
      <c r="J198" s="19" t="str">
        <f t="shared" si="18"/>
        <v/>
      </c>
      <c r="K198" s="19" t="str">
        <f t="shared" si="19"/>
        <v/>
      </c>
      <c r="L198" s="17"/>
      <c r="M198" s="17"/>
      <c r="N198" s="12" t="str">
        <f t="shared" si="20"/>
        <v/>
      </c>
      <c r="O198" s="12" t="str">
        <f>IF(N198="","",COUNTIF('Match Log'!$J$3:$J$501,"&lt;"&amp;N198)+COUNTIF($N$4:$N$203,"&lt;"&amp;N198)+COUNTIF('Guest Log'!$K$4:$K$203,"&lt;"&amp;N198)+1)</f>
        <v/>
      </c>
    </row>
    <row r="199" spans="1:15" ht="15" customHeight="1" x14ac:dyDescent="0.2">
      <c r="A199" s="22"/>
      <c r="B199" s="21"/>
      <c r="C199" s="22"/>
      <c r="D199" s="22"/>
      <c r="E199" s="22"/>
      <c r="F199" s="22"/>
      <c r="G199" s="22"/>
      <c r="H199" s="22"/>
      <c r="I199" s="22"/>
      <c r="J199" s="23" t="str">
        <f t="shared" si="18"/>
        <v/>
      </c>
      <c r="K199" s="23" t="str">
        <f t="shared" si="19"/>
        <v/>
      </c>
      <c r="L199" s="21"/>
      <c r="M199" s="21"/>
      <c r="N199" s="12" t="str">
        <f t="shared" si="20"/>
        <v/>
      </c>
      <c r="O199" s="12" t="str">
        <f>IF(N199="","",COUNTIF('Match Log'!$J$3:$J$501,"&lt;"&amp;N199)+COUNTIF($N$4:$N$203,"&lt;"&amp;N199)+COUNTIF('Guest Log'!$K$4:$K$203,"&lt;"&amp;N199)+1)</f>
        <v/>
      </c>
    </row>
    <row r="200" spans="1:15" ht="15" customHeight="1" x14ac:dyDescent="0.2">
      <c r="A200" s="18"/>
      <c r="B200" s="17"/>
      <c r="C200" s="18"/>
      <c r="D200" s="18"/>
      <c r="E200" s="18"/>
      <c r="F200" s="18"/>
      <c r="G200" s="18"/>
      <c r="H200" s="18"/>
      <c r="I200" s="18"/>
      <c r="J200" s="19" t="str">
        <f t="shared" si="18"/>
        <v/>
      </c>
      <c r="K200" s="19" t="str">
        <f t="shared" si="19"/>
        <v/>
      </c>
      <c r="L200" s="17"/>
      <c r="M200" s="17"/>
      <c r="N200" s="12" t="str">
        <f t="shared" si="20"/>
        <v/>
      </c>
      <c r="O200" s="12" t="str">
        <f>IF(N200="","",COUNTIF('Match Log'!$J$3:$J$501,"&lt;"&amp;N200)+COUNTIF($N$4:$N$203,"&lt;"&amp;N200)+COUNTIF('Guest Log'!$K$4:$K$203,"&lt;"&amp;N200)+1)</f>
        <v/>
      </c>
    </row>
    <row r="201" spans="1:15" ht="15" customHeight="1" x14ac:dyDescent="0.2">
      <c r="A201" s="22"/>
      <c r="B201" s="21"/>
      <c r="C201" s="22"/>
      <c r="D201" s="22"/>
      <c r="E201" s="22"/>
      <c r="F201" s="22"/>
      <c r="G201" s="22"/>
      <c r="H201" s="22"/>
      <c r="I201" s="22"/>
      <c r="J201" s="23" t="str">
        <f t="shared" si="18"/>
        <v/>
      </c>
      <c r="K201" s="23" t="str">
        <f t="shared" si="19"/>
        <v/>
      </c>
      <c r="L201" s="21"/>
      <c r="M201" s="21"/>
      <c r="N201" s="12" t="str">
        <f t="shared" si="20"/>
        <v/>
      </c>
      <c r="O201" s="12" t="str">
        <f>IF(N201="","",COUNTIF('Match Log'!$J$3:$J$501,"&lt;"&amp;N201)+COUNTIF($N$4:$N$203,"&lt;"&amp;N201)+COUNTIF('Guest Log'!$K$4:$K$203,"&lt;"&amp;N201)+1)</f>
        <v/>
      </c>
    </row>
    <row r="202" spans="1:15" ht="15" customHeight="1" x14ac:dyDescent="0.2">
      <c r="A202" s="18"/>
      <c r="B202" s="17"/>
      <c r="C202" s="18"/>
      <c r="D202" s="18"/>
      <c r="E202" s="18"/>
      <c r="F202" s="18"/>
      <c r="G202" s="18"/>
      <c r="H202" s="18"/>
      <c r="I202" s="18"/>
      <c r="J202" s="19" t="str">
        <f t="shared" si="18"/>
        <v/>
      </c>
      <c r="K202" s="19" t="str">
        <f t="shared" si="19"/>
        <v/>
      </c>
      <c r="L202" s="17"/>
      <c r="M202" s="17"/>
      <c r="N202" s="12" t="str">
        <f t="shared" si="20"/>
        <v/>
      </c>
      <c r="O202" s="12" t="str">
        <f>IF(N202="","",COUNTIF('Match Log'!$J$3:$J$501,"&lt;"&amp;N202)+COUNTIF($N$4:$N$203,"&lt;"&amp;N202)+COUNTIF('Guest Log'!$K$4:$K$203,"&lt;"&amp;N202)+1)</f>
        <v/>
      </c>
    </row>
    <row r="203" spans="1:15" ht="15" customHeight="1" x14ac:dyDescent="0.2">
      <c r="A203" s="22"/>
      <c r="B203" s="21"/>
      <c r="C203" s="22"/>
      <c r="D203" s="22"/>
      <c r="E203" s="22"/>
      <c r="F203" s="22"/>
      <c r="G203" s="22"/>
      <c r="H203" s="22"/>
      <c r="I203" s="22"/>
      <c r="J203" s="23" t="str">
        <f t="shared" si="18"/>
        <v/>
      </c>
      <c r="K203" s="23" t="str">
        <f t="shared" si="19"/>
        <v/>
      </c>
      <c r="L203" s="21"/>
      <c r="M203" s="21"/>
      <c r="N203" s="12" t="str">
        <f t="shared" si="20"/>
        <v/>
      </c>
      <c r="O203" s="12" t="str">
        <f>IF(N203="","",COUNTIF('Match Log'!$J$3:$J$501,"&lt;"&amp;N203)+COUNTIF($N$4:$N$203,"&lt;"&amp;N203)+COUNTIF('Guest Log'!$K$4:$K$203,"&lt;"&amp;N203)+1)</f>
        <v/>
      </c>
    </row>
  </sheetData>
  <mergeCells count="2">
    <mergeCell ref="A1:M1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4C41"/>
  </sheetPr>
  <dimension ref="A1:L203"/>
  <sheetViews>
    <sheetView zoomScaleNormal="100" workbookViewId="0">
      <pane ySplit="3" topLeftCell="A4" activePane="bottomLeft" state="frozen"/>
      <selection pane="bottomLeft" activeCell="I4" sqref="I4"/>
    </sheetView>
  </sheetViews>
  <sheetFormatPr defaultColWidth="8.7421875" defaultRowHeight="15" x14ac:dyDescent="0.2"/>
  <cols>
    <col min="1" max="1" width="11.97265625" customWidth="1"/>
    <col min="2" max="2" width="13.98828125" customWidth="1"/>
    <col min="3" max="3" width="21.7890625" bestFit="1" customWidth="1"/>
    <col min="4" max="5" width="11.02734375" customWidth="1"/>
    <col min="6" max="7" width="13.98828125" customWidth="1"/>
    <col min="8" max="9" width="17.08203125" bestFit="1" customWidth="1"/>
    <col min="10" max="10" width="23.9453125" customWidth="1"/>
    <col min="11" max="12" width="13.98828125" customWidth="1"/>
  </cols>
  <sheetData>
    <row r="1" spans="1:12" ht="21.75" customHeight="1" x14ac:dyDescent="0.2">
      <c r="A1" s="48" t="s">
        <v>64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31.5" customHeight="1" x14ac:dyDescent="0.2">
      <c r="A2" s="24" t="s">
        <v>12</v>
      </c>
      <c r="B2" s="24" t="s">
        <v>65</v>
      </c>
      <c r="C2" s="24" t="s">
        <v>66</v>
      </c>
      <c r="D2" s="24" t="s">
        <v>67</v>
      </c>
      <c r="E2" s="24" t="s">
        <v>68</v>
      </c>
      <c r="F2" s="24" t="s">
        <v>69</v>
      </c>
      <c r="G2" s="24" t="s">
        <v>70</v>
      </c>
      <c r="H2" s="24" t="s">
        <v>71</v>
      </c>
      <c r="I2" s="24" t="s">
        <v>72</v>
      </c>
      <c r="J2" s="24" t="s">
        <v>20</v>
      </c>
      <c r="K2" s="24" t="s">
        <v>21</v>
      </c>
      <c r="L2" s="24" t="s">
        <v>22</v>
      </c>
    </row>
    <row r="3" spans="1:12" ht="25.5" customHeight="1" x14ac:dyDescent="0.2">
      <c r="A3" s="50" t="s">
        <v>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15" customHeight="1" x14ac:dyDescent="0.2">
      <c r="A4" s="25" t="s">
        <v>92</v>
      </c>
      <c r="B4" s="26" t="s">
        <v>40</v>
      </c>
      <c r="C4" s="26" t="s">
        <v>28</v>
      </c>
      <c r="D4" s="26">
        <v>100</v>
      </c>
      <c r="E4" s="26">
        <v>56</v>
      </c>
      <c r="F4" s="26" t="s">
        <v>41</v>
      </c>
      <c r="G4" s="26" t="s">
        <v>26</v>
      </c>
      <c r="H4" s="26" t="s">
        <v>93</v>
      </c>
      <c r="I4" s="26"/>
      <c r="J4" s="26"/>
      <c r="K4" s="27" t="e">
        <f t="shared" ref="K4:K35" si="0">IF(A4="","",A4+0.0003+ROW()/10000000)</f>
        <v>#VALUE!</v>
      </c>
      <c r="L4" t="e">
        <f>IF(K4="","",COUNTIF('Match Log'!$J$3:$J$501,"&lt;"&amp;K4)+COUNTIF('Tournament Log'!$N$4:$N$203,"&lt;"&amp;K4)+COUNTIF($K$4:$K$203,"&lt;"&amp;K4)+1)</f>
        <v>#VALUE!</v>
      </c>
    </row>
    <row r="5" spans="1:12" ht="15" customHeight="1" x14ac:dyDescent="0.2">
      <c r="A5" s="25"/>
      <c r="B5" s="26"/>
      <c r="C5" s="26"/>
      <c r="D5" s="26"/>
      <c r="E5" s="26"/>
      <c r="F5" s="26"/>
      <c r="G5" s="26"/>
      <c r="H5" s="26"/>
      <c r="I5" s="26"/>
      <c r="J5" s="26"/>
      <c r="K5" t="str">
        <f t="shared" si="0"/>
        <v/>
      </c>
      <c r="L5" t="str">
        <f>IF(K5="","",COUNTIF('Match Log'!$J$3:$J$501,"&lt;"&amp;K5)+COUNTIF('Tournament Log'!$N$4:$N$203,"&lt;"&amp;K5)+COUNTIF($K$4:$K$203,"&lt;"&amp;K5)+1)</f>
        <v/>
      </c>
    </row>
    <row r="6" spans="1:12" ht="15" customHeight="1" x14ac:dyDescent="0.2">
      <c r="A6" s="25"/>
      <c r="B6" s="26"/>
      <c r="C6" s="26"/>
      <c r="D6" s="26"/>
      <c r="E6" s="26"/>
      <c r="F6" s="26"/>
      <c r="G6" s="26"/>
      <c r="H6" s="26"/>
      <c r="I6" s="26"/>
      <c r="J6" s="26"/>
      <c r="K6" t="str">
        <f t="shared" si="0"/>
        <v/>
      </c>
      <c r="L6" t="str">
        <f>IF(K6="","",COUNTIF('Match Log'!$J$3:$J$501,"&lt;"&amp;K6)+COUNTIF('Tournament Log'!$N$4:$N$203,"&lt;"&amp;K6)+COUNTIF($K$4:$K$203,"&lt;"&amp;K6)+1)</f>
        <v/>
      </c>
    </row>
    <row r="7" spans="1:12" ht="15" customHeight="1" x14ac:dyDescent="0.2">
      <c r="A7" s="25"/>
      <c r="B7" s="26"/>
      <c r="C7" s="26"/>
      <c r="D7" s="26"/>
      <c r="E7" s="26"/>
      <c r="F7" s="26"/>
      <c r="G7" s="26"/>
      <c r="H7" s="26"/>
      <c r="I7" s="26"/>
      <c r="J7" s="26"/>
      <c r="K7" t="str">
        <f t="shared" si="0"/>
        <v/>
      </c>
      <c r="L7" t="str">
        <f>IF(K7="","",COUNTIF('Match Log'!$J$3:$J$501,"&lt;"&amp;K7)+COUNTIF('Tournament Log'!$N$4:$N$203,"&lt;"&amp;K7)+COUNTIF($K$4:$K$203,"&lt;"&amp;K7)+1)</f>
        <v/>
      </c>
    </row>
    <row r="8" spans="1:12" ht="1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t="str">
        <f t="shared" si="0"/>
        <v/>
      </c>
      <c r="L8" t="str">
        <f>IF(K8="","",COUNTIF('Match Log'!$J$3:$J$501,"&lt;"&amp;K8)+COUNTIF('Tournament Log'!$N$4:$N$203,"&lt;"&amp;K8)+COUNTIF($K$4:$K$203,"&lt;"&amp;K8)+1)</f>
        <v/>
      </c>
    </row>
    <row r="9" spans="1:12" ht="15" customHeight="1" x14ac:dyDescent="0.2">
      <c r="A9" s="25"/>
      <c r="B9" s="26"/>
      <c r="C9" s="26"/>
      <c r="D9" s="26"/>
      <c r="E9" s="26"/>
      <c r="F9" s="26"/>
      <c r="G9" s="26"/>
      <c r="H9" s="26"/>
      <c r="I9" s="26"/>
      <c r="J9" s="26"/>
      <c r="K9" t="str">
        <f t="shared" si="0"/>
        <v/>
      </c>
      <c r="L9" t="str">
        <f>IF(K9="","",COUNTIF('Match Log'!$J$3:$J$501,"&lt;"&amp;K9)+COUNTIF('Tournament Log'!$N$4:$N$203,"&lt;"&amp;K9)+COUNTIF($K$4:$K$203,"&lt;"&amp;K9)+1)</f>
        <v/>
      </c>
    </row>
    <row r="10" spans="1:12" ht="15" customHeight="1" x14ac:dyDescent="0.2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t="str">
        <f t="shared" si="0"/>
        <v/>
      </c>
      <c r="L10" t="str">
        <f>IF(K10="","",COUNTIF('Match Log'!$J$3:$J$501,"&lt;"&amp;K10)+COUNTIF('Tournament Log'!$N$4:$N$203,"&lt;"&amp;K10)+COUNTIF($K$4:$K$203,"&lt;"&amp;K10)+1)</f>
        <v/>
      </c>
    </row>
    <row r="11" spans="1:12" ht="15" customHeight="1" x14ac:dyDescent="0.2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t="str">
        <f t="shared" si="0"/>
        <v/>
      </c>
      <c r="L11" t="str">
        <f>IF(K11="","",COUNTIF('Match Log'!$J$3:$J$501,"&lt;"&amp;K11)+COUNTIF('Tournament Log'!$N$4:$N$203,"&lt;"&amp;K11)+COUNTIF($K$4:$K$203,"&lt;"&amp;K11)+1)</f>
        <v/>
      </c>
    </row>
    <row r="12" spans="1:12" ht="15" customHeight="1" x14ac:dyDescent="0.2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t="str">
        <f t="shared" si="0"/>
        <v/>
      </c>
      <c r="L12" t="str">
        <f>IF(K12="","",COUNTIF('Match Log'!$J$3:$J$501,"&lt;"&amp;K12)+COUNTIF('Tournament Log'!$N$4:$N$203,"&lt;"&amp;K12)+COUNTIF($K$4:$K$203,"&lt;"&amp;K12)+1)</f>
        <v/>
      </c>
    </row>
    <row r="13" spans="1:12" ht="15" customHeight="1" x14ac:dyDescent="0.2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t="str">
        <f t="shared" si="0"/>
        <v/>
      </c>
      <c r="L13" t="str">
        <f>IF(K13="","",COUNTIF('Match Log'!$J$3:$J$501,"&lt;"&amp;K13)+COUNTIF('Tournament Log'!$N$4:$N$203,"&lt;"&amp;K13)+COUNTIF($K$4:$K$203,"&lt;"&amp;K13)+1)</f>
        <v/>
      </c>
    </row>
    <row r="14" spans="1:12" ht="15" customHeight="1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t="str">
        <f t="shared" si="0"/>
        <v/>
      </c>
      <c r="L14" t="str">
        <f>IF(K14="","",COUNTIF('Match Log'!$J$3:$J$501,"&lt;"&amp;K14)+COUNTIF('Tournament Log'!$N$4:$N$203,"&lt;"&amp;K14)+COUNTIF($K$4:$K$203,"&lt;"&amp;K14)+1)</f>
        <v/>
      </c>
    </row>
    <row r="15" spans="1:12" ht="15" customHeight="1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t="str">
        <f t="shared" si="0"/>
        <v/>
      </c>
      <c r="L15" t="str">
        <f>IF(K15="","",COUNTIF('Match Log'!$J$3:$J$501,"&lt;"&amp;K15)+COUNTIF('Tournament Log'!$N$4:$N$203,"&lt;"&amp;K15)+COUNTIF($K$4:$K$203,"&lt;"&amp;K15)+1)</f>
        <v/>
      </c>
    </row>
    <row r="16" spans="1:12" ht="1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t="str">
        <f t="shared" si="0"/>
        <v/>
      </c>
      <c r="L16" t="str">
        <f>IF(K16="","",COUNTIF('Match Log'!$J$3:$J$501,"&lt;"&amp;K16)+COUNTIF('Tournament Log'!$N$4:$N$203,"&lt;"&amp;K16)+COUNTIF($K$4:$K$203,"&lt;"&amp;K16)+1)</f>
        <v/>
      </c>
    </row>
    <row r="17" spans="1:12" ht="15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t="str">
        <f t="shared" si="0"/>
        <v/>
      </c>
      <c r="L17" t="str">
        <f>IF(K17="","",COUNTIF('Match Log'!$J$3:$J$501,"&lt;"&amp;K17)+COUNTIF('Tournament Log'!$N$4:$N$203,"&lt;"&amp;K17)+COUNTIF($K$4:$K$203,"&lt;"&amp;K17)+1)</f>
        <v/>
      </c>
    </row>
    <row r="18" spans="1:12" ht="1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t="str">
        <f t="shared" si="0"/>
        <v/>
      </c>
      <c r="L18" t="str">
        <f>IF(K18="","",COUNTIF('Match Log'!$J$3:$J$501,"&lt;"&amp;K18)+COUNTIF('Tournament Log'!$N$4:$N$203,"&lt;"&amp;K18)+COUNTIF($K$4:$K$203,"&lt;"&amp;K18)+1)</f>
        <v/>
      </c>
    </row>
    <row r="19" spans="1:12" ht="1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t="str">
        <f t="shared" si="0"/>
        <v/>
      </c>
      <c r="L19" t="str">
        <f>IF(K19="","",COUNTIF('Match Log'!$J$3:$J$501,"&lt;"&amp;K19)+COUNTIF('Tournament Log'!$N$4:$N$203,"&lt;"&amp;K19)+COUNTIF($K$4:$K$203,"&lt;"&amp;K19)+1)</f>
        <v/>
      </c>
    </row>
    <row r="20" spans="1:12" ht="1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t="str">
        <f t="shared" si="0"/>
        <v/>
      </c>
      <c r="L20" t="str">
        <f>IF(K20="","",COUNTIF('Match Log'!$J$3:$J$501,"&lt;"&amp;K20)+COUNTIF('Tournament Log'!$N$4:$N$203,"&lt;"&amp;K20)+COUNTIF($K$4:$K$203,"&lt;"&amp;K20)+1)</f>
        <v/>
      </c>
    </row>
    <row r="21" spans="1:12" ht="1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t="str">
        <f t="shared" si="0"/>
        <v/>
      </c>
      <c r="L21" t="str">
        <f>IF(K21="","",COUNTIF('Match Log'!$J$3:$J$501,"&lt;"&amp;K21)+COUNTIF('Tournament Log'!$N$4:$N$203,"&lt;"&amp;K21)+COUNTIF($K$4:$K$203,"&lt;"&amp;K21)+1)</f>
        <v/>
      </c>
    </row>
    <row r="22" spans="1:12" ht="1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t="str">
        <f t="shared" si="0"/>
        <v/>
      </c>
      <c r="L22" t="str">
        <f>IF(K22="","",COUNTIF('Match Log'!$J$3:$J$501,"&lt;"&amp;K22)+COUNTIF('Tournament Log'!$N$4:$N$203,"&lt;"&amp;K22)+COUNTIF($K$4:$K$203,"&lt;"&amp;K22)+1)</f>
        <v/>
      </c>
    </row>
    <row r="23" spans="1:12" ht="15" customHeight="1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t="str">
        <f t="shared" si="0"/>
        <v/>
      </c>
      <c r="L23" t="str">
        <f>IF(K23="","",COUNTIF('Match Log'!$J$3:$J$501,"&lt;"&amp;K23)+COUNTIF('Tournament Log'!$N$4:$N$203,"&lt;"&amp;K23)+COUNTIF($K$4:$K$203,"&lt;"&amp;K23)+1)</f>
        <v/>
      </c>
    </row>
    <row r="24" spans="1:12" ht="15" customHeight="1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t="str">
        <f t="shared" si="0"/>
        <v/>
      </c>
      <c r="L24" t="str">
        <f>IF(K24="","",COUNTIF('Match Log'!$J$3:$J$501,"&lt;"&amp;K24)+COUNTIF('Tournament Log'!$N$4:$N$203,"&lt;"&amp;K24)+COUNTIF($K$4:$K$203,"&lt;"&amp;K24)+1)</f>
        <v/>
      </c>
    </row>
    <row r="25" spans="1:12" ht="15" customHeight="1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t="str">
        <f t="shared" si="0"/>
        <v/>
      </c>
      <c r="L25" t="str">
        <f>IF(K25="","",COUNTIF('Match Log'!$J$3:$J$501,"&lt;"&amp;K25)+COUNTIF('Tournament Log'!$N$4:$N$203,"&lt;"&amp;K25)+COUNTIF($K$4:$K$203,"&lt;"&amp;K25)+1)</f>
        <v/>
      </c>
    </row>
    <row r="26" spans="1:12" ht="15" customHeight="1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t="str">
        <f t="shared" si="0"/>
        <v/>
      </c>
      <c r="L26" t="str">
        <f>IF(K26="","",COUNTIF('Match Log'!$J$3:$J$501,"&lt;"&amp;K26)+COUNTIF('Tournament Log'!$N$4:$N$203,"&lt;"&amp;K26)+COUNTIF($K$4:$K$203,"&lt;"&amp;K26)+1)</f>
        <v/>
      </c>
    </row>
    <row r="27" spans="1:12" ht="15" customHeight="1" x14ac:dyDescent="0.2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t="str">
        <f t="shared" si="0"/>
        <v/>
      </c>
      <c r="L27" t="str">
        <f>IF(K27="","",COUNTIF('Match Log'!$J$3:$J$501,"&lt;"&amp;K27)+COUNTIF('Tournament Log'!$N$4:$N$203,"&lt;"&amp;K27)+COUNTIF($K$4:$K$203,"&lt;"&amp;K27)+1)</f>
        <v/>
      </c>
    </row>
    <row r="28" spans="1:12" ht="15" customHeight="1" x14ac:dyDescent="0.2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t="str">
        <f t="shared" si="0"/>
        <v/>
      </c>
      <c r="L28" t="str">
        <f>IF(K28="","",COUNTIF('Match Log'!$J$3:$J$501,"&lt;"&amp;K28)+COUNTIF('Tournament Log'!$N$4:$N$203,"&lt;"&amp;K28)+COUNTIF($K$4:$K$203,"&lt;"&amp;K28)+1)</f>
        <v/>
      </c>
    </row>
    <row r="29" spans="1:12" ht="15" customHeight="1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t="str">
        <f t="shared" si="0"/>
        <v/>
      </c>
      <c r="L29" t="str">
        <f>IF(K29="","",COUNTIF('Match Log'!$J$3:$J$501,"&lt;"&amp;K29)+COUNTIF('Tournament Log'!$N$4:$N$203,"&lt;"&amp;K29)+COUNTIF($K$4:$K$203,"&lt;"&amp;K29)+1)</f>
        <v/>
      </c>
    </row>
    <row r="30" spans="1:12" ht="15" customHeight="1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t="str">
        <f t="shared" si="0"/>
        <v/>
      </c>
      <c r="L30" t="str">
        <f>IF(K30="","",COUNTIF('Match Log'!$J$3:$J$501,"&lt;"&amp;K30)+COUNTIF('Tournament Log'!$N$4:$N$203,"&lt;"&amp;K30)+COUNTIF($K$4:$K$203,"&lt;"&amp;K30)+1)</f>
        <v/>
      </c>
    </row>
    <row r="31" spans="1:12" ht="15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t="str">
        <f t="shared" si="0"/>
        <v/>
      </c>
      <c r="L31" t="str">
        <f>IF(K31="","",COUNTIF('Match Log'!$J$3:$J$501,"&lt;"&amp;K31)+COUNTIF('Tournament Log'!$N$4:$N$203,"&lt;"&amp;K31)+COUNTIF($K$4:$K$203,"&lt;"&amp;K31)+1)</f>
        <v/>
      </c>
    </row>
    <row r="32" spans="1:12" ht="15" customHeight="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t="str">
        <f t="shared" si="0"/>
        <v/>
      </c>
      <c r="L32" t="str">
        <f>IF(K32="","",COUNTIF('Match Log'!$J$3:$J$501,"&lt;"&amp;K32)+COUNTIF('Tournament Log'!$N$4:$N$203,"&lt;"&amp;K32)+COUNTIF($K$4:$K$203,"&lt;"&amp;K32)+1)</f>
        <v/>
      </c>
    </row>
    <row r="33" spans="1:12" ht="15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t="str">
        <f t="shared" si="0"/>
        <v/>
      </c>
      <c r="L33" t="str">
        <f>IF(K33="","",COUNTIF('Match Log'!$J$3:$J$501,"&lt;"&amp;K33)+COUNTIF('Tournament Log'!$N$4:$N$203,"&lt;"&amp;K33)+COUNTIF($K$4:$K$203,"&lt;"&amp;K33)+1)</f>
        <v/>
      </c>
    </row>
    <row r="34" spans="1:12" ht="15" customHeight="1" x14ac:dyDescent="0.2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t="str">
        <f t="shared" si="0"/>
        <v/>
      </c>
      <c r="L34" t="str">
        <f>IF(K34="","",COUNTIF('Match Log'!$J$3:$J$501,"&lt;"&amp;K34)+COUNTIF('Tournament Log'!$N$4:$N$203,"&lt;"&amp;K34)+COUNTIF($K$4:$K$203,"&lt;"&amp;K34)+1)</f>
        <v/>
      </c>
    </row>
    <row r="35" spans="1:12" ht="15" customHeight="1" x14ac:dyDescent="0.2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t="str">
        <f t="shared" si="0"/>
        <v/>
      </c>
      <c r="L35" t="str">
        <f>IF(K35="","",COUNTIF('Match Log'!$J$3:$J$501,"&lt;"&amp;K35)+COUNTIF('Tournament Log'!$N$4:$N$203,"&lt;"&amp;K35)+COUNTIF($K$4:$K$203,"&lt;"&amp;K35)+1)</f>
        <v/>
      </c>
    </row>
    <row r="36" spans="1:12" ht="15" customHeight="1" x14ac:dyDescent="0.2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t="str">
        <f t="shared" ref="K36:K67" si="1">IF(A36="","",A36+0.0003+ROW()/10000000)</f>
        <v/>
      </c>
      <c r="L36" t="str">
        <f>IF(K36="","",COUNTIF('Match Log'!$J$3:$J$501,"&lt;"&amp;K36)+COUNTIF('Tournament Log'!$N$4:$N$203,"&lt;"&amp;K36)+COUNTIF($K$4:$K$203,"&lt;"&amp;K36)+1)</f>
        <v/>
      </c>
    </row>
    <row r="37" spans="1:12" ht="15" customHeight="1" x14ac:dyDescent="0.2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t="str">
        <f t="shared" si="1"/>
        <v/>
      </c>
      <c r="L37" t="str">
        <f>IF(K37="","",COUNTIF('Match Log'!$J$3:$J$501,"&lt;"&amp;K37)+COUNTIF('Tournament Log'!$N$4:$N$203,"&lt;"&amp;K37)+COUNTIF($K$4:$K$203,"&lt;"&amp;K37)+1)</f>
        <v/>
      </c>
    </row>
    <row r="38" spans="1:12" ht="15" customHeight="1" x14ac:dyDescent="0.2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t="str">
        <f t="shared" si="1"/>
        <v/>
      </c>
      <c r="L38" t="str">
        <f>IF(K38="","",COUNTIF('Match Log'!$J$3:$J$501,"&lt;"&amp;K38)+COUNTIF('Tournament Log'!$N$4:$N$203,"&lt;"&amp;K38)+COUNTIF($K$4:$K$203,"&lt;"&amp;K38)+1)</f>
        <v/>
      </c>
    </row>
    <row r="39" spans="1:12" ht="15" customHeight="1" x14ac:dyDescent="0.2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t="str">
        <f t="shared" si="1"/>
        <v/>
      </c>
      <c r="L39" t="str">
        <f>IF(K39="","",COUNTIF('Match Log'!$J$3:$J$501,"&lt;"&amp;K39)+COUNTIF('Tournament Log'!$N$4:$N$203,"&lt;"&amp;K39)+COUNTIF($K$4:$K$203,"&lt;"&amp;K39)+1)</f>
        <v/>
      </c>
    </row>
    <row r="40" spans="1:12" ht="15" customHeight="1" x14ac:dyDescent="0.2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t="str">
        <f t="shared" si="1"/>
        <v/>
      </c>
      <c r="L40" t="str">
        <f>IF(K40="","",COUNTIF('Match Log'!$J$3:$J$501,"&lt;"&amp;K40)+COUNTIF('Tournament Log'!$N$4:$N$203,"&lt;"&amp;K40)+COUNTIF($K$4:$K$203,"&lt;"&amp;K40)+1)</f>
        <v/>
      </c>
    </row>
    <row r="41" spans="1:12" ht="15" customHeight="1" x14ac:dyDescent="0.2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t="str">
        <f t="shared" si="1"/>
        <v/>
      </c>
      <c r="L41" t="str">
        <f>IF(K41="","",COUNTIF('Match Log'!$J$3:$J$501,"&lt;"&amp;K41)+COUNTIF('Tournament Log'!$N$4:$N$203,"&lt;"&amp;K41)+COUNTIF($K$4:$K$203,"&lt;"&amp;K41)+1)</f>
        <v/>
      </c>
    </row>
    <row r="42" spans="1:12" ht="15" customHeight="1" x14ac:dyDescent="0.2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t="str">
        <f t="shared" si="1"/>
        <v/>
      </c>
      <c r="L42" t="str">
        <f>IF(K42="","",COUNTIF('Match Log'!$J$3:$J$501,"&lt;"&amp;K42)+COUNTIF('Tournament Log'!$N$4:$N$203,"&lt;"&amp;K42)+COUNTIF($K$4:$K$203,"&lt;"&amp;K42)+1)</f>
        <v/>
      </c>
    </row>
    <row r="43" spans="1:12" ht="15" customHeight="1" x14ac:dyDescent="0.2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t="str">
        <f t="shared" si="1"/>
        <v/>
      </c>
      <c r="L43" t="str">
        <f>IF(K43="","",COUNTIF('Match Log'!$J$3:$J$501,"&lt;"&amp;K43)+COUNTIF('Tournament Log'!$N$4:$N$203,"&lt;"&amp;K43)+COUNTIF($K$4:$K$203,"&lt;"&amp;K43)+1)</f>
        <v/>
      </c>
    </row>
    <row r="44" spans="1:12" ht="15" customHeight="1" x14ac:dyDescent="0.2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t="str">
        <f t="shared" si="1"/>
        <v/>
      </c>
      <c r="L44" t="str">
        <f>IF(K44="","",COUNTIF('Match Log'!$J$3:$J$501,"&lt;"&amp;K44)+COUNTIF('Tournament Log'!$N$4:$N$203,"&lt;"&amp;K44)+COUNTIF($K$4:$K$203,"&lt;"&amp;K44)+1)</f>
        <v/>
      </c>
    </row>
    <row r="45" spans="1:12" ht="15" customHeight="1" x14ac:dyDescent="0.2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t="str">
        <f t="shared" si="1"/>
        <v/>
      </c>
      <c r="L45" t="str">
        <f>IF(K45="","",COUNTIF('Match Log'!$J$3:$J$501,"&lt;"&amp;K45)+COUNTIF('Tournament Log'!$N$4:$N$203,"&lt;"&amp;K45)+COUNTIF($K$4:$K$203,"&lt;"&amp;K45)+1)</f>
        <v/>
      </c>
    </row>
    <row r="46" spans="1:12" ht="15" customHeight="1" x14ac:dyDescent="0.2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t="str">
        <f t="shared" si="1"/>
        <v/>
      </c>
      <c r="L46" t="str">
        <f>IF(K46="","",COUNTIF('Match Log'!$J$3:$J$501,"&lt;"&amp;K46)+COUNTIF('Tournament Log'!$N$4:$N$203,"&lt;"&amp;K46)+COUNTIF($K$4:$K$203,"&lt;"&amp;K46)+1)</f>
        <v/>
      </c>
    </row>
    <row r="47" spans="1:12" ht="15" customHeight="1" x14ac:dyDescent="0.2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t="str">
        <f t="shared" si="1"/>
        <v/>
      </c>
      <c r="L47" t="str">
        <f>IF(K47="","",COUNTIF('Match Log'!$J$3:$J$501,"&lt;"&amp;K47)+COUNTIF('Tournament Log'!$N$4:$N$203,"&lt;"&amp;K47)+COUNTIF($K$4:$K$203,"&lt;"&amp;K47)+1)</f>
        <v/>
      </c>
    </row>
    <row r="48" spans="1:12" ht="15" customHeight="1" x14ac:dyDescent="0.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t="str">
        <f t="shared" si="1"/>
        <v/>
      </c>
      <c r="L48" t="str">
        <f>IF(K48="","",COUNTIF('Match Log'!$J$3:$J$501,"&lt;"&amp;K48)+COUNTIF('Tournament Log'!$N$4:$N$203,"&lt;"&amp;K48)+COUNTIF($K$4:$K$203,"&lt;"&amp;K48)+1)</f>
        <v/>
      </c>
    </row>
    <row r="49" spans="1:12" ht="15" customHeight="1" x14ac:dyDescent="0.2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t="str">
        <f t="shared" si="1"/>
        <v/>
      </c>
      <c r="L49" t="str">
        <f>IF(K49="","",COUNTIF('Match Log'!$J$3:$J$501,"&lt;"&amp;K49)+COUNTIF('Tournament Log'!$N$4:$N$203,"&lt;"&amp;K49)+COUNTIF($K$4:$K$203,"&lt;"&amp;K49)+1)</f>
        <v/>
      </c>
    </row>
    <row r="50" spans="1:12" ht="15" customHeight="1" x14ac:dyDescent="0.2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t="str">
        <f t="shared" si="1"/>
        <v/>
      </c>
      <c r="L50" t="str">
        <f>IF(K50="","",COUNTIF('Match Log'!$J$3:$J$501,"&lt;"&amp;K50)+COUNTIF('Tournament Log'!$N$4:$N$203,"&lt;"&amp;K50)+COUNTIF($K$4:$K$203,"&lt;"&amp;K50)+1)</f>
        <v/>
      </c>
    </row>
    <row r="51" spans="1:12" ht="15" customHeight="1" x14ac:dyDescent="0.2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t="str">
        <f t="shared" si="1"/>
        <v/>
      </c>
      <c r="L51" t="str">
        <f>IF(K51="","",COUNTIF('Match Log'!$J$3:$J$501,"&lt;"&amp;K51)+COUNTIF('Tournament Log'!$N$4:$N$203,"&lt;"&amp;K51)+COUNTIF($K$4:$K$203,"&lt;"&amp;K51)+1)</f>
        <v/>
      </c>
    </row>
    <row r="52" spans="1:12" ht="15" customHeight="1" x14ac:dyDescent="0.2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t="str">
        <f t="shared" si="1"/>
        <v/>
      </c>
      <c r="L52" t="str">
        <f>IF(K52="","",COUNTIF('Match Log'!$J$3:$J$501,"&lt;"&amp;K52)+COUNTIF('Tournament Log'!$N$4:$N$203,"&lt;"&amp;K52)+COUNTIF($K$4:$K$203,"&lt;"&amp;K52)+1)</f>
        <v/>
      </c>
    </row>
    <row r="53" spans="1:12" ht="15" customHeight="1" x14ac:dyDescent="0.2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t="str">
        <f t="shared" si="1"/>
        <v/>
      </c>
      <c r="L53" t="str">
        <f>IF(K53="","",COUNTIF('Match Log'!$J$3:$J$501,"&lt;"&amp;K53)+COUNTIF('Tournament Log'!$N$4:$N$203,"&lt;"&amp;K53)+COUNTIF($K$4:$K$203,"&lt;"&amp;K53)+1)</f>
        <v/>
      </c>
    </row>
    <row r="54" spans="1:12" ht="15" customHeight="1" x14ac:dyDescent="0.2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t="str">
        <f t="shared" si="1"/>
        <v/>
      </c>
      <c r="L54" t="str">
        <f>IF(K54="","",COUNTIF('Match Log'!$J$3:$J$501,"&lt;"&amp;K54)+COUNTIF('Tournament Log'!$N$4:$N$203,"&lt;"&amp;K54)+COUNTIF($K$4:$K$203,"&lt;"&amp;K54)+1)</f>
        <v/>
      </c>
    </row>
    <row r="55" spans="1:12" ht="15" customHeight="1" x14ac:dyDescent="0.2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t="str">
        <f t="shared" si="1"/>
        <v/>
      </c>
      <c r="L55" t="str">
        <f>IF(K55="","",COUNTIF('Match Log'!$J$3:$J$501,"&lt;"&amp;K55)+COUNTIF('Tournament Log'!$N$4:$N$203,"&lt;"&amp;K55)+COUNTIF($K$4:$K$203,"&lt;"&amp;K55)+1)</f>
        <v/>
      </c>
    </row>
    <row r="56" spans="1:12" ht="15" customHeight="1" x14ac:dyDescent="0.2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t="str">
        <f t="shared" si="1"/>
        <v/>
      </c>
      <c r="L56" t="str">
        <f>IF(K56="","",COUNTIF('Match Log'!$J$3:$J$501,"&lt;"&amp;K56)+COUNTIF('Tournament Log'!$N$4:$N$203,"&lt;"&amp;K56)+COUNTIF($K$4:$K$203,"&lt;"&amp;K56)+1)</f>
        <v/>
      </c>
    </row>
    <row r="57" spans="1:12" ht="15" customHeight="1" x14ac:dyDescent="0.2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t="str">
        <f t="shared" si="1"/>
        <v/>
      </c>
      <c r="L57" t="str">
        <f>IF(K57="","",COUNTIF('Match Log'!$J$3:$J$501,"&lt;"&amp;K57)+COUNTIF('Tournament Log'!$N$4:$N$203,"&lt;"&amp;K57)+COUNTIF($K$4:$K$203,"&lt;"&amp;K57)+1)</f>
        <v/>
      </c>
    </row>
    <row r="58" spans="1:12" ht="15" customHeight="1" x14ac:dyDescent="0.2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t="str">
        <f t="shared" si="1"/>
        <v/>
      </c>
      <c r="L58" t="str">
        <f>IF(K58="","",COUNTIF('Match Log'!$J$3:$J$501,"&lt;"&amp;K58)+COUNTIF('Tournament Log'!$N$4:$N$203,"&lt;"&amp;K58)+COUNTIF($K$4:$K$203,"&lt;"&amp;K58)+1)</f>
        <v/>
      </c>
    </row>
    <row r="59" spans="1:12" ht="15" customHeight="1" x14ac:dyDescent="0.2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t="str">
        <f t="shared" si="1"/>
        <v/>
      </c>
      <c r="L59" t="str">
        <f>IF(K59="","",COUNTIF('Match Log'!$J$3:$J$501,"&lt;"&amp;K59)+COUNTIF('Tournament Log'!$N$4:$N$203,"&lt;"&amp;K59)+COUNTIF($K$4:$K$203,"&lt;"&amp;K59)+1)</f>
        <v/>
      </c>
    </row>
    <row r="60" spans="1:12" ht="15" customHeight="1" x14ac:dyDescent="0.2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t="str">
        <f t="shared" si="1"/>
        <v/>
      </c>
      <c r="L60" t="str">
        <f>IF(K60="","",COUNTIF('Match Log'!$J$3:$J$501,"&lt;"&amp;K60)+COUNTIF('Tournament Log'!$N$4:$N$203,"&lt;"&amp;K60)+COUNTIF($K$4:$K$203,"&lt;"&amp;K60)+1)</f>
        <v/>
      </c>
    </row>
    <row r="61" spans="1:12" ht="15" customHeight="1" x14ac:dyDescent="0.2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t="str">
        <f t="shared" si="1"/>
        <v/>
      </c>
      <c r="L61" t="str">
        <f>IF(K61="","",COUNTIF('Match Log'!$J$3:$J$501,"&lt;"&amp;K61)+COUNTIF('Tournament Log'!$N$4:$N$203,"&lt;"&amp;K61)+COUNTIF($K$4:$K$203,"&lt;"&amp;K61)+1)</f>
        <v/>
      </c>
    </row>
    <row r="62" spans="1:12" ht="15" customHeight="1" x14ac:dyDescent="0.2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t="str">
        <f t="shared" si="1"/>
        <v/>
      </c>
      <c r="L62" t="str">
        <f>IF(K62="","",COUNTIF('Match Log'!$J$3:$J$501,"&lt;"&amp;K62)+COUNTIF('Tournament Log'!$N$4:$N$203,"&lt;"&amp;K62)+COUNTIF($K$4:$K$203,"&lt;"&amp;K62)+1)</f>
        <v/>
      </c>
    </row>
    <row r="63" spans="1:12" ht="15" customHeight="1" x14ac:dyDescent="0.2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t="str">
        <f t="shared" si="1"/>
        <v/>
      </c>
      <c r="L63" t="str">
        <f>IF(K63="","",COUNTIF('Match Log'!$J$3:$J$501,"&lt;"&amp;K63)+COUNTIF('Tournament Log'!$N$4:$N$203,"&lt;"&amp;K63)+COUNTIF($K$4:$K$203,"&lt;"&amp;K63)+1)</f>
        <v/>
      </c>
    </row>
    <row r="64" spans="1:12" ht="15" customHeight="1" x14ac:dyDescent="0.2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t="str">
        <f t="shared" si="1"/>
        <v/>
      </c>
      <c r="L64" t="str">
        <f>IF(K64="","",COUNTIF('Match Log'!$J$3:$J$501,"&lt;"&amp;K64)+COUNTIF('Tournament Log'!$N$4:$N$203,"&lt;"&amp;K64)+COUNTIF($K$4:$K$203,"&lt;"&amp;K64)+1)</f>
        <v/>
      </c>
    </row>
    <row r="65" spans="1:12" ht="15" customHeight="1" x14ac:dyDescent="0.2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t="str">
        <f t="shared" si="1"/>
        <v/>
      </c>
      <c r="L65" t="str">
        <f>IF(K65="","",COUNTIF('Match Log'!$J$3:$J$501,"&lt;"&amp;K65)+COUNTIF('Tournament Log'!$N$4:$N$203,"&lt;"&amp;K65)+COUNTIF($K$4:$K$203,"&lt;"&amp;K65)+1)</f>
        <v/>
      </c>
    </row>
    <row r="66" spans="1:12" ht="15" customHeight="1" x14ac:dyDescent="0.2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t="str">
        <f t="shared" si="1"/>
        <v/>
      </c>
      <c r="L66" t="str">
        <f>IF(K66="","",COUNTIF('Match Log'!$J$3:$J$501,"&lt;"&amp;K66)+COUNTIF('Tournament Log'!$N$4:$N$203,"&lt;"&amp;K66)+COUNTIF($K$4:$K$203,"&lt;"&amp;K66)+1)</f>
        <v/>
      </c>
    </row>
    <row r="67" spans="1:12" ht="15" customHeight="1" x14ac:dyDescent="0.2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t="str">
        <f t="shared" si="1"/>
        <v/>
      </c>
      <c r="L67" t="str">
        <f>IF(K67="","",COUNTIF('Match Log'!$J$3:$J$501,"&lt;"&amp;K67)+COUNTIF('Tournament Log'!$N$4:$N$203,"&lt;"&amp;K67)+COUNTIF($K$4:$K$203,"&lt;"&amp;K67)+1)</f>
        <v/>
      </c>
    </row>
    <row r="68" spans="1:12" ht="15" customHeight="1" x14ac:dyDescent="0.2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t="str">
        <f t="shared" ref="K68:K99" si="2">IF(A68="","",A68+0.0003+ROW()/10000000)</f>
        <v/>
      </c>
      <c r="L68" t="str">
        <f>IF(K68="","",COUNTIF('Match Log'!$J$3:$J$501,"&lt;"&amp;K68)+COUNTIF('Tournament Log'!$N$4:$N$203,"&lt;"&amp;K68)+COUNTIF($K$4:$K$203,"&lt;"&amp;K68)+1)</f>
        <v/>
      </c>
    </row>
    <row r="69" spans="1:12" ht="15" customHeight="1" x14ac:dyDescent="0.2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t="str">
        <f t="shared" si="2"/>
        <v/>
      </c>
      <c r="L69" t="str">
        <f>IF(K69="","",COUNTIF('Match Log'!$J$3:$J$501,"&lt;"&amp;K69)+COUNTIF('Tournament Log'!$N$4:$N$203,"&lt;"&amp;K69)+COUNTIF($K$4:$K$203,"&lt;"&amp;K69)+1)</f>
        <v/>
      </c>
    </row>
    <row r="70" spans="1:12" ht="15" customHeight="1" x14ac:dyDescent="0.2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t="str">
        <f t="shared" si="2"/>
        <v/>
      </c>
      <c r="L70" t="str">
        <f>IF(K70="","",COUNTIF('Match Log'!$J$3:$J$501,"&lt;"&amp;K70)+COUNTIF('Tournament Log'!$N$4:$N$203,"&lt;"&amp;K70)+COUNTIF($K$4:$K$203,"&lt;"&amp;K70)+1)</f>
        <v/>
      </c>
    </row>
    <row r="71" spans="1:12" ht="15" customHeight="1" x14ac:dyDescent="0.2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t="str">
        <f t="shared" si="2"/>
        <v/>
      </c>
      <c r="L71" t="str">
        <f>IF(K71="","",COUNTIF('Match Log'!$J$3:$J$501,"&lt;"&amp;K71)+COUNTIF('Tournament Log'!$N$4:$N$203,"&lt;"&amp;K71)+COUNTIF($K$4:$K$203,"&lt;"&amp;K71)+1)</f>
        <v/>
      </c>
    </row>
    <row r="72" spans="1:12" ht="15" customHeight="1" x14ac:dyDescent="0.2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t="str">
        <f t="shared" si="2"/>
        <v/>
      </c>
      <c r="L72" t="str">
        <f>IF(K72="","",COUNTIF('Match Log'!$J$3:$J$501,"&lt;"&amp;K72)+COUNTIF('Tournament Log'!$N$4:$N$203,"&lt;"&amp;K72)+COUNTIF($K$4:$K$203,"&lt;"&amp;K72)+1)</f>
        <v/>
      </c>
    </row>
    <row r="73" spans="1:12" ht="15" customHeight="1" x14ac:dyDescent="0.2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t="str">
        <f t="shared" si="2"/>
        <v/>
      </c>
      <c r="L73" t="str">
        <f>IF(K73="","",COUNTIF('Match Log'!$J$3:$J$501,"&lt;"&amp;K73)+COUNTIF('Tournament Log'!$N$4:$N$203,"&lt;"&amp;K73)+COUNTIF($K$4:$K$203,"&lt;"&amp;K73)+1)</f>
        <v/>
      </c>
    </row>
    <row r="74" spans="1:12" ht="15" customHeight="1" x14ac:dyDescent="0.2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t="str">
        <f t="shared" si="2"/>
        <v/>
      </c>
      <c r="L74" t="str">
        <f>IF(K74="","",COUNTIF('Match Log'!$J$3:$J$501,"&lt;"&amp;K74)+COUNTIF('Tournament Log'!$N$4:$N$203,"&lt;"&amp;K74)+COUNTIF($K$4:$K$203,"&lt;"&amp;K74)+1)</f>
        <v/>
      </c>
    </row>
    <row r="75" spans="1:12" ht="15" customHeight="1" x14ac:dyDescent="0.2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t="str">
        <f t="shared" si="2"/>
        <v/>
      </c>
      <c r="L75" t="str">
        <f>IF(K75="","",COUNTIF('Match Log'!$J$3:$J$501,"&lt;"&amp;K75)+COUNTIF('Tournament Log'!$N$4:$N$203,"&lt;"&amp;K75)+COUNTIF($K$4:$K$203,"&lt;"&amp;K75)+1)</f>
        <v/>
      </c>
    </row>
    <row r="76" spans="1:12" ht="15" customHeight="1" x14ac:dyDescent="0.2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t="str">
        <f t="shared" si="2"/>
        <v/>
      </c>
      <c r="L76" t="str">
        <f>IF(K76="","",COUNTIF('Match Log'!$J$3:$J$501,"&lt;"&amp;K76)+COUNTIF('Tournament Log'!$N$4:$N$203,"&lt;"&amp;K76)+COUNTIF($K$4:$K$203,"&lt;"&amp;K76)+1)</f>
        <v/>
      </c>
    </row>
    <row r="77" spans="1:12" ht="15" customHeight="1" x14ac:dyDescent="0.2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t="str">
        <f t="shared" si="2"/>
        <v/>
      </c>
      <c r="L77" t="str">
        <f>IF(K77="","",COUNTIF('Match Log'!$J$3:$J$501,"&lt;"&amp;K77)+COUNTIF('Tournament Log'!$N$4:$N$203,"&lt;"&amp;K77)+COUNTIF($K$4:$K$203,"&lt;"&amp;K77)+1)</f>
        <v/>
      </c>
    </row>
    <row r="78" spans="1:12" ht="15" customHeight="1" x14ac:dyDescent="0.2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t="str">
        <f t="shared" si="2"/>
        <v/>
      </c>
      <c r="L78" t="str">
        <f>IF(K78="","",COUNTIF('Match Log'!$J$3:$J$501,"&lt;"&amp;K78)+COUNTIF('Tournament Log'!$N$4:$N$203,"&lt;"&amp;K78)+COUNTIF($K$4:$K$203,"&lt;"&amp;K78)+1)</f>
        <v/>
      </c>
    </row>
    <row r="79" spans="1:12" ht="15" customHeight="1" x14ac:dyDescent="0.2">
      <c r="A79" s="25"/>
      <c r="B79" s="26"/>
      <c r="C79" s="26"/>
      <c r="D79" s="26"/>
      <c r="E79" s="26"/>
      <c r="F79" s="26"/>
      <c r="G79" s="26"/>
      <c r="H79" s="26"/>
      <c r="I79" s="26"/>
      <c r="J79" s="26"/>
      <c r="K79" t="str">
        <f t="shared" si="2"/>
        <v/>
      </c>
      <c r="L79" t="str">
        <f>IF(K79="","",COUNTIF('Match Log'!$J$3:$J$501,"&lt;"&amp;K79)+COUNTIF('Tournament Log'!$N$4:$N$203,"&lt;"&amp;K79)+COUNTIF($K$4:$K$203,"&lt;"&amp;K79)+1)</f>
        <v/>
      </c>
    </row>
    <row r="80" spans="1:12" ht="15" customHeight="1" x14ac:dyDescent="0.2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t="str">
        <f t="shared" si="2"/>
        <v/>
      </c>
      <c r="L80" t="str">
        <f>IF(K80="","",COUNTIF('Match Log'!$J$3:$J$501,"&lt;"&amp;K80)+COUNTIF('Tournament Log'!$N$4:$N$203,"&lt;"&amp;K80)+COUNTIF($K$4:$K$203,"&lt;"&amp;K80)+1)</f>
        <v/>
      </c>
    </row>
    <row r="81" spans="1:12" ht="15" customHeight="1" x14ac:dyDescent="0.2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t="str">
        <f t="shared" si="2"/>
        <v/>
      </c>
      <c r="L81" t="str">
        <f>IF(K81="","",COUNTIF('Match Log'!$J$3:$J$501,"&lt;"&amp;K81)+COUNTIF('Tournament Log'!$N$4:$N$203,"&lt;"&amp;K81)+COUNTIF($K$4:$K$203,"&lt;"&amp;K81)+1)</f>
        <v/>
      </c>
    </row>
    <row r="82" spans="1:12" ht="15" customHeight="1" x14ac:dyDescent="0.2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t="str">
        <f t="shared" si="2"/>
        <v/>
      </c>
      <c r="L82" t="str">
        <f>IF(K82="","",COUNTIF('Match Log'!$J$3:$J$501,"&lt;"&amp;K82)+COUNTIF('Tournament Log'!$N$4:$N$203,"&lt;"&amp;K82)+COUNTIF($K$4:$K$203,"&lt;"&amp;K82)+1)</f>
        <v/>
      </c>
    </row>
    <row r="83" spans="1:12" ht="15" customHeight="1" x14ac:dyDescent="0.2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t="str">
        <f t="shared" si="2"/>
        <v/>
      </c>
      <c r="L83" t="str">
        <f>IF(K83="","",COUNTIF('Match Log'!$J$3:$J$501,"&lt;"&amp;K83)+COUNTIF('Tournament Log'!$N$4:$N$203,"&lt;"&amp;K83)+COUNTIF($K$4:$K$203,"&lt;"&amp;K83)+1)</f>
        <v/>
      </c>
    </row>
    <row r="84" spans="1:12" ht="15" customHeight="1" x14ac:dyDescent="0.2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t="str">
        <f t="shared" si="2"/>
        <v/>
      </c>
      <c r="L84" t="str">
        <f>IF(K84="","",COUNTIF('Match Log'!$J$3:$J$501,"&lt;"&amp;K84)+COUNTIF('Tournament Log'!$N$4:$N$203,"&lt;"&amp;K84)+COUNTIF($K$4:$K$203,"&lt;"&amp;K84)+1)</f>
        <v/>
      </c>
    </row>
    <row r="85" spans="1:12" ht="15" customHeight="1" x14ac:dyDescent="0.2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t="str">
        <f t="shared" si="2"/>
        <v/>
      </c>
      <c r="L85" t="str">
        <f>IF(K85="","",COUNTIF('Match Log'!$J$3:$J$501,"&lt;"&amp;K85)+COUNTIF('Tournament Log'!$N$4:$N$203,"&lt;"&amp;K85)+COUNTIF($K$4:$K$203,"&lt;"&amp;K85)+1)</f>
        <v/>
      </c>
    </row>
    <row r="86" spans="1:12" ht="15" customHeight="1" x14ac:dyDescent="0.2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t="str">
        <f t="shared" si="2"/>
        <v/>
      </c>
      <c r="L86" t="str">
        <f>IF(K86="","",COUNTIF('Match Log'!$J$3:$J$501,"&lt;"&amp;K86)+COUNTIF('Tournament Log'!$N$4:$N$203,"&lt;"&amp;K86)+COUNTIF($K$4:$K$203,"&lt;"&amp;K86)+1)</f>
        <v/>
      </c>
    </row>
    <row r="87" spans="1:12" ht="15" customHeight="1" x14ac:dyDescent="0.2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t="str">
        <f t="shared" si="2"/>
        <v/>
      </c>
      <c r="L87" t="str">
        <f>IF(K87="","",COUNTIF('Match Log'!$J$3:$J$501,"&lt;"&amp;K87)+COUNTIF('Tournament Log'!$N$4:$N$203,"&lt;"&amp;K87)+COUNTIF($K$4:$K$203,"&lt;"&amp;K87)+1)</f>
        <v/>
      </c>
    </row>
    <row r="88" spans="1:12" ht="15" customHeight="1" x14ac:dyDescent="0.2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t="str">
        <f t="shared" si="2"/>
        <v/>
      </c>
      <c r="L88" t="str">
        <f>IF(K88="","",COUNTIF('Match Log'!$J$3:$J$501,"&lt;"&amp;K88)+COUNTIF('Tournament Log'!$N$4:$N$203,"&lt;"&amp;K88)+COUNTIF($K$4:$K$203,"&lt;"&amp;K88)+1)</f>
        <v/>
      </c>
    </row>
    <row r="89" spans="1:12" ht="15" customHeight="1" x14ac:dyDescent="0.2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t="str">
        <f t="shared" si="2"/>
        <v/>
      </c>
      <c r="L89" t="str">
        <f>IF(K89="","",COUNTIF('Match Log'!$J$3:$J$501,"&lt;"&amp;K89)+COUNTIF('Tournament Log'!$N$4:$N$203,"&lt;"&amp;K89)+COUNTIF($K$4:$K$203,"&lt;"&amp;K89)+1)</f>
        <v/>
      </c>
    </row>
    <row r="90" spans="1:12" ht="15" customHeight="1" x14ac:dyDescent="0.2">
      <c r="A90" s="25"/>
      <c r="B90" s="26"/>
      <c r="C90" s="26"/>
      <c r="D90" s="26"/>
      <c r="E90" s="26"/>
      <c r="F90" s="26"/>
      <c r="G90" s="26"/>
      <c r="H90" s="26"/>
      <c r="I90" s="26"/>
      <c r="J90" s="26"/>
      <c r="K90" t="str">
        <f t="shared" si="2"/>
        <v/>
      </c>
      <c r="L90" t="str">
        <f>IF(K90="","",COUNTIF('Match Log'!$J$3:$J$501,"&lt;"&amp;K90)+COUNTIF('Tournament Log'!$N$4:$N$203,"&lt;"&amp;K90)+COUNTIF($K$4:$K$203,"&lt;"&amp;K90)+1)</f>
        <v/>
      </c>
    </row>
    <row r="91" spans="1:12" ht="15" customHeight="1" x14ac:dyDescent="0.2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t="str">
        <f t="shared" si="2"/>
        <v/>
      </c>
      <c r="L91" t="str">
        <f>IF(K91="","",COUNTIF('Match Log'!$J$3:$J$501,"&lt;"&amp;K91)+COUNTIF('Tournament Log'!$N$4:$N$203,"&lt;"&amp;K91)+COUNTIF($K$4:$K$203,"&lt;"&amp;K91)+1)</f>
        <v/>
      </c>
    </row>
    <row r="92" spans="1:12" ht="15" customHeight="1" x14ac:dyDescent="0.2">
      <c r="A92" s="25"/>
      <c r="B92" s="26"/>
      <c r="C92" s="26"/>
      <c r="D92" s="26"/>
      <c r="E92" s="26"/>
      <c r="F92" s="26"/>
      <c r="G92" s="26"/>
      <c r="H92" s="26"/>
      <c r="I92" s="26"/>
      <c r="J92" s="26"/>
      <c r="K92" t="str">
        <f t="shared" si="2"/>
        <v/>
      </c>
      <c r="L92" t="str">
        <f>IF(K92="","",COUNTIF('Match Log'!$J$3:$J$501,"&lt;"&amp;K92)+COUNTIF('Tournament Log'!$N$4:$N$203,"&lt;"&amp;K92)+COUNTIF($K$4:$K$203,"&lt;"&amp;K92)+1)</f>
        <v/>
      </c>
    </row>
    <row r="93" spans="1:12" ht="15" customHeight="1" x14ac:dyDescent="0.2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t="str">
        <f t="shared" si="2"/>
        <v/>
      </c>
      <c r="L93" t="str">
        <f>IF(K93="","",COUNTIF('Match Log'!$J$3:$J$501,"&lt;"&amp;K93)+COUNTIF('Tournament Log'!$N$4:$N$203,"&lt;"&amp;K93)+COUNTIF($K$4:$K$203,"&lt;"&amp;K93)+1)</f>
        <v/>
      </c>
    </row>
    <row r="94" spans="1:12" ht="15" customHeight="1" x14ac:dyDescent="0.2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t="str">
        <f t="shared" si="2"/>
        <v/>
      </c>
      <c r="L94" t="str">
        <f>IF(K94="","",COUNTIF('Match Log'!$J$3:$J$501,"&lt;"&amp;K94)+COUNTIF('Tournament Log'!$N$4:$N$203,"&lt;"&amp;K94)+COUNTIF($K$4:$K$203,"&lt;"&amp;K94)+1)</f>
        <v/>
      </c>
    </row>
    <row r="95" spans="1:12" ht="15" customHeight="1" x14ac:dyDescent="0.2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t="str">
        <f t="shared" si="2"/>
        <v/>
      </c>
      <c r="L95" t="str">
        <f>IF(K95="","",COUNTIF('Match Log'!$J$3:$J$501,"&lt;"&amp;K95)+COUNTIF('Tournament Log'!$N$4:$N$203,"&lt;"&amp;K95)+COUNTIF($K$4:$K$203,"&lt;"&amp;K95)+1)</f>
        <v/>
      </c>
    </row>
    <row r="96" spans="1:12" ht="15" customHeight="1" x14ac:dyDescent="0.2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t="str">
        <f t="shared" si="2"/>
        <v/>
      </c>
      <c r="L96" t="str">
        <f>IF(K96="","",COUNTIF('Match Log'!$J$3:$J$501,"&lt;"&amp;K96)+COUNTIF('Tournament Log'!$N$4:$N$203,"&lt;"&amp;K96)+COUNTIF($K$4:$K$203,"&lt;"&amp;K96)+1)</f>
        <v/>
      </c>
    </row>
    <row r="97" spans="1:12" ht="15" customHeight="1" x14ac:dyDescent="0.2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t="str">
        <f t="shared" si="2"/>
        <v/>
      </c>
      <c r="L97" t="str">
        <f>IF(K97="","",COUNTIF('Match Log'!$J$3:$J$501,"&lt;"&amp;K97)+COUNTIF('Tournament Log'!$N$4:$N$203,"&lt;"&amp;K97)+COUNTIF($K$4:$K$203,"&lt;"&amp;K97)+1)</f>
        <v/>
      </c>
    </row>
    <row r="98" spans="1:12" ht="15" customHeight="1" x14ac:dyDescent="0.2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t="str">
        <f t="shared" si="2"/>
        <v/>
      </c>
      <c r="L98" t="str">
        <f>IF(K98="","",COUNTIF('Match Log'!$J$3:$J$501,"&lt;"&amp;K98)+COUNTIF('Tournament Log'!$N$4:$N$203,"&lt;"&amp;K98)+COUNTIF($K$4:$K$203,"&lt;"&amp;K98)+1)</f>
        <v/>
      </c>
    </row>
    <row r="99" spans="1:12" ht="15" customHeight="1" x14ac:dyDescent="0.2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t="str">
        <f t="shared" si="2"/>
        <v/>
      </c>
      <c r="L99" t="str">
        <f>IF(K99="","",COUNTIF('Match Log'!$J$3:$J$501,"&lt;"&amp;K99)+COUNTIF('Tournament Log'!$N$4:$N$203,"&lt;"&amp;K99)+COUNTIF($K$4:$K$203,"&lt;"&amp;K99)+1)</f>
        <v/>
      </c>
    </row>
    <row r="100" spans="1:12" ht="15" customHeight="1" x14ac:dyDescent="0.2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t="str">
        <f t="shared" ref="K100:K131" si="3">IF(A100="","",A100+0.0003+ROW()/10000000)</f>
        <v/>
      </c>
      <c r="L100" t="str">
        <f>IF(K100="","",COUNTIF('Match Log'!$J$3:$J$501,"&lt;"&amp;K100)+COUNTIF('Tournament Log'!$N$4:$N$203,"&lt;"&amp;K100)+COUNTIF($K$4:$K$203,"&lt;"&amp;K100)+1)</f>
        <v/>
      </c>
    </row>
    <row r="101" spans="1:12" ht="15" customHeight="1" x14ac:dyDescent="0.2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t="str">
        <f t="shared" si="3"/>
        <v/>
      </c>
      <c r="L101" t="str">
        <f>IF(K101="","",COUNTIF('Match Log'!$J$3:$J$501,"&lt;"&amp;K101)+COUNTIF('Tournament Log'!$N$4:$N$203,"&lt;"&amp;K101)+COUNTIF($K$4:$K$203,"&lt;"&amp;K101)+1)</f>
        <v/>
      </c>
    </row>
    <row r="102" spans="1:12" ht="15" customHeight="1" x14ac:dyDescent="0.2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t="str">
        <f t="shared" si="3"/>
        <v/>
      </c>
      <c r="L102" t="str">
        <f>IF(K102="","",COUNTIF('Match Log'!$J$3:$J$501,"&lt;"&amp;K102)+COUNTIF('Tournament Log'!$N$4:$N$203,"&lt;"&amp;K102)+COUNTIF($K$4:$K$203,"&lt;"&amp;K102)+1)</f>
        <v/>
      </c>
    </row>
    <row r="103" spans="1:12" ht="15" customHeight="1" x14ac:dyDescent="0.2">
      <c r="A103" s="25"/>
      <c r="B103" s="26"/>
      <c r="C103" s="26"/>
      <c r="D103" s="26"/>
      <c r="E103" s="26"/>
      <c r="F103" s="26"/>
      <c r="G103" s="26"/>
      <c r="H103" s="26"/>
      <c r="I103" s="26"/>
      <c r="J103" s="26"/>
      <c r="K103" t="str">
        <f t="shared" si="3"/>
        <v/>
      </c>
      <c r="L103" t="str">
        <f>IF(K103="","",COUNTIF('Match Log'!$J$3:$J$501,"&lt;"&amp;K103)+COUNTIF('Tournament Log'!$N$4:$N$203,"&lt;"&amp;K103)+COUNTIF($K$4:$K$203,"&lt;"&amp;K103)+1)</f>
        <v/>
      </c>
    </row>
    <row r="104" spans="1:12" ht="15" customHeight="1" x14ac:dyDescent="0.2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t="str">
        <f t="shared" si="3"/>
        <v/>
      </c>
      <c r="L104" t="str">
        <f>IF(K104="","",COUNTIF('Match Log'!$J$3:$J$501,"&lt;"&amp;K104)+COUNTIF('Tournament Log'!$N$4:$N$203,"&lt;"&amp;K104)+COUNTIF($K$4:$K$203,"&lt;"&amp;K104)+1)</f>
        <v/>
      </c>
    </row>
    <row r="105" spans="1:12" ht="15" customHeight="1" x14ac:dyDescent="0.2">
      <c r="A105" s="25"/>
      <c r="B105" s="26"/>
      <c r="C105" s="26"/>
      <c r="D105" s="26"/>
      <c r="E105" s="26"/>
      <c r="F105" s="26"/>
      <c r="G105" s="26"/>
      <c r="H105" s="26"/>
      <c r="I105" s="26"/>
      <c r="J105" s="26"/>
      <c r="K105" t="str">
        <f t="shared" si="3"/>
        <v/>
      </c>
      <c r="L105" t="str">
        <f>IF(K105="","",COUNTIF('Match Log'!$J$3:$J$501,"&lt;"&amp;K105)+COUNTIF('Tournament Log'!$N$4:$N$203,"&lt;"&amp;K105)+COUNTIF($K$4:$K$203,"&lt;"&amp;K105)+1)</f>
        <v/>
      </c>
    </row>
    <row r="106" spans="1:12" ht="15" customHeight="1" x14ac:dyDescent="0.2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t="str">
        <f t="shared" si="3"/>
        <v/>
      </c>
      <c r="L106" t="str">
        <f>IF(K106="","",COUNTIF('Match Log'!$J$3:$J$501,"&lt;"&amp;K106)+COUNTIF('Tournament Log'!$N$4:$N$203,"&lt;"&amp;K106)+COUNTIF($K$4:$K$203,"&lt;"&amp;K106)+1)</f>
        <v/>
      </c>
    </row>
    <row r="107" spans="1:12" ht="15" customHeight="1" x14ac:dyDescent="0.2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t="str">
        <f t="shared" si="3"/>
        <v/>
      </c>
      <c r="L107" t="str">
        <f>IF(K107="","",COUNTIF('Match Log'!$J$3:$J$501,"&lt;"&amp;K107)+COUNTIF('Tournament Log'!$N$4:$N$203,"&lt;"&amp;K107)+COUNTIF($K$4:$K$203,"&lt;"&amp;K107)+1)</f>
        <v/>
      </c>
    </row>
    <row r="108" spans="1:12" ht="15" customHeight="1" x14ac:dyDescent="0.2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t="str">
        <f t="shared" si="3"/>
        <v/>
      </c>
      <c r="L108" t="str">
        <f>IF(K108="","",COUNTIF('Match Log'!$J$3:$J$501,"&lt;"&amp;K108)+COUNTIF('Tournament Log'!$N$4:$N$203,"&lt;"&amp;K108)+COUNTIF($K$4:$K$203,"&lt;"&amp;K108)+1)</f>
        <v/>
      </c>
    </row>
    <row r="109" spans="1:12" ht="15" customHeight="1" x14ac:dyDescent="0.2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t="str">
        <f t="shared" si="3"/>
        <v/>
      </c>
      <c r="L109" t="str">
        <f>IF(K109="","",COUNTIF('Match Log'!$J$3:$J$501,"&lt;"&amp;K109)+COUNTIF('Tournament Log'!$N$4:$N$203,"&lt;"&amp;K109)+COUNTIF($K$4:$K$203,"&lt;"&amp;K109)+1)</f>
        <v/>
      </c>
    </row>
    <row r="110" spans="1:12" ht="15" customHeight="1" x14ac:dyDescent="0.2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t="str">
        <f t="shared" si="3"/>
        <v/>
      </c>
      <c r="L110" t="str">
        <f>IF(K110="","",COUNTIF('Match Log'!$J$3:$J$501,"&lt;"&amp;K110)+COUNTIF('Tournament Log'!$N$4:$N$203,"&lt;"&amp;K110)+COUNTIF($K$4:$K$203,"&lt;"&amp;K110)+1)</f>
        <v/>
      </c>
    </row>
    <row r="111" spans="1:12" ht="15" customHeight="1" x14ac:dyDescent="0.2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t="str">
        <f t="shared" si="3"/>
        <v/>
      </c>
      <c r="L111" t="str">
        <f>IF(K111="","",COUNTIF('Match Log'!$J$3:$J$501,"&lt;"&amp;K111)+COUNTIF('Tournament Log'!$N$4:$N$203,"&lt;"&amp;K111)+COUNTIF($K$4:$K$203,"&lt;"&amp;K111)+1)</f>
        <v/>
      </c>
    </row>
    <row r="112" spans="1:12" ht="15" customHeight="1" x14ac:dyDescent="0.2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t="str">
        <f t="shared" si="3"/>
        <v/>
      </c>
      <c r="L112" t="str">
        <f>IF(K112="","",COUNTIF('Match Log'!$J$3:$J$501,"&lt;"&amp;K112)+COUNTIF('Tournament Log'!$N$4:$N$203,"&lt;"&amp;K112)+COUNTIF($K$4:$K$203,"&lt;"&amp;K112)+1)</f>
        <v/>
      </c>
    </row>
    <row r="113" spans="1:12" ht="15" customHeight="1" x14ac:dyDescent="0.2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t="str">
        <f t="shared" si="3"/>
        <v/>
      </c>
      <c r="L113" t="str">
        <f>IF(K113="","",COUNTIF('Match Log'!$J$3:$J$501,"&lt;"&amp;K113)+COUNTIF('Tournament Log'!$N$4:$N$203,"&lt;"&amp;K113)+COUNTIF($K$4:$K$203,"&lt;"&amp;K113)+1)</f>
        <v/>
      </c>
    </row>
    <row r="114" spans="1:12" ht="15" customHeight="1" x14ac:dyDescent="0.2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t="str">
        <f t="shared" si="3"/>
        <v/>
      </c>
      <c r="L114" t="str">
        <f>IF(K114="","",COUNTIF('Match Log'!$J$3:$J$501,"&lt;"&amp;K114)+COUNTIF('Tournament Log'!$N$4:$N$203,"&lt;"&amp;K114)+COUNTIF($K$4:$K$203,"&lt;"&amp;K114)+1)</f>
        <v/>
      </c>
    </row>
    <row r="115" spans="1:12" ht="15" customHeight="1" x14ac:dyDescent="0.2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t="str">
        <f t="shared" si="3"/>
        <v/>
      </c>
      <c r="L115" t="str">
        <f>IF(K115="","",COUNTIF('Match Log'!$J$3:$J$501,"&lt;"&amp;K115)+COUNTIF('Tournament Log'!$N$4:$N$203,"&lt;"&amp;K115)+COUNTIF($K$4:$K$203,"&lt;"&amp;K115)+1)</f>
        <v/>
      </c>
    </row>
    <row r="116" spans="1:12" ht="15" customHeight="1" x14ac:dyDescent="0.2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t="str">
        <f t="shared" si="3"/>
        <v/>
      </c>
      <c r="L116" t="str">
        <f>IF(K116="","",COUNTIF('Match Log'!$J$3:$J$501,"&lt;"&amp;K116)+COUNTIF('Tournament Log'!$N$4:$N$203,"&lt;"&amp;K116)+COUNTIF($K$4:$K$203,"&lt;"&amp;K116)+1)</f>
        <v/>
      </c>
    </row>
    <row r="117" spans="1:12" ht="15" customHeight="1" x14ac:dyDescent="0.2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t="str">
        <f t="shared" si="3"/>
        <v/>
      </c>
      <c r="L117" t="str">
        <f>IF(K117="","",COUNTIF('Match Log'!$J$3:$J$501,"&lt;"&amp;K117)+COUNTIF('Tournament Log'!$N$4:$N$203,"&lt;"&amp;K117)+COUNTIF($K$4:$K$203,"&lt;"&amp;K117)+1)</f>
        <v/>
      </c>
    </row>
    <row r="118" spans="1:12" ht="15" customHeight="1" x14ac:dyDescent="0.2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t="str">
        <f t="shared" si="3"/>
        <v/>
      </c>
      <c r="L118" t="str">
        <f>IF(K118="","",COUNTIF('Match Log'!$J$3:$J$501,"&lt;"&amp;K118)+COUNTIF('Tournament Log'!$N$4:$N$203,"&lt;"&amp;K118)+COUNTIF($K$4:$K$203,"&lt;"&amp;K118)+1)</f>
        <v/>
      </c>
    </row>
    <row r="119" spans="1:12" ht="15" customHeight="1" x14ac:dyDescent="0.2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t="str">
        <f t="shared" si="3"/>
        <v/>
      </c>
      <c r="L119" t="str">
        <f>IF(K119="","",COUNTIF('Match Log'!$J$3:$J$501,"&lt;"&amp;K119)+COUNTIF('Tournament Log'!$N$4:$N$203,"&lt;"&amp;K119)+COUNTIF($K$4:$K$203,"&lt;"&amp;K119)+1)</f>
        <v/>
      </c>
    </row>
    <row r="120" spans="1:12" ht="15" customHeight="1" x14ac:dyDescent="0.2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t="str">
        <f t="shared" si="3"/>
        <v/>
      </c>
      <c r="L120" t="str">
        <f>IF(K120="","",COUNTIF('Match Log'!$J$3:$J$501,"&lt;"&amp;K120)+COUNTIF('Tournament Log'!$N$4:$N$203,"&lt;"&amp;K120)+COUNTIF($K$4:$K$203,"&lt;"&amp;K120)+1)</f>
        <v/>
      </c>
    </row>
    <row r="121" spans="1:12" ht="15" customHeight="1" x14ac:dyDescent="0.2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t="str">
        <f t="shared" si="3"/>
        <v/>
      </c>
      <c r="L121" t="str">
        <f>IF(K121="","",COUNTIF('Match Log'!$J$3:$J$501,"&lt;"&amp;K121)+COUNTIF('Tournament Log'!$N$4:$N$203,"&lt;"&amp;K121)+COUNTIF($K$4:$K$203,"&lt;"&amp;K121)+1)</f>
        <v/>
      </c>
    </row>
    <row r="122" spans="1:12" ht="15" customHeight="1" x14ac:dyDescent="0.2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t="str">
        <f t="shared" si="3"/>
        <v/>
      </c>
      <c r="L122" t="str">
        <f>IF(K122="","",COUNTIF('Match Log'!$J$3:$J$501,"&lt;"&amp;K122)+COUNTIF('Tournament Log'!$N$4:$N$203,"&lt;"&amp;K122)+COUNTIF($K$4:$K$203,"&lt;"&amp;K122)+1)</f>
        <v/>
      </c>
    </row>
    <row r="123" spans="1:12" ht="15" customHeight="1" x14ac:dyDescent="0.2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t="str">
        <f t="shared" si="3"/>
        <v/>
      </c>
      <c r="L123" t="str">
        <f>IF(K123="","",COUNTIF('Match Log'!$J$3:$J$501,"&lt;"&amp;K123)+COUNTIF('Tournament Log'!$N$4:$N$203,"&lt;"&amp;K123)+COUNTIF($K$4:$K$203,"&lt;"&amp;K123)+1)</f>
        <v/>
      </c>
    </row>
    <row r="124" spans="1:12" ht="15" customHeight="1" x14ac:dyDescent="0.2">
      <c r="A124" s="25"/>
      <c r="B124" s="26"/>
      <c r="C124" s="26"/>
      <c r="D124" s="26"/>
      <c r="E124" s="26"/>
      <c r="F124" s="26"/>
      <c r="G124" s="26"/>
      <c r="H124" s="26"/>
      <c r="I124" s="26"/>
      <c r="J124" s="26"/>
      <c r="K124" t="str">
        <f t="shared" si="3"/>
        <v/>
      </c>
      <c r="L124" t="str">
        <f>IF(K124="","",COUNTIF('Match Log'!$J$3:$J$501,"&lt;"&amp;K124)+COUNTIF('Tournament Log'!$N$4:$N$203,"&lt;"&amp;K124)+COUNTIF($K$4:$K$203,"&lt;"&amp;K124)+1)</f>
        <v/>
      </c>
    </row>
    <row r="125" spans="1:12" ht="15" customHeight="1" x14ac:dyDescent="0.2">
      <c r="A125" s="25"/>
      <c r="B125" s="26"/>
      <c r="C125" s="26"/>
      <c r="D125" s="26"/>
      <c r="E125" s="26"/>
      <c r="F125" s="26"/>
      <c r="G125" s="26"/>
      <c r="H125" s="26"/>
      <c r="I125" s="26"/>
      <c r="J125" s="26"/>
      <c r="K125" t="str">
        <f t="shared" si="3"/>
        <v/>
      </c>
      <c r="L125" t="str">
        <f>IF(K125="","",COUNTIF('Match Log'!$J$3:$J$501,"&lt;"&amp;K125)+COUNTIF('Tournament Log'!$N$4:$N$203,"&lt;"&amp;K125)+COUNTIF($K$4:$K$203,"&lt;"&amp;K125)+1)</f>
        <v/>
      </c>
    </row>
    <row r="126" spans="1:12" ht="15" customHeight="1" x14ac:dyDescent="0.2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t="str">
        <f t="shared" si="3"/>
        <v/>
      </c>
      <c r="L126" t="str">
        <f>IF(K126="","",COUNTIF('Match Log'!$J$3:$J$501,"&lt;"&amp;K126)+COUNTIF('Tournament Log'!$N$4:$N$203,"&lt;"&amp;K126)+COUNTIF($K$4:$K$203,"&lt;"&amp;K126)+1)</f>
        <v/>
      </c>
    </row>
    <row r="127" spans="1:12" ht="15" customHeight="1" x14ac:dyDescent="0.2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t="str">
        <f t="shared" si="3"/>
        <v/>
      </c>
      <c r="L127" t="str">
        <f>IF(K127="","",COUNTIF('Match Log'!$J$3:$J$501,"&lt;"&amp;K127)+COUNTIF('Tournament Log'!$N$4:$N$203,"&lt;"&amp;K127)+COUNTIF($K$4:$K$203,"&lt;"&amp;K127)+1)</f>
        <v/>
      </c>
    </row>
    <row r="128" spans="1:12" ht="15" customHeight="1" x14ac:dyDescent="0.2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t="str">
        <f t="shared" si="3"/>
        <v/>
      </c>
      <c r="L128" t="str">
        <f>IF(K128="","",COUNTIF('Match Log'!$J$3:$J$501,"&lt;"&amp;K128)+COUNTIF('Tournament Log'!$N$4:$N$203,"&lt;"&amp;K128)+COUNTIF($K$4:$K$203,"&lt;"&amp;K128)+1)</f>
        <v/>
      </c>
    </row>
    <row r="129" spans="1:12" ht="15" customHeight="1" x14ac:dyDescent="0.2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t="str">
        <f t="shared" si="3"/>
        <v/>
      </c>
      <c r="L129" t="str">
        <f>IF(K129="","",COUNTIF('Match Log'!$J$3:$J$501,"&lt;"&amp;K129)+COUNTIF('Tournament Log'!$N$4:$N$203,"&lt;"&amp;K129)+COUNTIF($K$4:$K$203,"&lt;"&amp;K129)+1)</f>
        <v/>
      </c>
    </row>
    <row r="130" spans="1:12" ht="15" customHeight="1" x14ac:dyDescent="0.2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t="str">
        <f t="shared" si="3"/>
        <v/>
      </c>
      <c r="L130" t="str">
        <f>IF(K130="","",COUNTIF('Match Log'!$J$3:$J$501,"&lt;"&amp;K130)+COUNTIF('Tournament Log'!$N$4:$N$203,"&lt;"&amp;K130)+COUNTIF($K$4:$K$203,"&lt;"&amp;K130)+1)</f>
        <v/>
      </c>
    </row>
    <row r="131" spans="1:12" ht="15" customHeight="1" x14ac:dyDescent="0.2">
      <c r="A131" s="25"/>
      <c r="B131" s="26"/>
      <c r="C131" s="26"/>
      <c r="D131" s="26"/>
      <c r="E131" s="26"/>
      <c r="F131" s="26"/>
      <c r="G131" s="26"/>
      <c r="H131" s="26"/>
      <c r="I131" s="26"/>
      <c r="J131" s="26"/>
      <c r="K131" t="str">
        <f t="shared" si="3"/>
        <v/>
      </c>
      <c r="L131" t="str">
        <f>IF(K131="","",COUNTIF('Match Log'!$J$3:$J$501,"&lt;"&amp;K131)+COUNTIF('Tournament Log'!$N$4:$N$203,"&lt;"&amp;K131)+COUNTIF($K$4:$K$203,"&lt;"&amp;K131)+1)</f>
        <v/>
      </c>
    </row>
    <row r="132" spans="1:12" ht="15" customHeight="1" x14ac:dyDescent="0.2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t="str">
        <f t="shared" ref="K132:K163" si="4">IF(A132="","",A132+0.0003+ROW()/10000000)</f>
        <v/>
      </c>
      <c r="L132" t="str">
        <f>IF(K132="","",COUNTIF('Match Log'!$J$3:$J$501,"&lt;"&amp;K132)+COUNTIF('Tournament Log'!$N$4:$N$203,"&lt;"&amp;K132)+COUNTIF($K$4:$K$203,"&lt;"&amp;K132)+1)</f>
        <v/>
      </c>
    </row>
    <row r="133" spans="1:12" ht="15" customHeight="1" x14ac:dyDescent="0.2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t="str">
        <f t="shared" si="4"/>
        <v/>
      </c>
      <c r="L133" t="str">
        <f>IF(K133="","",COUNTIF('Match Log'!$J$3:$J$501,"&lt;"&amp;K133)+COUNTIF('Tournament Log'!$N$4:$N$203,"&lt;"&amp;K133)+COUNTIF($K$4:$K$203,"&lt;"&amp;K133)+1)</f>
        <v/>
      </c>
    </row>
    <row r="134" spans="1:12" ht="15" customHeight="1" x14ac:dyDescent="0.2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t="str">
        <f t="shared" si="4"/>
        <v/>
      </c>
      <c r="L134" t="str">
        <f>IF(K134="","",COUNTIF('Match Log'!$J$3:$J$501,"&lt;"&amp;K134)+COUNTIF('Tournament Log'!$N$4:$N$203,"&lt;"&amp;K134)+COUNTIF($K$4:$K$203,"&lt;"&amp;K134)+1)</f>
        <v/>
      </c>
    </row>
    <row r="135" spans="1:12" ht="15" customHeight="1" x14ac:dyDescent="0.2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t="str">
        <f t="shared" si="4"/>
        <v/>
      </c>
      <c r="L135" t="str">
        <f>IF(K135="","",COUNTIF('Match Log'!$J$3:$J$501,"&lt;"&amp;K135)+COUNTIF('Tournament Log'!$N$4:$N$203,"&lt;"&amp;K135)+COUNTIF($K$4:$K$203,"&lt;"&amp;K135)+1)</f>
        <v/>
      </c>
    </row>
    <row r="136" spans="1:12" ht="15" customHeight="1" x14ac:dyDescent="0.2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t="str">
        <f t="shared" si="4"/>
        <v/>
      </c>
      <c r="L136" t="str">
        <f>IF(K136="","",COUNTIF('Match Log'!$J$3:$J$501,"&lt;"&amp;K136)+COUNTIF('Tournament Log'!$N$4:$N$203,"&lt;"&amp;K136)+COUNTIF($K$4:$K$203,"&lt;"&amp;K136)+1)</f>
        <v/>
      </c>
    </row>
    <row r="137" spans="1:12" ht="15" customHeight="1" x14ac:dyDescent="0.2">
      <c r="A137" s="25"/>
      <c r="B137" s="26"/>
      <c r="C137" s="26"/>
      <c r="D137" s="26"/>
      <c r="E137" s="26"/>
      <c r="F137" s="26"/>
      <c r="G137" s="26"/>
      <c r="H137" s="26"/>
      <c r="I137" s="26"/>
      <c r="J137" s="26"/>
      <c r="K137" t="str">
        <f t="shared" si="4"/>
        <v/>
      </c>
      <c r="L137" t="str">
        <f>IF(K137="","",COUNTIF('Match Log'!$J$3:$J$501,"&lt;"&amp;K137)+COUNTIF('Tournament Log'!$N$4:$N$203,"&lt;"&amp;K137)+COUNTIF($K$4:$K$203,"&lt;"&amp;K137)+1)</f>
        <v/>
      </c>
    </row>
    <row r="138" spans="1:12" ht="15" customHeight="1" x14ac:dyDescent="0.2">
      <c r="A138" s="25"/>
      <c r="B138" s="26"/>
      <c r="C138" s="26"/>
      <c r="D138" s="26"/>
      <c r="E138" s="26"/>
      <c r="F138" s="26"/>
      <c r="G138" s="26"/>
      <c r="H138" s="26"/>
      <c r="I138" s="26"/>
      <c r="J138" s="26"/>
      <c r="K138" t="str">
        <f t="shared" si="4"/>
        <v/>
      </c>
      <c r="L138" t="str">
        <f>IF(K138="","",COUNTIF('Match Log'!$J$3:$J$501,"&lt;"&amp;K138)+COUNTIF('Tournament Log'!$N$4:$N$203,"&lt;"&amp;K138)+COUNTIF($K$4:$K$203,"&lt;"&amp;K138)+1)</f>
        <v/>
      </c>
    </row>
    <row r="139" spans="1:12" ht="15" customHeight="1" x14ac:dyDescent="0.2">
      <c r="A139" s="25"/>
      <c r="B139" s="26"/>
      <c r="C139" s="26"/>
      <c r="D139" s="26"/>
      <c r="E139" s="26"/>
      <c r="F139" s="26"/>
      <c r="G139" s="26"/>
      <c r="H139" s="26"/>
      <c r="I139" s="26"/>
      <c r="J139" s="26"/>
      <c r="K139" t="str">
        <f t="shared" si="4"/>
        <v/>
      </c>
      <c r="L139" t="str">
        <f>IF(K139="","",COUNTIF('Match Log'!$J$3:$J$501,"&lt;"&amp;K139)+COUNTIF('Tournament Log'!$N$4:$N$203,"&lt;"&amp;K139)+COUNTIF($K$4:$K$203,"&lt;"&amp;K139)+1)</f>
        <v/>
      </c>
    </row>
    <row r="140" spans="1:12" ht="15" customHeight="1" x14ac:dyDescent="0.2">
      <c r="A140" s="25"/>
      <c r="B140" s="26"/>
      <c r="C140" s="26"/>
      <c r="D140" s="26"/>
      <c r="E140" s="26"/>
      <c r="F140" s="26"/>
      <c r="G140" s="26"/>
      <c r="H140" s="26"/>
      <c r="I140" s="26"/>
      <c r="J140" s="26"/>
      <c r="K140" t="str">
        <f t="shared" si="4"/>
        <v/>
      </c>
      <c r="L140" t="str">
        <f>IF(K140="","",COUNTIF('Match Log'!$J$3:$J$501,"&lt;"&amp;K140)+COUNTIF('Tournament Log'!$N$4:$N$203,"&lt;"&amp;K140)+COUNTIF($K$4:$K$203,"&lt;"&amp;K140)+1)</f>
        <v/>
      </c>
    </row>
    <row r="141" spans="1:12" ht="15" customHeight="1" x14ac:dyDescent="0.2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t="str">
        <f t="shared" si="4"/>
        <v/>
      </c>
      <c r="L141" t="str">
        <f>IF(K141="","",COUNTIF('Match Log'!$J$3:$J$501,"&lt;"&amp;K141)+COUNTIF('Tournament Log'!$N$4:$N$203,"&lt;"&amp;K141)+COUNTIF($K$4:$K$203,"&lt;"&amp;K141)+1)</f>
        <v/>
      </c>
    </row>
    <row r="142" spans="1:12" ht="15" customHeight="1" x14ac:dyDescent="0.2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t="str">
        <f t="shared" si="4"/>
        <v/>
      </c>
      <c r="L142" t="str">
        <f>IF(K142="","",COUNTIF('Match Log'!$J$3:$J$501,"&lt;"&amp;K142)+COUNTIF('Tournament Log'!$N$4:$N$203,"&lt;"&amp;K142)+COUNTIF($K$4:$K$203,"&lt;"&amp;K142)+1)</f>
        <v/>
      </c>
    </row>
    <row r="143" spans="1:12" ht="15" customHeight="1" x14ac:dyDescent="0.2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t="str">
        <f t="shared" si="4"/>
        <v/>
      </c>
      <c r="L143" t="str">
        <f>IF(K143="","",COUNTIF('Match Log'!$J$3:$J$501,"&lt;"&amp;K143)+COUNTIF('Tournament Log'!$N$4:$N$203,"&lt;"&amp;K143)+COUNTIF($K$4:$K$203,"&lt;"&amp;K143)+1)</f>
        <v/>
      </c>
    </row>
    <row r="144" spans="1:12" ht="15" customHeight="1" x14ac:dyDescent="0.2">
      <c r="A144" s="25"/>
      <c r="B144" s="26"/>
      <c r="C144" s="26"/>
      <c r="D144" s="26"/>
      <c r="E144" s="26"/>
      <c r="F144" s="26"/>
      <c r="G144" s="26"/>
      <c r="H144" s="26"/>
      <c r="I144" s="26"/>
      <c r="J144" s="26"/>
      <c r="K144" t="str">
        <f t="shared" si="4"/>
        <v/>
      </c>
      <c r="L144" t="str">
        <f>IF(K144="","",COUNTIF('Match Log'!$J$3:$J$501,"&lt;"&amp;K144)+COUNTIF('Tournament Log'!$N$4:$N$203,"&lt;"&amp;K144)+COUNTIF($K$4:$K$203,"&lt;"&amp;K144)+1)</f>
        <v/>
      </c>
    </row>
    <row r="145" spans="1:12" ht="15" customHeight="1" x14ac:dyDescent="0.2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t="str">
        <f t="shared" si="4"/>
        <v/>
      </c>
      <c r="L145" t="str">
        <f>IF(K145="","",COUNTIF('Match Log'!$J$3:$J$501,"&lt;"&amp;K145)+COUNTIF('Tournament Log'!$N$4:$N$203,"&lt;"&amp;K145)+COUNTIF($K$4:$K$203,"&lt;"&amp;K145)+1)</f>
        <v/>
      </c>
    </row>
    <row r="146" spans="1:12" ht="15" customHeight="1" x14ac:dyDescent="0.2">
      <c r="A146" s="25"/>
      <c r="B146" s="26"/>
      <c r="C146" s="26"/>
      <c r="D146" s="26"/>
      <c r="E146" s="26"/>
      <c r="F146" s="26"/>
      <c r="G146" s="26"/>
      <c r="H146" s="26"/>
      <c r="I146" s="26"/>
      <c r="J146" s="26"/>
      <c r="K146" t="str">
        <f t="shared" si="4"/>
        <v/>
      </c>
      <c r="L146" t="str">
        <f>IF(K146="","",COUNTIF('Match Log'!$J$3:$J$501,"&lt;"&amp;K146)+COUNTIF('Tournament Log'!$N$4:$N$203,"&lt;"&amp;K146)+COUNTIF($K$4:$K$203,"&lt;"&amp;K146)+1)</f>
        <v/>
      </c>
    </row>
    <row r="147" spans="1:12" ht="15" customHeight="1" x14ac:dyDescent="0.2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t="str">
        <f t="shared" si="4"/>
        <v/>
      </c>
      <c r="L147" t="str">
        <f>IF(K147="","",COUNTIF('Match Log'!$J$3:$J$501,"&lt;"&amp;K147)+COUNTIF('Tournament Log'!$N$4:$N$203,"&lt;"&amp;K147)+COUNTIF($K$4:$K$203,"&lt;"&amp;K147)+1)</f>
        <v/>
      </c>
    </row>
    <row r="148" spans="1:12" ht="15" customHeight="1" x14ac:dyDescent="0.2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t="str">
        <f t="shared" si="4"/>
        <v/>
      </c>
      <c r="L148" t="str">
        <f>IF(K148="","",COUNTIF('Match Log'!$J$3:$J$501,"&lt;"&amp;K148)+COUNTIF('Tournament Log'!$N$4:$N$203,"&lt;"&amp;K148)+COUNTIF($K$4:$K$203,"&lt;"&amp;K148)+1)</f>
        <v/>
      </c>
    </row>
    <row r="149" spans="1:12" ht="15" customHeight="1" x14ac:dyDescent="0.2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t="str">
        <f t="shared" si="4"/>
        <v/>
      </c>
      <c r="L149" t="str">
        <f>IF(K149="","",COUNTIF('Match Log'!$J$3:$J$501,"&lt;"&amp;K149)+COUNTIF('Tournament Log'!$N$4:$N$203,"&lt;"&amp;K149)+COUNTIF($K$4:$K$203,"&lt;"&amp;K149)+1)</f>
        <v/>
      </c>
    </row>
    <row r="150" spans="1:12" ht="15" customHeight="1" x14ac:dyDescent="0.2">
      <c r="A150" s="25"/>
      <c r="B150" s="26"/>
      <c r="C150" s="26"/>
      <c r="D150" s="26"/>
      <c r="E150" s="26"/>
      <c r="F150" s="26"/>
      <c r="G150" s="26"/>
      <c r="H150" s="26"/>
      <c r="I150" s="26"/>
      <c r="J150" s="26"/>
      <c r="K150" t="str">
        <f t="shared" si="4"/>
        <v/>
      </c>
      <c r="L150" t="str">
        <f>IF(K150="","",COUNTIF('Match Log'!$J$3:$J$501,"&lt;"&amp;K150)+COUNTIF('Tournament Log'!$N$4:$N$203,"&lt;"&amp;K150)+COUNTIF($K$4:$K$203,"&lt;"&amp;K150)+1)</f>
        <v/>
      </c>
    </row>
    <row r="151" spans="1:12" ht="15" customHeight="1" x14ac:dyDescent="0.2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t="str">
        <f t="shared" si="4"/>
        <v/>
      </c>
      <c r="L151" t="str">
        <f>IF(K151="","",COUNTIF('Match Log'!$J$3:$J$501,"&lt;"&amp;K151)+COUNTIF('Tournament Log'!$N$4:$N$203,"&lt;"&amp;K151)+COUNTIF($K$4:$K$203,"&lt;"&amp;K151)+1)</f>
        <v/>
      </c>
    </row>
    <row r="152" spans="1:12" ht="15" customHeight="1" x14ac:dyDescent="0.2">
      <c r="A152" s="25"/>
      <c r="B152" s="26"/>
      <c r="C152" s="26"/>
      <c r="D152" s="26"/>
      <c r="E152" s="26"/>
      <c r="F152" s="26"/>
      <c r="G152" s="26"/>
      <c r="H152" s="26"/>
      <c r="I152" s="26"/>
      <c r="J152" s="26"/>
      <c r="K152" t="str">
        <f t="shared" si="4"/>
        <v/>
      </c>
      <c r="L152" t="str">
        <f>IF(K152="","",COUNTIF('Match Log'!$J$3:$J$501,"&lt;"&amp;K152)+COUNTIF('Tournament Log'!$N$4:$N$203,"&lt;"&amp;K152)+COUNTIF($K$4:$K$203,"&lt;"&amp;K152)+1)</f>
        <v/>
      </c>
    </row>
    <row r="153" spans="1:12" ht="15" customHeight="1" x14ac:dyDescent="0.2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t="str">
        <f t="shared" si="4"/>
        <v/>
      </c>
      <c r="L153" t="str">
        <f>IF(K153="","",COUNTIF('Match Log'!$J$3:$J$501,"&lt;"&amp;K153)+COUNTIF('Tournament Log'!$N$4:$N$203,"&lt;"&amp;K153)+COUNTIF($K$4:$K$203,"&lt;"&amp;K153)+1)</f>
        <v/>
      </c>
    </row>
    <row r="154" spans="1:12" ht="15" customHeight="1" x14ac:dyDescent="0.2">
      <c r="A154" s="25"/>
      <c r="B154" s="26"/>
      <c r="C154" s="26"/>
      <c r="D154" s="26"/>
      <c r="E154" s="26"/>
      <c r="F154" s="26"/>
      <c r="G154" s="26"/>
      <c r="H154" s="26"/>
      <c r="I154" s="26"/>
      <c r="J154" s="26"/>
      <c r="K154" t="str">
        <f t="shared" si="4"/>
        <v/>
      </c>
      <c r="L154" t="str">
        <f>IF(K154="","",COUNTIF('Match Log'!$J$3:$J$501,"&lt;"&amp;K154)+COUNTIF('Tournament Log'!$N$4:$N$203,"&lt;"&amp;K154)+COUNTIF($K$4:$K$203,"&lt;"&amp;K154)+1)</f>
        <v/>
      </c>
    </row>
    <row r="155" spans="1:12" ht="15" customHeight="1" x14ac:dyDescent="0.2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t="str">
        <f t="shared" si="4"/>
        <v/>
      </c>
      <c r="L155" t="str">
        <f>IF(K155="","",COUNTIF('Match Log'!$J$3:$J$501,"&lt;"&amp;K155)+COUNTIF('Tournament Log'!$N$4:$N$203,"&lt;"&amp;K155)+COUNTIF($K$4:$K$203,"&lt;"&amp;K155)+1)</f>
        <v/>
      </c>
    </row>
    <row r="156" spans="1:12" ht="15" customHeight="1" x14ac:dyDescent="0.2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t="str">
        <f t="shared" si="4"/>
        <v/>
      </c>
      <c r="L156" t="str">
        <f>IF(K156="","",COUNTIF('Match Log'!$J$3:$J$501,"&lt;"&amp;K156)+COUNTIF('Tournament Log'!$N$4:$N$203,"&lt;"&amp;K156)+COUNTIF($K$4:$K$203,"&lt;"&amp;K156)+1)</f>
        <v/>
      </c>
    </row>
    <row r="157" spans="1:12" ht="15" customHeight="1" x14ac:dyDescent="0.2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t="str">
        <f t="shared" si="4"/>
        <v/>
      </c>
      <c r="L157" t="str">
        <f>IF(K157="","",COUNTIF('Match Log'!$J$3:$J$501,"&lt;"&amp;K157)+COUNTIF('Tournament Log'!$N$4:$N$203,"&lt;"&amp;K157)+COUNTIF($K$4:$K$203,"&lt;"&amp;K157)+1)</f>
        <v/>
      </c>
    </row>
    <row r="158" spans="1:12" ht="15" customHeight="1" x14ac:dyDescent="0.2">
      <c r="A158" s="25"/>
      <c r="B158" s="26"/>
      <c r="C158" s="26"/>
      <c r="D158" s="26"/>
      <c r="E158" s="26"/>
      <c r="F158" s="26"/>
      <c r="G158" s="26"/>
      <c r="H158" s="26"/>
      <c r="I158" s="26"/>
      <c r="J158" s="26"/>
      <c r="K158" t="str">
        <f t="shared" si="4"/>
        <v/>
      </c>
      <c r="L158" t="str">
        <f>IF(K158="","",COUNTIF('Match Log'!$J$3:$J$501,"&lt;"&amp;K158)+COUNTIF('Tournament Log'!$N$4:$N$203,"&lt;"&amp;K158)+COUNTIF($K$4:$K$203,"&lt;"&amp;K158)+1)</f>
        <v/>
      </c>
    </row>
    <row r="159" spans="1:12" ht="15" customHeight="1" x14ac:dyDescent="0.2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t="str">
        <f t="shared" si="4"/>
        <v/>
      </c>
      <c r="L159" t="str">
        <f>IF(K159="","",COUNTIF('Match Log'!$J$3:$J$501,"&lt;"&amp;K159)+COUNTIF('Tournament Log'!$N$4:$N$203,"&lt;"&amp;K159)+COUNTIF($K$4:$K$203,"&lt;"&amp;K159)+1)</f>
        <v/>
      </c>
    </row>
    <row r="160" spans="1:12" ht="15" customHeight="1" x14ac:dyDescent="0.2">
      <c r="A160" s="25"/>
      <c r="B160" s="26"/>
      <c r="C160" s="26"/>
      <c r="D160" s="26"/>
      <c r="E160" s="26"/>
      <c r="F160" s="26"/>
      <c r="G160" s="26"/>
      <c r="H160" s="26"/>
      <c r="I160" s="26"/>
      <c r="J160" s="26"/>
      <c r="K160" t="str">
        <f t="shared" si="4"/>
        <v/>
      </c>
      <c r="L160" t="str">
        <f>IF(K160="","",COUNTIF('Match Log'!$J$3:$J$501,"&lt;"&amp;K160)+COUNTIF('Tournament Log'!$N$4:$N$203,"&lt;"&amp;K160)+COUNTIF($K$4:$K$203,"&lt;"&amp;K160)+1)</f>
        <v/>
      </c>
    </row>
    <row r="161" spans="1:12" ht="15" customHeight="1" x14ac:dyDescent="0.2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t="str">
        <f t="shared" si="4"/>
        <v/>
      </c>
      <c r="L161" t="str">
        <f>IF(K161="","",COUNTIF('Match Log'!$J$3:$J$501,"&lt;"&amp;K161)+COUNTIF('Tournament Log'!$N$4:$N$203,"&lt;"&amp;K161)+COUNTIF($K$4:$K$203,"&lt;"&amp;K161)+1)</f>
        <v/>
      </c>
    </row>
    <row r="162" spans="1:12" ht="15" customHeight="1" x14ac:dyDescent="0.2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t="str">
        <f t="shared" si="4"/>
        <v/>
      </c>
      <c r="L162" t="str">
        <f>IF(K162="","",COUNTIF('Match Log'!$J$3:$J$501,"&lt;"&amp;K162)+COUNTIF('Tournament Log'!$N$4:$N$203,"&lt;"&amp;K162)+COUNTIF($K$4:$K$203,"&lt;"&amp;K162)+1)</f>
        <v/>
      </c>
    </row>
    <row r="163" spans="1:12" ht="15" customHeight="1" x14ac:dyDescent="0.2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t="str">
        <f t="shared" si="4"/>
        <v/>
      </c>
      <c r="L163" t="str">
        <f>IF(K163="","",COUNTIF('Match Log'!$J$3:$J$501,"&lt;"&amp;K163)+COUNTIF('Tournament Log'!$N$4:$N$203,"&lt;"&amp;K163)+COUNTIF($K$4:$K$203,"&lt;"&amp;K163)+1)</f>
        <v/>
      </c>
    </row>
    <row r="164" spans="1:12" ht="15" customHeight="1" x14ac:dyDescent="0.2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t="str">
        <f t="shared" ref="K164:K195" si="5">IF(A164="","",A164+0.0003+ROW()/10000000)</f>
        <v/>
      </c>
      <c r="L164" t="str">
        <f>IF(K164="","",COUNTIF('Match Log'!$J$3:$J$501,"&lt;"&amp;K164)+COUNTIF('Tournament Log'!$N$4:$N$203,"&lt;"&amp;K164)+COUNTIF($K$4:$K$203,"&lt;"&amp;K164)+1)</f>
        <v/>
      </c>
    </row>
    <row r="165" spans="1:12" ht="15" customHeight="1" x14ac:dyDescent="0.2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t="str">
        <f t="shared" si="5"/>
        <v/>
      </c>
      <c r="L165" t="str">
        <f>IF(K165="","",COUNTIF('Match Log'!$J$3:$J$501,"&lt;"&amp;K165)+COUNTIF('Tournament Log'!$N$4:$N$203,"&lt;"&amp;K165)+COUNTIF($K$4:$K$203,"&lt;"&amp;K165)+1)</f>
        <v/>
      </c>
    </row>
    <row r="166" spans="1:12" ht="15" customHeight="1" x14ac:dyDescent="0.2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t="str">
        <f t="shared" si="5"/>
        <v/>
      </c>
      <c r="L166" t="str">
        <f>IF(K166="","",COUNTIF('Match Log'!$J$3:$J$501,"&lt;"&amp;K166)+COUNTIF('Tournament Log'!$N$4:$N$203,"&lt;"&amp;K166)+COUNTIF($K$4:$K$203,"&lt;"&amp;K166)+1)</f>
        <v/>
      </c>
    </row>
    <row r="167" spans="1:12" ht="15" customHeight="1" x14ac:dyDescent="0.2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t="str">
        <f t="shared" si="5"/>
        <v/>
      </c>
      <c r="L167" t="str">
        <f>IF(K167="","",COUNTIF('Match Log'!$J$3:$J$501,"&lt;"&amp;K167)+COUNTIF('Tournament Log'!$N$4:$N$203,"&lt;"&amp;K167)+COUNTIF($K$4:$K$203,"&lt;"&amp;K167)+1)</f>
        <v/>
      </c>
    </row>
    <row r="168" spans="1:12" ht="15" customHeight="1" x14ac:dyDescent="0.2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t="str">
        <f t="shared" si="5"/>
        <v/>
      </c>
      <c r="L168" t="str">
        <f>IF(K168="","",COUNTIF('Match Log'!$J$3:$J$501,"&lt;"&amp;K168)+COUNTIF('Tournament Log'!$N$4:$N$203,"&lt;"&amp;K168)+COUNTIF($K$4:$K$203,"&lt;"&amp;K168)+1)</f>
        <v/>
      </c>
    </row>
    <row r="169" spans="1:12" ht="15" customHeight="1" x14ac:dyDescent="0.2">
      <c r="A169" s="25"/>
      <c r="B169" s="26"/>
      <c r="C169" s="26"/>
      <c r="D169" s="26"/>
      <c r="E169" s="26"/>
      <c r="F169" s="26"/>
      <c r="G169" s="26"/>
      <c r="H169" s="26"/>
      <c r="I169" s="26"/>
      <c r="J169" s="26"/>
      <c r="K169" t="str">
        <f t="shared" si="5"/>
        <v/>
      </c>
      <c r="L169" t="str">
        <f>IF(K169="","",COUNTIF('Match Log'!$J$3:$J$501,"&lt;"&amp;K169)+COUNTIF('Tournament Log'!$N$4:$N$203,"&lt;"&amp;K169)+COUNTIF($K$4:$K$203,"&lt;"&amp;K169)+1)</f>
        <v/>
      </c>
    </row>
    <row r="170" spans="1:12" ht="15" customHeight="1" x14ac:dyDescent="0.2">
      <c r="A170" s="25"/>
      <c r="B170" s="26"/>
      <c r="C170" s="26"/>
      <c r="D170" s="26"/>
      <c r="E170" s="26"/>
      <c r="F170" s="26"/>
      <c r="G170" s="26"/>
      <c r="H170" s="26"/>
      <c r="I170" s="26"/>
      <c r="J170" s="26"/>
      <c r="K170" t="str">
        <f t="shared" si="5"/>
        <v/>
      </c>
      <c r="L170" t="str">
        <f>IF(K170="","",COUNTIF('Match Log'!$J$3:$J$501,"&lt;"&amp;K170)+COUNTIF('Tournament Log'!$N$4:$N$203,"&lt;"&amp;K170)+COUNTIF($K$4:$K$203,"&lt;"&amp;K170)+1)</f>
        <v/>
      </c>
    </row>
    <row r="171" spans="1:12" ht="15" customHeight="1" x14ac:dyDescent="0.2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t="str">
        <f t="shared" si="5"/>
        <v/>
      </c>
      <c r="L171" t="str">
        <f>IF(K171="","",COUNTIF('Match Log'!$J$3:$J$501,"&lt;"&amp;K171)+COUNTIF('Tournament Log'!$N$4:$N$203,"&lt;"&amp;K171)+COUNTIF($K$4:$K$203,"&lt;"&amp;K171)+1)</f>
        <v/>
      </c>
    </row>
    <row r="172" spans="1:12" ht="15" customHeight="1" x14ac:dyDescent="0.2">
      <c r="A172" s="25"/>
      <c r="B172" s="26"/>
      <c r="C172" s="26"/>
      <c r="D172" s="26"/>
      <c r="E172" s="26"/>
      <c r="F172" s="26"/>
      <c r="G172" s="26"/>
      <c r="H172" s="26"/>
      <c r="I172" s="26"/>
      <c r="J172" s="26"/>
      <c r="K172" t="str">
        <f t="shared" si="5"/>
        <v/>
      </c>
      <c r="L172" t="str">
        <f>IF(K172="","",COUNTIF('Match Log'!$J$3:$J$501,"&lt;"&amp;K172)+COUNTIF('Tournament Log'!$N$4:$N$203,"&lt;"&amp;K172)+COUNTIF($K$4:$K$203,"&lt;"&amp;K172)+1)</f>
        <v/>
      </c>
    </row>
    <row r="173" spans="1:12" ht="15" customHeight="1" x14ac:dyDescent="0.2">
      <c r="A173" s="25"/>
      <c r="B173" s="26"/>
      <c r="C173" s="26"/>
      <c r="D173" s="26"/>
      <c r="E173" s="26"/>
      <c r="F173" s="26"/>
      <c r="G173" s="26"/>
      <c r="H173" s="26"/>
      <c r="I173" s="26"/>
      <c r="J173" s="26"/>
      <c r="K173" t="str">
        <f t="shared" si="5"/>
        <v/>
      </c>
      <c r="L173" t="str">
        <f>IF(K173="","",COUNTIF('Match Log'!$J$3:$J$501,"&lt;"&amp;K173)+COUNTIF('Tournament Log'!$N$4:$N$203,"&lt;"&amp;K173)+COUNTIF($K$4:$K$203,"&lt;"&amp;K173)+1)</f>
        <v/>
      </c>
    </row>
    <row r="174" spans="1:12" ht="15" customHeight="1" x14ac:dyDescent="0.2">
      <c r="A174" s="25"/>
      <c r="B174" s="26"/>
      <c r="C174" s="26"/>
      <c r="D174" s="26"/>
      <c r="E174" s="26"/>
      <c r="F174" s="26"/>
      <c r="G174" s="26"/>
      <c r="H174" s="26"/>
      <c r="I174" s="26"/>
      <c r="J174" s="26"/>
      <c r="K174" t="str">
        <f t="shared" si="5"/>
        <v/>
      </c>
      <c r="L174" t="str">
        <f>IF(K174="","",COUNTIF('Match Log'!$J$3:$J$501,"&lt;"&amp;K174)+COUNTIF('Tournament Log'!$N$4:$N$203,"&lt;"&amp;K174)+COUNTIF($K$4:$K$203,"&lt;"&amp;K174)+1)</f>
        <v/>
      </c>
    </row>
    <row r="175" spans="1:12" ht="15" customHeight="1" x14ac:dyDescent="0.2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t="str">
        <f t="shared" si="5"/>
        <v/>
      </c>
      <c r="L175" t="str">
        <f>IF(K175="","",COUNTIF('Match Log'!$J$3:$J$501,"&lt;"&amp;K175)+COUNTIF('Tournament Log'!$N$4:$N$203,"&lt;"&amp;K175)+COUNTIF($K$4:$K$203,"&lt;"&amp;K175)+1)</f>
        <v/>
      </c>
    </row>
    <row r="176" spans="1:12" ht="15" customHeight="1" x14ac:dyDescent="0.2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t="str">
        <f t="shared" si="5"/>
        <v/>
      </c>
      <c r="L176" t="str">
        <f>IF(K176="","",COUNTIF('Match Log'!$J$3:$J$501,"&lt;"&amp;K176)+COUNTIF('Tournament Log'!$N$4:$N$203,"&lt;"&amp;K176)+COUNTIF($K$4:$K$203,"&lt;"&amp;K176)+1)</f>
        <v/>
      </c>
    </row>
    <row r="177" spans="1:12" ht="15" customHeight="1" x14ac:dyDescent="0.2">
      <c r="A177" s="25"/>
      <c r="B177" s="26"/>
      <c r="C177" s="26"/>
      <c r="D177" s="26"/>
      <c r="E177" s="26"/>
      <c r="F177" s="26"/>
      <c r="G177" s="26"/>
      <c r="H177" s="26"/>
      <c r="I177" s="26"/>
      <c r="J177" s="26"/>
      <c r="K177" t="str">
        <f t="shared" si="5"/>
        <v/>
      </c>
      <c r="L177" t="str">
        <f>IF(K177="","",COUNTIF('Match Log'!$J$3:$J$501,"&lt;"&amp;K177)+COUNTIF('Tournament Log'!$N$4:$N$203,"&lt;"&amp;K177)+COUNTIF($K$4:$K$203,"&lt;"&amp;K177)+1)</f>
        <v/>
      </c>
    </row>
    <row r="178" spans="1:12" ht="15" customHeight="1" x14ac:dyDescent="0.2">
      <c r="A178" s="25"/>
      <c r="B178" s="26"/>
      <c r="C178" s="26"/>
      <c r="D178" s="26"/>
      <c r="E178" s="26"/>
      <c r="F178" s="26"/>
      <c r="G178" s="26"/>
      <c r="H178" s="26"/>
      <c r="I178" s="26"/>
      <c r="J178" s="26"/>
      <c r="K178" t="str">
        <f t="shared" si="5"/>
        <v/>
      </c>
      <c r="L178" t="str">
        <f>IF(K178="","",COUNTIF('Match Log'!$J$3:$J$501,"&lt;"&amp;K178)+COUNTIF('Tournament Log'!$N$4:$N$203,"&lt;"&amp;K178)+COUNTIF($K$4:$K$203,"&lt;"&amp;K178)+1)</f>
        <v/>
      </c>
    </row>
    <row r="179" spans="1:12" ht="15" customHeight="1" x14ac:dyDescent="0.2">
      <c r="A179" s="25"/>
      <c r="B179" s="26"/>
      <c r="C179" s="26"/>
      <c r="D179" s="26"/>
      <c r="E179" s="26"/>
      <c r="F179" s="26"/>
      <c r="G179" s="26"/>
      <c r="H179" s="26"/>
      <c r="I179" s="26"/>
      <c r="J179" s="26"/>
      <c r="K179" t="str">
        <f t="shared" si="5"/>
        <v/>
      </c>
      <c r="L179" t="str">
        <f>IF(K179="","",COUNTIF('Match Log'!$J$3:$J$501,"&lt;"&amp;K179)+COUNTIF('Tournament Log'!$N$4:$N$203,"&lt;"&amp;K179)+COUNTIF($K$4:$K$203,"&lt;"&amp;K179)+1)</f>
        <v/>
      </c>
    </row>
    <row r="180" spans="1:12" ht="15" customHeight="1" x14ac:dyDescent="0.2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t="str">
        <f t="shared" si="5"/>
        <v/>
      </c>
      <c r="L180" t="str">
        <f>IF(K180="","",COUNTIF('Match Log'!$J$3:$J$501,"&lt;"&amp;K180)+COUNTIF('Tournament Log'!$N$4:$N$203,"&lt;"&amp;K180)+COUNTIF($K$4:$K$203,"&lt;"&amp;K180)+1)</f>
        <v/>
      </c>
    </row>
    <row r="181" spans="1:12" ht="15" customHeight="1" x14ac:dyDescent="0.2">
      <c r="A181" s="25"/>
      <c r="B181" s="26"/>
      <c r="C181" s="26"/>
      <c r="D181" s="26"/>
      <c r="E181" s="26"/>
      <c r="F181" s="26"/>
      <c r="G181" s="26"/>
      <c r="H181" s="26"/>
      <c r="I181" s="26"/>
      <c r="J181" s="26"/>
      <c r="K181" t="str">
        <f t="shared" si="5"/>
        <v/>
      </c>
      <c r="L181" t="str">
        <f>IF(K181="","",COUNTIF('Match Log'!$J$3:$J$501,"&lt;"&amp;K181)+COUNTIF('Tournament Log'!$N$4:$N$203,"&lt;"&amp;K181)+COUNTIF($K$4:$K$203,"&lt;"&amp;K181)+1)</f>
        <v/>
      </c>
    </row>
    <row r="182" spans="1:12" ht="15" customHeight="1" x14ac:dyDescent="0.2">
      <c r="A182" s="25"/>
      <c r="B182" s="26"/>
      <c r="C182" s="26"/>
      <c r="D182" s="26"/>
      <c r="E182" s="26"/>
      <c r="F182" s="26"/>
      <c r="G182" s="26"/>
      <c r="H182" s="26"/>
      <c r="I182" s="26"/>
      <c r="J182" s="26"/>
      <c r="K182" t="str">
        <f t="shared" si="5"/>
        <v/>
      </c>
      <c r="L182" t="str">
        <f>IF(K182="","",COUNTIF('Match Log'!$J$3:$J$501,"&lt;"&amp;K182)+COUNTIF('Tournament Log'!$N$4:$N$203,"&lt;"&amp;K182)+COUNTIF($K$4:$K$203,"&lt;"&amp;K182)+1)</f>
        <v/>
      </c>
    </row>
    <row r="183" spans="1:12" ht="15" customHeight="1" x14ac:dyDescent="0.2">
      <c r="A183" s="25"/>
      <c r="B183" s="26"/>
      <c r="C183" s="26"/>
      <c r="D183" s="26"/>
      <c r="E183" s="26"/>
      <c r="F183" s="26"/>
      <c r="G183" s="26"/>
      <c r="H183" s="26"/>
      <c r="I183" s="26"/>
      <c r="J183" s="26"/>
      <c r="K183" t="str">
        <f t="shared" si="5"/>
        <v/>
      </c>
      <c r="L183" t="str">
        <f>IF(K183="","",COUNTIF('Match Log'!$J$3:$J$501,"&lt;"&amp;K183)+COUNTIF('Tournament Log'!$N$4:$N$203,"&lt;"&amp;K183)+COUNTIF($K$4:$K$203,"&lt;"&amp;K183)+1)</f>
        <v/>
      </c>
    </row>
    <row r="184" spans="1:12" ht="15" customHeight="1" x14ac:dyDescent="0.2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t="str">
        <f t="shared" si="5"/>
        <v/>
      </c>
      <c r="L184" t="str">
        <f>IF(K184="","",COUNTIF('Match Log'!$J$3:$J$501,"&lt;"&amp;K184)+COUNTIF('Tournament Log'!$N$4:$N$203,"&lt;"&amp;K184)+COUNTIF($K$4:$K$203,"&lt;"&amp;K184)+1)</f>
        <v/>
      </c>
    </row>
    <row r="185" spans="1:12" ht="15" customHeight="1" x14ac:dyDescent="0.2">
      <c r="A185" s="25"/>
      <c r="B185" s="26"/>
      <c r="C185" s="26"/>
      <c r="D185" s="26"/>
      <c r="E185" s="26"/>
      <c r="F185" s="26"/>
      <c r="G185" s="26"/>
      <c r="H185" s="26"/>
      <c r="I185" s="26"/>
      <c r="J185" s="26"/>
      <c r="K185" t="str">
        <f t="shared" si="5"/>
        <v/>
      </c>
      <c r="L185" t="str">
        <f>IF(K185="","",COUNTIF('Match Log'!$J$3:$J$501,"&lt;"&amp;K185)+COUNTIF('Tournament Log'!$N$4:$N$203,"&lt;"&amp;K185)+COUNTIF($K$4:$K$203,"&lt;"&amp;K185)+1)</f>
        <v/>
      </c>
    </row>
    <row r="186" spans="1:12" ht="15" customHeight="1" x14ac:dyDescent="0.2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t="str">
        <f t="shared" si="5"/>
        <v/>
      </c>
      <c r="L186" t="str">
        <f>IF(K186="","",COUNTIF('Match Log'!$J$3:$J$501,"&lt;"&amp;K186)+COUNTIF('Tournament Log'!$N$4:$N$203,"&lt;"&amp;K186)+COUNTIF($K$4:$K$203,"&lt;"&amp;K186)+1)</f>
        <v/>
      </c>
    </row>
    <row r="187" spans="1:12" ht="15" customHeight="1" x14ac:dyDescent="0.2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t="str">
        <f t="shared" si="5"/>
        <v/>
      </c>
      <c r="L187" t="str">
        <f>IF(K187="","",COUNTIF('Match Log'!$J$3:$J$501,"&lt;"&amp;K187)+COUNTIF('Tournament Log'!$N$4:$N$203,"&lt;"&amp;K187)+COUNTIF($K$4:$K$203,"&lt;"&amp;K187)+1)</f>
        <v/>
      </c>
    </row>
    <row r="188" spans="1:12" ht="15" customHeight="1" x14ac:dyDescent="0.2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t="str">
        <f t="shared" si="5"/>
        <v/>
      </c>
      <c r="L188" t="str">
        <f>IF(K188="","",COUNTIF('Match Log'!$J$3:$J$501,"&lt;"&amp;K188)+COUNTIF('Tournament Log'!$N$4:$N$203,"&lt;"&amp;K188)+COUNTIF($K$4:$K$203,"&lt;"&amp;K188)+1)</f>
        <v/>
      </c>
    </row>
    <row r="189" spans="1:12" ht="15" customHeight="1" x14ac:dyDescent="0.2">
      <c r="A189" s="25"/>
      <c r="B189" s="26"/>
      <c r="C189" s="26"/>
      <c r="D189" s="26"/>
      <c r="E189" s="26"/>
      <c r="F189" s="26"/>
      <c r="G189" s="26"/>
      <c r="H189" s="26"/>
      <c r="I189" s="26"/>
      <c r="J189" s="26"/>
      <c r="K189" t="str">
        <f t="shared" si="5"/>
        <v/>
      </c>
      <c r="L189" t="str">
        <f>IF(K189="","",COUNTIF('Match Log'!$J$3:$J$501,"&lt;"&amp;K189)+COUNTIF('Tournament Log'!$N$4:$N$203,"&lt;"&amp;K189)+COUNTIF($K$4:$K$203,"&lt;"&amp;K189)+1)</f>
        <v/>
      </c>
    </row>
    <row r="190" spans="1:12" ht="15" customHeight="1" x14ac:dyDescent="0.2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t="str">
        <f t="shared" si="5"/>
        <v/>
      </c>
      <c r="L190" t="str">
        <f>IF(K190="","",COUNTIF('Match Log'!$J$3:$J$501,"&lt;"&amp;K190)+COUNTIF('Tournament Log'!$N$4:$N$203,"&lt;"&amp;K190)+COUNTIF($K$4:$K$203,"&lt;"&amp;K190)+1)</f>
        <v/>
      </c>
    </row>
    <row r="191" spans="1:12" ht="15" customHeight="1" x14ac:dyDescent="0.2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t="str">
        <f t="shared" si="5"/>
        <v/>
      </c>
      <c r="L191" t="str">
        <f>IF(K191="","",COUNTIF('Match Log'!$J$3:$J$501,"&lt;"&amp;K191)+COUNTIF('Tournament Log'!$N$4:$N$203,"&lt;"&amp;K191)+COUNTIF($K$4:$K$203,"&lt;"&amp;K191)+1)</f>
        <v/>
      </c>
    </row>
    <row r="192" spans="1:12" ht="15" customHeight="1" x14ac:dyDescent="0.2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t="str">
        <f t="shared" si="5"/>
        <v/>
      </c>
      <c r="L192" t="str">
        <f>IF(K192="","",COUNTIF('Match Log'!$J$3:$J$501,"&lt;"&amp;K192)+COUNTIF('Tournament Log'!$N$4:$N$203,"&lt;"&amp;K192)+COUNTIF($K$4:$K$203,"&lt;"&amp;K192)+1)</f>
        <v/>
      </c>
    </row>
    <row r="193" spans="1:12" ht="15" customHeight="1" x14ac:dyDescent="0.2">
      <c r="A193" s="25"/>
      <c r="B193" s="26"/>
      <c r="C193" s="26"/>
      <c r="D193" s="26"/>
      <c r="E193" s="26"/>
      <c r="F193" s="26"/>
      <c r="G193" s="26"/>
      <c r="H193" s="26"/>
      <c r="I193" s="26"/>
      <c r="J193" s="26"/>
      <c r="K193" t="str">
        <f t="shared" si="5"/>
        <v/>
      </c>
      <c r="L193" t="str">
        <f>IF(K193="","",COUNTIF('Match Log'!$J$3:$J$501,"&lt;"&amp;K193)+COUNTIF('Tournament Log'!$N$4:$N$203,"&lt;"&amp;K193)+COUNTIF($K$4:$K$203,"&lt;"&amp;K193)+1)</f>
        <v/>
      </c>
    </row>
    <row r="194" spans="1:12" ht="15" customHeight="1" x14ac:dyDescent="0.2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t="str">
        <f t="shared" si="5"/>
        <v/>
      </c>
      <c r="L194" t="str">
        <f>IF(K194="","",COUNTIF('Match Log'!$J$3:$J$501,"&lt;"&amp;K194)+COUNTIF('Tournament Log'!$N$4:$N$203,"&lt;"&amp;K194)+COUNTIF($K$4:$K$203,"&lt;"&amp;K194)+1)</f>
        <v/>
      </c>
    </row>
    <row r="195" spans="1:12" ht="15" customHeight="1" x14ac:dyDescent="0.2">
      <c r="A195" s="25"/>
      <c r="B195" s="26"/>
      <c r="C195" s="26"/>
      <c r="D195" s="26"/>
      <c r="E195" s="26"/>
      <c r="F195" s="26"/>
      <c r="G195" s="26"/>
      <c r="H195" s="26"/>
      <c r="I195" s="26"/>
      <c r="J195" s="26"/>
      <c r="K195" t="str">
        <f t="shared" si="5"/>
        <v/>
      </c>
      <c r="L195" t="str">
        <f>IF(K195="","",COUNTIF('Match Log'!$J$3:$J$501,"&lt;"&amp;K195)+COUNTIF('Tournament Log'!$N$4:$N$203,"&lt;"&amp;K195)+COUNTIF($K$4:$K$203,"&lt;"&amp;K195)+1)</f>
        <v/>
      </c>
    </row>
    <row r="196" spans="1:12" ht="15" customHeight="1" x14ac:dyDescent="0.2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t="str">
        <f t="shared" ref="K196:K203" si="6">IF(A196="","",A196+0.0003+ROW()/10000000)</f>
        <v/>
      </c>
      <c r="L196" t="str">
        <f>IF(K196="","",COUNTIF('Match Log'!$J$3:$J$501,"&lt;"&amp;K196)+COUNTIF('Tournament Log'!$N$4:$N$203,"&lt;"&amp;K196)+COUNTIF($K$4:$K$203,"&lt;"&amp;K196)+1)</f>
        <v/>
      </c>
    </row>
    <row r="197" spans="1:12" ht="15" customHeight="1" x14ac:dyDescent="0.2">
      <c r="A197" s="25"/>
      <c r="B197" s="26"/>
      <c r="C197" s="26"/>
      <c r="D197" s="26"/>
      <c r="E197" s="26"/>
      <c r="F197" s="26"/>
      <c r="G197" s="26"/>
      <c r="H197" s="26"/>
      <c r="I197" s="26"/>
      <c r="J197" s="26"/>
      <c r="K197" t="str">
        <f t="shared" si="6"/>
        <v/>
      </c>
      <c r="L197" t="str">
        <f>IF(K197="","",COUNTIF('Match Log'!$J$3:$J$501,"&lt;"&amp;K197)+COUNTIF('Tournament Log'!$N$4:$N$203,"&lt;"&amp;K197)+COUNTIF($K$4:$K$203,"&lt;"&amp;K197)+1)</f>
        <v/>
      </c>
    </row>
    <row r="198" spans="1:12" ht="15" customHeight="1" x14ac:dyDescent="0.2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t="str">
        <f t="shared" si="6"/>
        <v/>
      </c>
      <c r="L198" t="str">
        <f>IF(K198="","",COUNTIF('Match Log'!$J$3:$J$501,"&lt;"&amp;K198)+COUNTIF('Tournament Log'!$N$4:$N$203,"&lt;"&amp;K198)+COUNTIF($K$4:$K$203,"&lt;"&amp;K198)+1)</f>
        <v/>
      </c>
    </row>
    <row r="199" spans="1:12" ht="15" customHeight="1" x14ac:dyDescent="0.2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t="str">
        <f t="shared" si="6"/>
        <v/>
      </c>
      <c r="L199" t="str">
        <f>IF(K199="","",COUNTIF('Match Log'!$J$3:$J$501,"&lt;"&amp;K199)+COUNTIF('Tournament Log'!$N$4:$N$203,"&lt;"&amp;K199)+COUNTIF($K$4:$K$203,"&lt;"&amp;K199)+1)</f>
        <v/>
      </c>
    </row>
    <row r="200" spans="1:12" ht="15" customHeight="1" x14ac:dyDescent="0.2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t="str">
        <f t="shared" si="6"/>
        <v/>
      </c>
      <c r="L200" t="str">
        <f>IF(K200="","",COUNTIF('Match Log'!$J$3:$J$501,"&lt;"&amp;K200)+COUNTIF('Tournament Log'!$N$4:$N$203,"&lt;"&amp;K200)+COUNTIF($K$4:$K$203,"&lt;"&amp;K200)+1)</f>
        <v/>
      </c>
    </row>
    <row r="201" spans="1:12" ht="15" customHeight="1" x14ac:dyDescent="0.2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t="str">
        <f t="shared" si="6"/>
        <v/>
      </c>
      <c r="L201" t="str">
        <f>IF(K201="","",COUNTIF('Match Log'!$J$3:$J$501,"&lt;"&amp;K201)+COUNTIF('Tournament Log'!$N$4:$N$203,"&lt;"&amp;K201)+COUNTIF($K$4:$K$203,"&lt;"&amp;K201)+1)</f>
        <v/>
      </c>
    </row>
    <row r="202" spans="1:12" ht="15" customHeight="1" x14ac:dyDescent="0.2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t="str">
        <f t="shared" si="6"/>
        <v/>
      </c>
      <c r="L202" t="str">
        <f>IF(K202="","",COUNTIF('Match Log'!$J$3:$J$501,"&lt;"&amp;K202)+COUNTIF('Tournament Log'!$N$4:$N$203,"&lt;"&amp;K202)+COUNTIF($K$4:$K$203,"&lt;"&amp;K202)+1)</f>
        <v/>
      </c>
    </row>
    <row r="203" spans="1:12" ht="15" customHeight="1" x14ac:dyDescent="0.2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t="str">
        <f t="shared" si="6"/>
        <v/>
      </c>
      <c r="L203" t="str">
        <f>IF(K203="","",COUNTIF('Match Log'!$J$3:$J$501,"&lt;"&amp;K203)+COUNTIF('Tournament Log'!$N$4:$N$203,"&lt;"&amp;K203)+COUNTIF($K$4:$K$203,"&lt;"&amp;K203)+1)</f>
        <v/>
      </c>
    </row>
  </sheetData>
  <mergeCells count="2">
    <mergeCell ref="A1:L1"/>
    <mergeCell ref="A3:L3"/>
  </mergeCells>
  <dataValidations count="1">
    <dataValidation type="list" allowBlank="1" sqref="C4:C203" xr:uid="{00000000-0002-0000-0300-000000000000}">
      <formula1>"Win,Draw,Loss"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Q900"/>
  <sheetViews>
    <sheetView zoomScaleNormal="100" workbookViewId="0">
      <selection activeCell="F2" sqref="F2"/>
    </sheetView>
  </sheetViews>
  <sheetFormatPr defaultColWidth="8.7421875" defaultRowHeight="15" x14ac:dyDescent="0.2"/>
  <cols>
    <col min="1" max="10" width="13.5859375" customWidth="1"/>
    <col min="17" max="17" width="13.98828125" customWidth="1"/>
  </cols>
  <sheetData>
    <row r="1" spans="1:17" ht="15" customHeight="1" x14ac:dyDescent="0.2">
      <c r="A1" s="28" t="s">
        <v>74</v>
      </c>
      <c r="B1" s="28" t="s">
        <v>12</v>
      </c>
      <c r="C1" s="28" t="s">
        <v>75</v>
      </c>
      <c r="D1" s="28" t="s">
        <v>76</v>
      </c>
      <c r="E1" s="28" t="s">
        <v>77</v>
      </c>
      <c r="F1" s="28" t="s">
        <v>13</v>
      </c>
      <c r="G1" s="28" t="s">
        <v>78</v>
      </c>
      <c r="H1" s="28" t="s">
        <v>79</v>
      </c>
      <c r="I1" s="28" t="s">
        <v>80</v>
      </c>
      <c r="J1" s="28" t="s">
        <v>81</v>
      </c>
      <c r="K1" s="29" t="s">
        <v>82</v>
      </c>
      <c r="L1" s="29" t="s">
        <v>83</v>
      </c>
      <c r="M1" s="29" t="s">
        <v>84</v>
      </c>
      <c r="N1" s="29" t="s">
        <v>85</v>
      </c>
      <c r="O1" s="29" t="s">
        <v>86</v>
      </c>
      <c r="P1" s="29" t="s">
        <v>87</v>
      </c>
      <c r="Q1" s="29" t="s">
        <v>88</v>
      </c>
    </row>
    <row r="2" spans="1:17" ht="15" customHeight="1" x14ac:dyDescent="0.2">
      <c r="A2" s="12">
        <f>1</f>
        <v>1</v>
      </c>
      <c r="B2" s="30">
        <f>IF(C2="","",IF(C2="Match",INDEX('Match Log'!$A:$A,D2),IF(C2="Tournament",INDEX('Tournament Log'!$A:$A,E2),INDEX('Guest Log'!$A:$A,Q2))))</f>
        <v>46190</v>
      </c>
      <c r="C2" s="12" t="str">
        <f t="shared" ref="C2:C65" si="0">IF(D2&lt;&gt;"","Match",IF(E2&lt;&gt;"","Tournament",IF(Q2&lt;&gt;"","Guest","")))</f>
        <v>Match</v>
      </c>
      <c r="D2" s="31">
        <f>IFERROR(MATCH($A2,'Match Log'!$K$3:$K$501,0)+2,"")</f>
        <v>3</v>
      </c>
      <c r="E2" s="31" t="str">
        <f>IFERROR(MATCH($A2,'Tournament Log'!$O$4:$O$203,0)+3,"")</f>
        <v/>
      </c>
      <c r="F2" s="12" t="str">
        <f>IF(C2="","",IF(C2="Match",INDEX('Match Log'!$B:$B,D2),IF(C2="Tournament",INDEX('Tournament Log'!$C:$C,E2),INDEX('Guest Log'!$B:$B,Q2))))</f>
        <v>Andrew</v>
      </c>
      <c r="G2" s="12" t="str">
        <f>IF(C2="","",IF(C2="Match",INDEX('Match Log'!$C:$C,D2),IF(C2="Tournament",INDEX('Tournament Log'!$B:$B,E2)&amp;" (Phantom)",INDEX('Guest Log'!$H:$H,Q2)&amp;" (Guest)")))</f>
        <v>Colin</v>
      </c>
      <c r="H2" s="32">
        <f t="array" ref="H2">IF(C2="","",IFERROR(LOOKUP(2,1/(($F$1:F1=F2)+($G$1:G1=F2)),IF($F$1:F1=F2,$N$1:N1,$O$1:O1)),1000))</f>
        <v>1000</v>
      </c>
      <c r="I2" s="12">
        <f t="array" ref="I2">IF(C2="","",IF(C2="Tournament",INDEX('Tournament Log'!$J:$J,E2),IF(C2="Guest",IF(INDEX('Guest Log'!$I:$I,Q2)="",1000,INDEX('Guest Log'!$I:$I,Q2)),IFERROR(LOOKUP(2,1/(($F$1:F1=G2)+($G$1:G1=G2)),IF($F$1:F1=G2,$N$1:N1,$O$1:O1)),1000))))</f>
        <v>1000</v>
      </c>
      <c r="J2" s="12">
        <f t="shared" ref="J2:J65" si="1">IF(C2="","",1/(1+10^((I2-H2)/400)))</f>
        <v>0.5</v>
      </c>
      <c r="K2" s="12">
        <f>IF(C2="","",IF(C2="Match",IF(INDEX('Match Log'!$D:$D,D2)="Win",1,IF(INDEX('Match Log'!$D:$D,D2)="Draw",0.5,0)),IF(C2="Tournament",INDEX('Tournament Log'!$K:$K,E2),IF(INDEX('Guest Log'!$C:$C,Q2)="Win",1,IF(INDEX('Guest Log'!$C:$C,Q2)="Draw",0.5,0)))))</f>
        <v>0</v>
      </c>
      <c r="L2" s="12">
        <f>IF(C2="","",IF(C2="Match",32,IF(C2="Tournament",MIN(32*INDEX('Tournament Log'!$D:$D,E2),96),32)))</f>
        <v>32</v>
      </c>
      <c r="M2" s="12">
        <f t="shared" ref="M2:M65" si="2">IF(C2="","",ROUND(L2*(K2-J2),0))</f>
        <v>-16</v>
      </c>
      <c r="N2" s="12">
        <f t="shared" ref="N2:N65" si="3">IF(C2="","",H2+M2)</f>
        <v>984</v>
      </c>
      <c r="O2" s="12">
        <f t="shared" ref="O2:O65" si="4">IF(C2="","",IF(C2="Match",I2-M2,""))</f>
        <v>1016</v>
      </c>
      <c r="P2" s="12" t="str">
        <f>IF(C2="Tournament",INDEX('Tournament Log'!$B:$B,E2),IF(C2="Guest","Guest: "&amp;INDEX('Guest Log'!$H:$H,Q2),""))</f>
        <v/>
      </c>
      <c r="Q2" t="str">
        <f>IFERROR(MATCH($A2,'Guest Log'!$L$4:$L$203,0)+3,"")</f>
        <v/>
      </c>
    </row>
    <row r="3" spans="1:17" ht="15" customHeight="1" x14ac:dyDescent="0.2">
      <c r="A3" s="12">
        <f>2</f>
        <v>2</v>
      </c>
      <c r="B3" s="30">
        <f>IF(C3="","",IF(C3="Match",INDEX('Match Log'!$A:$A,D3),IF(C3="Tournament",INDEX('Tournament Log'!$A:$A,E3),INDEX('Guest Log'!$A:$A,Q3))))</f>
        <v>46193</v>
      </c>
      <c r="C3" s="12" t="str">
        <f t="shared" si="0"/>
        <v>Match</v>
      </c>
      <c r="D3" s="31">
        <f>IFERROR(MATCH($A3,'Match Log'!$K$3:$K$501,0)+2,"")</f>
        <v>4</v>
      </c>
      <c r="E3" s="31" t="str">
        <f>IFERROR(MATCH($A3,'Tournament Log'!$O$4:$O$203,0)+3,"")</f>
        <v/>
      </c>
      <c r="F3" s="12" t="str">
        <f>IF(C3="","",IF(C3="Match",INDEX('Match Log'!$B:$B,D3),IF(C3="Tournament",INDEX('Tournament Log'!$C:$C,E3),INDEX('Guest Log'!$B:$B,Q3))))</f>
        <v>Andrew</v>
      </c>
      <c r="G3" s="12" t="str">
        <f>IF(C3="","",IF(C3="Match",INDEX('Match Log'!$C:$C,D3),IF(C3="Tournament",INDEX('Tournament Log'!$B:$B,E3)&amp;" (Phantom)",INDEX('Guest Log'!$H:$H,Q3)&amp;" (Guest)")))</f>
        <v>Colin</v>
      </c>
      <c r="H3" s="32">
        <f t="array" ref="H3">IF(C3="","",IFERROR(LOOKUP(2,1/(($F$1:F2=F3)+($G$1:G2=F3)),IF($F$1:F2=F3,$N$1:N2,$O$1:O2)),1000))</f>
        <v>984</v>
      </c>
      <c r="I3" s="12">
        <f t="array" ref="I3">IF(C3="","",IF(C3="Tournament",INDEX('Tournament Log'!$J:$J,E3),IF(C3="Guest",IF(INDEX('Guest Log'!$I:$I,Q3)="",1000,INDEX('Guest Log'!$I:$I,Q3)),IFERROR(LOOKUP(2,1/(($F$1:F2=G3)+($G$1:G2=G3)),IF($F$1:F2=G3,$N$1:N2,$O$1:O2)),1000))))</f>
        <v>1016</v>
      </c>
      <c r="J3" s="12">
        <f t="shared" si="1"/>
        <v>0.45407807721951632</v>
      </c>
      <c r="K3" s="12">
        <f>IF(C3="","",IF(C3="Match",IF(INDEX('Match Log'!$D:$D,D3)="Win",1,IF(INDEX('Match Log'!$D:$D,D3)="Draw",0.5,0)),IF(C3="Tournament",INDEX('Tournament Log'!$K:$K,E3),IF(INDEX('Guest Log'!$C:$C,Q3)="Win",1,IF(INDEX('Guest Log'!$C:$C,Q3)="Draw",0.5,0)))))</f>
        <v>1</v>
      </c>
      <c r="L3" s="12">
        <f>IF(C3="","",IF(C3="Match",32,IF(C3="Tournament",MIN(32*INDEX('Tournament Log'!$D:$D,E3),96),32)))</f>
        <v>32</v>
      </c>
      <c r="M3" s="12">
        <f t="shared" si="2"/>
        <v>17</v>
      </c>
      <c r="N3" s="12">
        <f t="shared" si="3"/>
        <v>1001</v>
      </c>
      <c r="O3" s="12">
        <f t="shared" si="4"/>
        <v>999</v>
      </c>
      <c r="P3" s="12" t="str">
        <f>IF(C3="Tournament",INDEX('Tournament Log'!$B:$B,E3),IF(C3="Guest","Guest: "&amp;INDEX('Guest Log'!$H:$H,Q3),""))</f>
        <v/>
      </c>
      <c r="Q3" t="str">
        <f>IFERROR(MATCH($A3,'Guest Log'!$L$4:$L$203,0)+3,"")</f>
        <v/>
      </c>
    </row>
    <row r="4" spans="1:17" ht="15" customHeight="1" x14ac:dyDescent="0.2">
      <c r="A4" s="12">
        <f>3</f>
        <v>3</v>
      </c>
      <c r="B4" s="30">
        <f>IF(C4="","",IF(C4="Match",INDEX('Match Log'!$A:$A,D4),IF(C4="Tournament",INDEX('Tournament Log'!$A:$A,E4),INDEX('Guest Log'!$A:$A,Q4))))</f>
        <v>46193</v>
      </c>
      <c r="C4" s="12" t="str">
        <f t="shared" si="0"/>
        <v>Match</v>
      </c>
      <c r="D4" s="31">
        <f>IFERROR(MATCH($A4,'Match Log'!$K$3:$K$501,0)+2,"")</f>
        <v>5</v>
      </c>
      <c r="E4" s="31" t="str">
        <f>IFERROR(MATCH($A4,'Tournament Log'!$O$4:$O$203,0)+3,"")</f>
        <v/>
      </c>
      <c r="F4" s="12" t="str">
        <f>IF(C4="","",IF(C4="Match",INDEX('Match Log'!$B:$B,D4),IF(C4="Tournament",INDEX('Tournament Log'!$C:$C,E4),INDEX('Guest Log'!$B:$B,Q4))))</f>
        <v>Andrew</v>
      </c>
      <c r="G4" s="12" t="str">
        <f>IF(C4="","",IF(C4="Match",INDEX('Match Log'!$C:$C,D4),IF(C4="Tournament",INDEX('Tournament Log'!$B:$B,E4)&amp;" (Phantom)",INDEX('Guest Log'!$H:$H,Q4)&amp;" (Guest)")))</f>
        <v>Miles</v>
      </c>
      <c r="H4" s="32">
        <f t="array" ref="H4">IF(C4="","",IFERROR(LOOKUP(2,1/(($F$1:F3=F4)+($G$1:G3=F4)),IF($F$1:F3=F4,$N$1:N3,$O$1:O3)),1000))</f>
        <v>1001</v>
      </c>
      <c r="I4" s="12">
        <f t="array" ref="I4">IF(C4="","",IF(C4="Tournament",INDEX('Tournament Log'!$J:$J,E4),IF(C4="Guest",IF(INDEX('Guest Log'!$I:$I,Q4)="",1000,INDEX('Guest Log'!$I:$I,Q4)),IFERROR(LOOKUP(2,1/(($F$1:F3=G4)+($G$1:G3=G4)),IF($F$1:F3=G4,$N$1:N3,$O$1:O3)),1000))))</f>
        <v>1000</v>
      </c>
      <c r="J4" s="12">
        <f t="shared" si="1"/>
        <v>0.5014391117091529</v>
      </c>
      <c r="K4" s="12">
        <f>IF(C4="","",IF(C4="Match",IF(INDEX('Match Log'!$D:$D,D4)="Win",1,IF(INDEX('Match Log'!$D:$D,D4)="Draw",0.5,0)),IF(C4="Tournament",INDEX('Tournament Log'!$K:$K,E4),IF(INDEX('Guest Log'!$C:$C,Q4)="Win",1,IF(INDEX('Guest Log'!$C:$C,Q4)="Draw",0.5,0)))))</f>
        <v>0</v>
      </c>
      <c r="L4" s="12">
        <f>IF(C4="","",IF(C4="Match",32,IF(C4="Tournament",MIN(32*INDEX('Tournament Log'!$D:$D,E4),96),32)))</f>
        <v>32</v>
      </c>
      <c r="M4" s="12">
        <f t="shared" si="2"/>
        <v>-16</v>
      </c>
      <c r="N4" s="12">
        <f t="shared" si="3"/>
        <v>985</v>
      </c>
      <c r="O4" s="12">
        <f t="shared" si="4"/>
        <v>1016</v>
      </c>
      <c r="P4" s="12" t="str">
        <f>IF(C4="Tournament",INDEX('Tournament Log'!$B:$B,E4),IF(C4="Guest","Guest: "&amp;INDEX('Guest Log'!$H:$H,Q4),""))</f>
        <v/>
      </c>
      <c r="Q4" t="str">
        <f>IFERROR(MATCH($A4,'Guest Log'!$L$4:$L$203,0)+3,"")</f>
        <v/>
      </c>
    </row>
    <row r="5" spans="1:17" ht="15" customHeight="1" x14ac:dyDescent="0.2">
      <c r="A5" s="12">
        <f>4</f>
        <v>4</v>
      </c>
      <c r="B5" s="30">
        <f>IF(C5="","",IF(C5="Match",INDEX('Match Log'!$A:$A,D5),IF(C5="Tournament",INDEX('Tournament Log'!$A:$A,E5),INDEX('Guest Log'!$A:$A,Q5))))</f>
        <v>46193</v>
      </c>
      <c r="C5" s="12" t="str">
        <f t="shared" si="0"/>
        <v>Match</v>
      </c>
      <c r="D5" s="31">
        <f>IFERROR(MATCH($A5,'Match Log'!$K$3:$K$501,0)+2,"")</f>
        <v>6</v>
      </c>
      <c r="E5" s="31" t="str">
        <f>IFERROR(MATCH($A5,'Tournament Log'!$O$4:$O$203,0)+3,"")</f>
        <v/>
      </c>
      <c r="F5" s="12" t="str">
        <f>IF(C5="","",IF(C5="Match",INDEX('Match Log'!$B:$B,D5),IF(C5="Tournament",INDEX('Tournament Log'!$C:$C,E5),INDEX('Guest Log'!$B:$B,Q5))))</f>
        <v>John</v>
      </c>
      <c r="G5" s="12" t="str">
        <f>IF(C5="","",IF(C5="Match",INDEX('Match Log'!$C:$C,D5),IF(C5="Tournament",INDEX('Tournament Log'!$B:$B,E5)&amp;" (Phantom)",INDEX('Guest Log'!$H:$H,Q5)&amp;" (Guest)")))</f>
        <v>Colin</v>
      </c>
      <c r="H5" s="32">
        <f t="array" ref="H5">IF(C5="","",IFERROR(LOOKUP(2,1/(($F$1:F4=F5)+($G$1:G4=F5)),IF($F$1:F4=F5,$N$1:N4,$O$1:O4)),1000))</f>
        <v>1000</v>
      </c>
      <c r="I5" s="12">
        <f t="array" ref="I5">IF(C5="","",IF(C5="Tournament",INDEX('Tournament Log'!$J:$J,E5),IF(C5="Guest",IF(INDEX('Guest Log'!$I:$I,Q5)="",1000,INDEX('Guest Log'!$I:$I,Q5)),IFERROR(LOOKUP(2,1/(($F$1:F4=G5)+($G$1:G4=G5)),IF($F$1:F4=G5,$N$1:N4,$O$1:O4)),1000))))</f>
        <v>999</v>
      </c>
      <c r="J5" s="12">
        <f t="shared" si="1"/>
        <v>0.5014391117091529</v>
      </c>
      <c r="K5" s="12">
        <f>IF(C5="","",IF(C5="Match",IF(INDEX('Match Log'!$D:$D,D5)="Win",1,IF(INDEX('Match Log'!$D:$D,D5)="Draw",0.5,0)),IF(C5="Tournament",INDEX('Tournament Log'!$K:$K,E5),IF(INDEX('Guest Log'!$C:$C,Q5)="Win",1,IF(INDEX('Guest Log'!$C:$C,Q5)="Draw",0.5,0)))))</f>
        <v>1</v>
      </c>
      <c r="L5" s="12">
        <f>IF(C5="","",IF(C5="Match",32,IF(C5="Tournament",MIN(32*INDEX('Tournament Log'!$D:$D,E5),96),32)))</f>
        <v>32</v>
      </c>
      <c r="M5" s="12">
        <f t="shared" si="2"/>
        <v>16</v>
      </c>
      <c r="N5" s="12">
        <f t="shared" si="3"/>
        <v>1016</v>
      </c>
      <c r="O5" s="12">
        <f t="shared" si="4"/>
        <v>983</v>
      </c>
      <c r="P5" s="12" t="str">
        <f>IF(C5="Tournament",INDEX('Tournament Log'!$B:$B,E5),IF(C5="Guest","Guest: "&amp;INDEX('Guest Log'!$H:$H,Q5),""))</f>
        <v/>
      </c>
      <c r="Q5" t="str">
        <f>IFERROR(MATCH($A5,'Guest Log'!$L$4:$L$203,0)+3,"")</f>
        <v/>
      </c>
    </row>
    <row r="6" spans="1:17" ht="15" customHeight="1" x14ac:dyDescent="0.2">
      <c r="A6" s="12">
        <f>5</f>
        <v>5</v>
      </c>
      <c r="B6" s="33">
        <f>IF(C6="","",IF(C6="Match",INDEX('Match Log'!$A:$A,D6),IF(C6="Tournament",INDEX('Tournament Log'!$A:$A,E6),INDEX('Guest Log'!$A:$A,Q6))))</f>
        <v>46195</v>
      </c>
      <c r="C6" s="12" t="str">
        <f t="shared" si="0"/>
        <v>Match</v>
      </c>
      <c r="D6" s="31">
        <f>IFERROR(MATCH($A6,'Match Log'!$K$3:$K$501,0)+2,"")</f>
        <v>7</v>
      </c>
      <c r="E6" s="31" t="str">
        <f>IFERROR(MATCH($A6,'Tournament Log'!$O$4:$O$203,0)+3,"")</f>
        <v/>
      </c>
      <c r="F6" s="12" t="str">
        <f>IF(C6="","",IF(C6="Match",INDEX('Match Log'!$B:$B,D6),IF(C6="Tournament",INDEX('Tournament Log'!$C:$C,E6),INDEX('Guest Log'!$B:$B,Q6))))</f>
        <v>Brett</v>
      </c>
      <c r="G6" s="12" t="str">
        <f>IF(C6="","",IF(C6="Match",INDEX('Match Log'!$C:$C,D6),IF(C6="Tournament",INDEX('Tournament Log'!$B:$B,E6)&amp;" (Phantom)",INDEX('Guest Log'!$H:$H,Q6)&amp;" (Guest)")))</f>
        <v>Colin</v>
      </c>
      <c r="H6" s="32">
        <f t="array" ref="H6">IF(C6="","",IFERROR(LOOKUP(2,1/(($F$1:F5=F6)+($G$1:G5=F6)),IF($F$1:F5=F6,$N$1:N5,$O$1:O5)),1000))</f>
        <v>1000</v>
      </c>
      <c r="I6" s="12">
        <f t="array" ref="I6">IF(C6="","",IF(C6="Tournament",INDEX('Tournament Log'!$J:$J,E6),IF(C6="Guest",IF(INDEX('Guest Log'!$I:$I,Q6)="",1000,INDEX('Guest Log'!$I:$I,Q6)),IFERROR(LOOKUP(2,1/(($F$1:F5=G6)+($G$1:G5=G6)),IF($F$1:F5=G6,$N$1:N5,$O$1:O5)),1000))))</f>
        <v>983</v>
      </c>
      <c r="J6" s="12">
        <f t="shared" si="1"/>
        <v>0.52444546112066148</v>
      </c>
      <c r="K6" s="12">
        <f>IF(C6="","",IF(C6="Match",IF(INDEX('Match Log'!$D:$D,D6)="Win",1,IF(INDEX('Match Log'!$D:$D,D6)="Draw",0.5,0)),IF(C6="Tournament",INDEX('Tournament Log'!$K:$K,E6),IF(INDEX('Guest Log'!$C:$C,Q6)="Win",1,IF(INDEX('Guest Log'!$C:$C,Q6)="Draw",0.5,0)))))</f>
        <v>0</v>
      </c>
      <c r="L6" s="12">
        <f>IF(C6="","",IF(C6="Match",32,IF(C6="Tournament",MIN(32*INDEX('Tournament Log'!$D:$D,E6),96),32)))</f>
        <v>32</v>
      </c>
      <c r="M6" s="12">
        <f t="shared" si="2"/>
        <v>-17</v>
      </c>
      <c r="N6" s="12">
        <f t="shared" si="3"/>
        <v>983</v>
      </c>
      <c r="O6" s="12">
        <f t="shared" si="4"/>
        <v>1000</v>
      </c>
      <c r="P6" s="12" t="str">
        <f>IF(C6="Tournament",INDEX('Tournament Log'!$B:$B,E6),IF(C6="Guest","Guest: "&amp;INDEX('Guest Log'!$H:$H,Q6),""))</f>
        <v/>
      </c>
      <c r="Q6" t="str">
        <f>IFERROR(MATCH($A6,'Guest Log'!$L$4:$L$203,0)+3,"")</f>
        <v/>
      </c>
    </row>
    <row r="7" spans="1:17" ht="15" customHeight="1" x14ac:dyDescent="0.2">
      <c r="A7" s="12">
        <f>6</f>
        <v>6</v>
      </c>
      <c r="B7" s="33">
        <f>IF(C7="","",IF(C7="Match",INDEX('Match Log'!$A:$A,D7),IF(C7="Tournament",INDEX('Tournament Log'!$A:$A,E7),INDEX('Guest Log'!$A:$A,Q7))))</f>
        <v>46196</v>
      </c>
      <c r="C7" s="12" t="str">
        <f t="shared" si="0"/>
        <v>Match</v>
      </c>
      <c r="D7" s="31">
        <f>IFERROR(MATCH($A7,'Match Log'!$K$3:$K$501,0)+2,"")</f>
        <v>8</v>
      </c>
      <c r="E7" s="31" t="str">
        <f>IFERROR(MATCH($A7,'Tournament Log'!$O$4:$O$203,0)+3,"")</f>
        <v/>
      </c>
      <c r="F7" s="12" t="str">
        <f>IF(C7="","",IF(C7="Match",INDEX('Match Log'!$B:$B,D7),IF(C7="Tournament",INDEX('Tournament Log'!$C:$C,E7),INDEX('Guest Log'!$B:$B,Q7))))</f>
        <v>Andrew</v>
      </c>
      <c r="G7" s="12" t="str">
        <f>IF(C7="","",IF(C7="Match",INDEX('Match Log'!$C:$C,D7),IF(C7="Tournament",INDEX('Tournament Log'!$B:$B,E7)&amp;" (Phantom)",INDEX('Guest Log'!$H:$H,Q7)&amp;" (Guest)")))</f>
        <v>Colin</v>
      </c>
      <c r="H7" s="32">
        <f t="array" ref="H7">IF(C7="","",IFERROR(LOOKUP(2,1/(($F$1:F6=F7)+($G$1:G6=F7)),IF($F$1:F6=F7,$N$1:N6,$O$1:O6)),1000))</f>
        <v>985</v>
      </c>
      <c r="I7" s="12">
        <f t="array" ref="I7">IF(C7="","",IF(C7="Tournament",INDEX('Tournament Log'!$J:$J,E7),IF(C7="Guest",IF(INDEX('Guest Log'!$I:$I,Q7)="",1000,INDEX('Guest Log'!$I:$I,Q7)),IFERROR(LOOKUP(2,1/(($F$1:F6=G7)+($G$1:G6=G7)),IF($F$1:F6=G7,$N$1:N6,$O$1:O6)),1000))))</f>
        <v>1000</v>
      </c>
      <c r="J7" s="12">
        <f t="shared" si="1"/>
        <v>0.47842666694885455</v>
      </c>
      <c r="K7" s="12">
        <f>IF(C7="","",IF(C7="Match",IF(INDEX('Match Log'!$D:$D,D7)="Win",1,IF(INDEX('Match Log'!$D:$D,D7)="Draw",0.5,0)),IF(C7="Tournament",INDEX('Tournament Log'!$K:$K,E7),IF(INDEX('Guest Log'!$C:$C,Q7)="Win",1,IF(INDEX('Guest Log'!$C:$C,Q7)="Draw",0.5,0)))))</f>
        <v>0</v>
      </c>
      <c r="L7" s="12">
        <f>IF(C7="","",IF(C7="Match",32,IF(C7="Tournament",MIN(32*INDEX('Tournament Log'!$D:$D,E7),96),32)))</f>
        <v>32</v>
      </c>
      <c r="M7" s="12">
        <f t="shared" si="2"/>
        <v>-15</v>
      </c>
      <c r="N7" s="12">
        <f t="shared" si="3"/>
        <v>970</v>
      </c>
      <c r="O7" s="12">
        <f t="shared" si="4"/>
        <v>1015</v>
      </c>
      <c r="P7" s="12" t="str">
        <f>IF(C7="Tournament",INDEX('Tournament Log'!$B:$B,E7),IF(C7="Guest","Guest: "&amp;INDEX('Guest Log'!$H:$H,Q7),""))</f>
        <v/>
      </c>
      <c r="Q7" t="str">
        <f>IFERROR(MATCH($A7,'Guest Log'!$L$4:$L$203,0)+3,"")</f>
        <v/>
      </c>
    </row>
    <row r="8" spans="1:17" ht="15" customHeight="1" x14ac:dyDescent="0.2">
      <c r="A8" s="12">
        <f>7</f>
        <v>7</v>
      </c>
      <c r="B8" s="30">
        <f>IF(C8="","",IF(C8="Match",INDEX('Match Log'!$A:$A,D8),IF(C8="Tournament",INDEX('Tournament Log'!$A:$A,E8),INDEX('Guest Log'!$A:$A,Q8))))</f>
        <v>46198</v>
      </c>
      <c r="C8" s="12" t="str">
        <f t="shared" si="0"/>
        <v>Tournament</v>
      </c>
      <c r="D8" s="31" t="str">
        <f>IFERROR(MATCH($A8,'Match Log'!$K$3:$K$501,0)+2,"")</f>
        <v/>
      </c>
      <c r="E8" s="31">
        <f>IFERROR(MATCH($A8,'Tournament Log'!$O$4:$O$203,0)+3,"")</f>
        <v>5</v>
      </c>
      <c r="F8" s="12" t="str">
        <f>IF(C8="","",IF(C8="Match",INDEX('Match Log'!$B:$B,D8),IF(C8="Tournament",INDEX('Tournament Log'!$C:$C,E8),INDEX('Guest Log'!$B:$B,Q8))))</f>
        <v>John</v>
      </c>
      <c r="G8" s="12" t="str">
        <f>IF(C8="","",IF(C8="Match",INDEX('Match Log'!$C:$C,D8),IF(C8="Tournament",INDEX('Tournament Log'!$B:$B,E8)&amp;" (Phantom)",INDEX('Guest Log'!$H:$H,Q8)&amp;" (Guest)")))</f>
        <v>Brewhammer GT9 (Phantom)</v>
      </c>
      <c r="H8" s="32">
        <f t="array" ref="H8">IF(C8="","",IFERROR(LOOKUP(2,1/(($F$1:F7=F8)+($G$1:G7=F8)),IF($F$1:F7=F8,$N$1:N7,$O$1:O7)),1000))</f>
        <v>1016</v>
      </c>
      <c r="I8" s="12">
        <f t="array" ref="I8">IF(C8="","",IF(C8="Tournament",INDEX('Tournament Log'!$J:$J,E8),IF(C8="Guest",IF(INDEX('Guest Log'!$I:$I,Q8)="",1000,INDEX('Guest Log'!$I:$I,Q8)),IFERROR(LOOKUP(2,1/(($F$1:F7=G8)+($G$1:G7=G8)),IF($F$1:F7=G8,$N$1:N7,$O$1:O7)),1000))))</f>
        <v>1136</v>
      </c>
      <c r="J8" s="12">
        <f t="shared" si="1"/>
        <v>0.33386057541687791</v>
      </c>
      <c r="K8" s="12">
        <f>IF(C8="","",IF(C8="Match",IF(INDEX('Match Log'!$D:$D,D8)="Win",1,IF(INDEX('Match Log'!$D:$D,D8)="Draw",0.5,0)),IF(C8="Tournament",INDEX('Tournament Log'!$K:$K,E8),IF(INDEX('Guest Log'!$C:$C,Q8)="Win",1,IF(INDEX('Guest Log'!$C:$C,Q8)="Draw",0.5,0)))))</f>
        <v>0.4</v>
      </c>
      <c r="L8" s="12">
        <f>IF(C8="","",IF(C8="Match",32,IF(C8="Tournament",MIN(32*INDEX('Tournament Log'!$D:$D,E8),96),32)))</f>
        <v>96</v>
      </c>
      <c r="M8" s="12">
        <f t="shared" si="2"/>
        <v>6</v>
      </c>
      <c r="N8" s="12">
        <f t="shared" si="3"/>
        <v>1022</v>
      </c>
      <c r="O8" s="12" t="str">
        <f t="shared" si="4"/>
        <v/>
      </c>
      <c r="P8" s="12" t="str">
        <f>IF(C8="Tournament",INDEX('Tournament Log'!$B:$B,E8),IF(C8="Guest","Guest: "&amp;INDEX('Guest Log'!$H:$H,Q8),""))</f>
        <v>Brewhammer GT9</v>
      </c>
      <c r="Q8" t="str">
        <f>IFERROR(MATCH($A8,'Guest Log'!$L$4:$L$203,0)+3,"")</f>
        <v/>
      </c>
    </row>
    <row r="9" spans="1:17" ht="15" customHeight="1" x14ac:dyDescent="0.2">
      <c r="A9" s="12">
        <f>8</f>
        <v>8</v>
      </c>
      <c r="B9" s="30">
        <f>IF(C9="","",IF(C9="Match",INDEX('Match Log'!$A:$A,D9),IF(C9="Tournament",INDEX('Tournament Log'!$A:$A,E9),INDEX('Guest Log'!$A:$A,Q9))))</f>
        <v>46198</v>
      </c>
      <c r="C9" s="12" t="str">
        <f t="shared" si="0"/>
        <v>Tournament</v>
      </c>
      <c r="D9" s="31" t="str">
        <f>IFERROR(MATCH($A9,'Match Log'!$K$3:$K$501,0)+2,"")</f>
        <v/>
      </c>
      <c r="E9" s="31">
        <f>IFERROR(MATCH($A9,'Tournament Log'!$O$4:$O$203,0)+3,"")</f>
        <v>6</v>
      </c>
      <c r="F9" s="12" t="str">
        <f>IF(C9="","",IF(C9="Match",INDEX('Match Log'!$B:$B,D9),IF(C9="Tournament",INDEX('Tournament Log'!$C:$C,E9),INDEX('Guest Log'!$B:$B,Q9))))</f>
        <v>Gav</v>
      </c>
      <c r="G9" s="12" t="str">
        <f>IF(C9="","",IF(C9="Match",INDEX('Match Log'!$C:$C,D9),IF(C9="Tournament",INDEX('Tournament Log'!$B:$B,E9)&amp;" (Phantom)",INDEX('Guest Log'!$H:$H,Q9)&amp;" (Guest)")))</f>
        <v>Brewhammer GT9 (Phantom)</v>
      </c>
      <c r="H9" s="32">
        <f t="array" ref="H9">IF(C9="","",IFERROR(LOOKUP(2,1/(($F$1:F8=F9)+($G$1:G8=F9)),IF($F$1:F8=F9,$N$1:N8,$O$1:O8)),1000))</f>
        <v>1000</v>
      </c>
      <c r="I9" s="12">
        <f t="array" ref="I9">IF(C9="","",IF(C9="Tournament",INDEX('Tournament Log'!$J:$J,E9),IF(C9="Guest",IF(INDEX('Guest Log'!$I:$I,Q9)="",1000,INDEX('Guest Log'!$I:$I,Q9)),IFERROR(LOOKUP(2,1/(($F$1:F8=G9)+($G$1:G8=G9)),IF($F$1:F8=G9,$N$1:N8,$O$1:O8)),1000))))</f>
        <v>1100</v>
      </c>
      <c r="J9" s="12">
        <f t="shared" si="1"/>
        <v>0.35993500019711488</v>
      </c>
      <c r="K9" s="12">
        <f>IF(C9="","",IF(C9="Match",IF(INDEX('Match Log'!$D:$D,D9)="Win",1,IF(INDEX('Match Log'!$D:$D,D9)="Draw",0.5,0)),IF(C9="Tournament",INDEX('Tournament Log'!$K:$K,E9),IF(INDEX('Guest Log'!$C:$C,Q9)="Win",1,IF(INDEX('Guest Log'!$C:$C,Q9)="Draw",0.5,0)))))</f>
        <v>0.6</v>
      </c>
      <c r="L9" s="12">
        <f>IF(C9="","",IF(C9="Match",32,IF(C9="Tournament",MIN(32*INDEX('Tournament Log'!$D:$D,E9),96),32)))</f>
        <v>96</v>
      </c>
      <c r="M9" s="12">
        <f t="shared" si="2"/>
        <v>23</v>
      </c>
      <c r="N9" s="12">
        <f t="shared" si="3"/>
        <v>1023</v>
      </c>
      <c r="O9" s="12" t="str">
        <f t="shared" si="4"/>
        <v/>
      </c>
      <c r="P9" s="12" t="str">
        <f>IF(C9="Tournament",INDEX('Tournament Log'!$B:$B,E9),IF(C9="Guest","Guest: "&amp;INDEX('Guest Log'!$H:$H,Q9),""))</f>
        <v>Brewhammer GT9</v>
      </c>
      <c r="Q9" t="str">
        <f>IFERROR(MATCH($A9,'Guest Log'!$L$4:$L$203,0)+3,"")</f>
        <v/>
      </c>
    </row>
    <row r="10" spans="1:17" ht="15" customHeight="1" x14ac:dyDescent="0.2">
      <c r="A10" s="12">
        <f>9</f>
        <v>9</v>
      </c>
      <c r="B10" s="30">
        <f>IF(C10="","",IF(C10="Match",INDEX('Match Log'!$A:$A,D10),IF(C10="Tournament",INDEX('Tournament Log'!$A:$A,E10),INDEX('Guest Log'!$A:$A,Q10))))</f>
        <v>46200</v>
      </c>
      <c r="C10" s="12" t="str">
        <f t="shared" si="0"/>
        <v>Tournament</v>
      </c>
      <c r="D10" s="31" t="str">
        <f>IFERROR(MATCH($A10,'Match Log'!$K$3:$K$501,0)+2,"")</f>
        <v/>
      </c>
      <c r="E10" s="31">
        <f>IFERROR(MATCH($A10,'Tournament Log'!$O$4:$O$203,0)+3,"")</f>
        <v>4</v>
      </c>
      <c r="F10" s="12" t="str">
        <f>IF(C10="","",IF(C10="Match",INDEX('Match Log'!$B:$B,D10),IF(C10="Tournament",INDEX('Tournament Log'!$C:$C,E10),INDEX('Guest Log'!$B:$B,Q10))))</f>
        <v>Andrew</v>
      </c>
      <c r="G10" s="12" t="str">
        <f>IF(C10="","",IF(C10="Match",INDEX('Match Log'!$C:$C,D10),IF(C10="Tournament",INDEX('Tournament Log'!$B:$B,E10)&amp;" (Phantom)",INDEX('Guest Log'!$H:$H,Q10)&amp;" (Guest)")))</f>
        <v>The Kelpie Cup #8 (Phantom)</v>
      </c>
      <c r="H10" s="32">
        <f t="array" ref="H10">IF(C10="","",IFERROR(LOOKUP(2,1/(($F$1:F9=F10)+($G$1:G9=F10)),IF($F$1:F9=F10,$N$1:N9,$O$1:O9)),1000))</f>
        <v>970</v>
      </c>
      <c r="I10" s="12">
        <f t="array" ref="I10">IF(C10="","",IF(C10="Tournament",INDEX('Tournament Log'!$J:$J,E10),IF(C10="Guest",IF(INDEX('Guest Log'!$I:$I,Q10)="",1000,INDEX('Guest Log'!$I:$I,Q10)),IFERROR(LOOKUP(2,1/(($F$1:F9=G10)+($G$1:G9=G10)),IF($F$1:F9=G10,$N$1:N9,$O$1:O9)),1000))))</f>
        <v>1104</v>
      </c>
      <c r="J10" s="12">
        <f t="shared" si="1"/>
        <v>0.31618368580634137</v>
      </c>
      <c r="K10" s="12">
        <f>IF(C10="","",IF(C10="Match",IF(INDEX('Match Log'!$D:$D,D10)="Win",1,IF(INDEX('Match Log'!$D:$D,D10)="Draw",0.5,0)),IF(C10="Tournament",INDEX('Tournament Log'!$K:$K,E10),IF(INDEX('Guest Log'!$C:$C,Q10)="Win",1,IF(INDEX('Guest Log'!$C:$C,Q10)="Draw",0.5,0)))))</f>
        <v>0.33329999999999999</v>
      </c>
      <c r="L10" s="12">
        <f>IF(C10="","",IF(C10="Match",32,IF(C10="Tournament",MIN(32*INDEX('Tournament Log'!$D:$D,E10),96),32)))</f>
        <v>96</v>
      </c>
      <c r="M10" s="12">
        <f t="shared" si="2"/>
        <v>2</v>
      </c>
      <c r="N10" s="12">
        <f t="shared" si="3"/>
        <v>972</v>
      </c>
      <c r="O10" s="12" t="str">
        <f t="shared" si="4"/>
        <v/>
      </c>
      <c r="P10" s="12" t="str">
        <f>IF(C10="Tournament",INDEX('Tournament Log'!$B:$B,E10),IF(C10="Guest","Guest: "&amp;INDEX('Guest Log'!$H:$H,Q10),""))</f>
        <v>The Kelpie Cup #8</v>
      </c>
      <c r="Q10" t="str">
        <f>IFERROR(MATCH($A10,'Guest Log'!$L$4:$L$203,0)+3,"")</f>
        <v/>
      </c>
    </row>
    <row r="11" spans="1:17" ht="15" customHeight="1" x14ac:dyDescent="0.2">
      <c r="A11" s="12">
        <f>10</f>
        <v>10</v>
      </c>
      <c r="B11" s="33">
        <f>IF(C11="","",IF(C11="Match",INDEX('Match Log'!$A:$A,D11),IF(C11="Tournament",INDEX('Tournament Log'!$A:$A,E11),INDEX('Guest Log'!$A:$A,Q11))))</f>
        <v>46202</v>
      </c>
      <c r="C11" s="12" t="str">
        <f t="shared" si="0"/>
        <v>Match</v>
      </c>
      <c r="D11" s="31">
        <f>IFERROR(MATCH($A11,'Match Log'!$K$3:$K$501,0)+2,"")</f>
        <v>9</v>
      </c>
      <c r="E11" s="31" t="str">
        <f>IFERROR(MATCH($A11,'Tournament Log'!$O$4:$O$203,0)+3,"")</f>
        <v/>
      </c>
      <c r="F11" s="12" t="str">
        <f>IF(C11="","",IF(C11="Match",INDEX('Match Log'!$B:$B,D11),IF(C11="Tournament",INDEX('Tournament Log'!$C:$C,E11),INDEX('Guest Log'!$B:$B,Q11))))</f>
        <v>Gav</v>
      </c>
      <c r="G11" s="12" t="str">
        <f>IF(C11="","",IF(C11="Match",INDEX('Match Log'!$C:$C,D11),IF(C11="Tournament",INDEX('Tournament Log'!$B:$B,E11)&amp;" (Phantom)",INDEX('Guest Log'!$H:$H,Q11)&amp;" (Guest)")))</f>
        <v>Brett</v>
      </c>
      <c r="H11" s="32">
        <f t="array" ref="H11">IF(C11="","",IFERROR(LOOKUP(2,1/(($F$1:F10=F11)+($G$1:G10=F11)),IF($F$1:F10=F11,$N$1:N10,$O$1:O10)),1000))</f>
        <v>1023</v>
      </c>
      <c r="I11" s="12">
        <f t="array" ref="I11">IF(C11="","",IF(C11="Tournament",INDEX('Tournament Log'!$J:$J,E11),IF(C11="Guest",IF(INDEX('Guest Log'!$I:$I,Q11)="",1000,INDEX('Guest Log'!$I:$I,Q11)),IFERROR(LOOKUP(2,1/(($F$1:F10=G11)+($G$1:G10=G11)),IF($F$1:F10=G11,$N$1:N10,$O$1:O10)),1000))))</f>
        <v>983</v>
      </c>
      <c r="J11" s="12">
        <f t="shared" si="1"/>
        <v>0.55731163376229276</v>
      </c>
      <c r="K11" s="12">
        <f>IF(C11="","",IF(C11="Match",IF(INDEX('Match Log'!$D:$D,D11)="Win",1,IF(INDEX('Match Log'!$D:$D,D11)="Draw",0.5,0)),IF(C11="Tournament",INDEX('Tournament Log'!$K:$K,E11),IF(INDEX('Guest Log'!$C:$C,Q11)="Win",1,IF(INDEX('Guest Log'!$C:$C,Q11)="Draw",0.5,0)))))</f>
        <v>1</v>
      </c>
      <c r="L11" s="12">
        <f>IF(C11="","",IF(C11="Match",32,IF(C11="Tournament",MIN(32*INDEX('Tournament Log'!$D:$D,E11),96),32)))</f>
        <v>32</v>
      </c>
      <c r="M11" s="12">
        <f t="shared" si="2"/>
        <v>14</v>
      </c>
      <c r="N11" s="12">
        <f t="shared" si="3"/>
        <v>1037</v>
      </c>
      <c r="O11" s="12">
        <f t="shared" si="4"/>
        <v>969</v>
      </c>
      <c r="P11" s="12" t="str">
        <f>IF(C11="Tournament",INDEX('Tournament Log'!$B:$B,E11),IF(C11="Guest","Guest: "&amp;INDEX('Guest Log'!$H:$H,Q11),""))</f>
        <v/>
      </c>
      <c r="Q11" t="str">
        <f>IFERROR(MATCH($A11,'Guest Log'!$L$4:$L$203,0)+3,"")</f>
        <v/>
      </c>
    </row>
    <row r="12" spans="1:17" ht="15" customHeight="1" x14ac:dyDescent="0.2">
      <c r="A12" s="12">
        <f>11</f>
        <v>11</v>
      </c>
      <c r="B12" s="33">
        <f>IF(C12="","",IF(C12="Match",INDEX('Match Log'!$A:$A,D12),IF(C12="Tournament",INDEX('Tournament Log'!$A:$A,E12),INDEX('Guest Log'!$A:$A,Q12))))</f>
        <v>46203</v>
      </c>
      <c r="C12" s="12" t="str">
        <f t="shared" si="0"/>
        <v>Match</v>
      </c>
      <c r="D12" s="31">
        <f>IFERROR(MATCH($A12,'Match Log'!$K$3:$K$501,0)+2,"")</f>
        <v>10</v>
      </c>
      <c r="E12" s="31" t="str">
        <f>IFERROR(MATCH($A12,'Tournament Log'!$O$4:$O$203,0)+3,"")</f>
        <v/>
      </c>
      <c r="F12" s="12" t="str">
        <f>IF(C12="","",IF(C12="Match",INDEX('Match Log'!$B:$B,D12),IF(C12="Tournament",INDEX('Tournament Log'!$C:$C,E12),INDEX('Guest Log'!$B:$B,Q12))))</f>
        <v>Andrew</v>
      </c>
      <c r="G12" s="12" t="str">
        <f>IF(C12="","",IF(C12="Match",INDEX('Match Log'!$C:$C,D12),IF(C12="Tournament",INDEX('Tournament Log'!$B:$B,E12)&amp;" (Phantom)",INDEX('Guest Log'!$H:$H,Q12)&amp;" (Guest)")))</f>
        <v>Colin</v>
      </c>
      <c r="H12" s="32">
        <f t="array" ref="H12">IF(C12="","",IFERROR(LOOKUP(2,1/(($F$1:F11=F12)+($G$1:G11=F12)),IF($F$1:F11=F12,$N$1:N11,$O$1:O11)),1000))</f>
        <v>972</v>
      </c>
      <c r="I12" s="12">
        <f t="array" ref="I12">IF(C12="","",IF(C12="Tournament",INDEX('Tournament Log'!$J:$J,E12),IF(C12="Guest",IF(INDEX('Guest Log'!$I:$I,Q12)="",1000,INDEX('Guest Log'!$I:$I,Q12)),IFERROR(LOOKUP(2,1/(($F$1:F11=G12)+($G$1:G11=G12)),IF($F$1:F11=G12,$N$1:N11,$O$1:O11)),1000))))</f>
        <v>1015</v>
      </c>
      <c r="J12" s="12">
        <f t="shared" si="1"/>
        <v>0.43843206102635396</v>
      </c>
      <c r="K12" s="12">
        <f>IF(C12="","",IF(C12="Match",IF(INDEX('Match Log'!$D:$D,D12)="Win",1,IF(INDEX('Match Log'!$D:$D,D12)="Draw",0.5,0)),IF(C12="Tournament",INDEX('Tournament Log'!$K:$K,E12),IF(INDEX('Guest Log'!$C:$C,Q12)="Win",1,IF(INDEX('Guest Log'!$C:$C,Q12)="Draw",0.5,0)))))</f>
        <v>0</v>
      </c>
      <c r="L12" s="12">
        <f>IF(C12="","",IF(C12="Match",32,IF(C12="Tournament",MIN(32*INDEX('Tournament Log'!$D:$D,E12),96),32)))</f>
        <v>32</v>
      </c>
      <c r="M12" s="12">
        <f t="shared" si="2"/>
        <v>-14</v>
      </c>
      <c r="N12" s="12">
        <f t="shared" si="3"/>
        <v>958</v>
      </c>
      <c r="O12" s="12">
        <f t="shared" si="4"/>
        <v>1029</v>
      </c>
      <c r="P12" s="12" t="str">
        <f>IF(C12="Tournament",INDEX('Tournament Log'!$B:$B,E12),IF(C12="Guest","Guest: "&amp;INDEX('Guest Log'!$H:$H,Q12),""))</f>
        <v/>
      </c>
      <c r="Q12" t="str">
        <f>IFERROR(MATCH($A12,'Guest Log'!$L$4:$L$203,0)+3,"")</f>
        <v/>
      </c>
    </row>
    <row r="13" spans="1:17" ht="15" customHeight="1" x14ac:dyDescent="0.2">
      <c r="A13" s="12">
        <f>12</f>
        <v>12</v>
      </c>
      <c r="B13" s="33">
        <f>IF(C13="","",IF(C13="Match",INDEX('Match Log'!$A:$A,D13),IF(C13="Tournament",INDEX('Tournament Log'!$A:$A,E13),INDEX('Guest Log'!$A:$A,Q13))))</f>
        <v>46204</v>
      </c>
      <c r="C13" s="12" t="str">
        <f t="shared" si="0"/>
        <v>Match</v>
      </c>
      <c r="D13" s="31">
        <f>IFERROR(MATCH($A13,'Match Log'!$K$3:$K$501,0)+2,"")</f>
        <v>11</v>
      </c>
      <c r="E13" s="31" t="str">
        <f>IFERROR(MATCH($A13,'Tournament Log'!$O$4:$O$203,0)+3,"")</f>
        <v/>
      </c>
      <c r="F13" s="12" t="str">
        <f>IF(C13="","",IF(C13="Match",INDEX('Match Log'!$B:$B,D13),IF(C13="Tournament",INDEX('Tournament Log'!$C:$C,E13),INDEX('Guest Log'!$B:$B,Q13))))</f>
        <v>John</v>
      </c>
      <c r="G13" s="12" t="str">
        <f>IF(C13="","",IF(C13="Match",INDEX('Match Log'!$C:$C,D13),IF(C13="Tournament",INDEX('Tournament Log'!$B:$B,E13)&amp;" (Phantom)",INDEX('Guest Log'!$H:$H,Q13)&amp;" (Guest)")))</f>
        <v>Colin</v>
      </c>
      <c r="H13" s="32">
        <f t="array" ref="H13">IF(C13="","",IFERROR(LOOKUP(2,1/(($F$1:F12=F13)+($G$1:G12=F13)),IF($F$1:F12=F13,$N$1:N12,$O$1:O12)),1000))</f>
        <v>1022</v>
      </c>
      <c r="I13" s="12">
        <f t="array" ref="I13">IF(C13="","",IF(C13="Tournament",INDEX('Tournament Log'!$J:$J,E13),IF(C13="Guest",IF(INDEX('Guest Log'!$I:$I,Q13)="",1000,INDEX('Guest Log'!$I:$I,Q13)),IFERROR(LOOKUP(2,1/(($F$1:F12=G13)+($G$1:G12=G13)),IF($F$1:F12=G13,$N$1:N12,$O$1:O12)),1000))))</f>
        <v>1029</v>
      </c>
      <c r="J13" s="12">
        <f t="shared" si="1"/>
        <v>0.48992755307256153</v>
      </c>
      <c r="K13" s="12">
        <f>IF(C13="","",IF(C13="Match",IF(INDEX('Match Log'!$D:$D,D13)="Win",1,IF(INDEX('Match Log'!$D:$D,D13)="Draw",0.5,0)),IF(C13="Tournament",INDEX('Tournament Log'!$K:$K,E13),IF(INDEX('Guest Log'!$C:$C,Q13)="Win",1,IF(INDEX('Guest Log'!$C:$C,Q13)="Draw",0.5,0)))))</f>
        <v>1</v>
      </c>
      <c r="L13" s="12">
        <f>IF(C13="","",IF(C13="Match",32,IF(C13="Tournament",MIN(32*INDEX('Tournament Log'!$D:$D,E13),96),32)))</f>
        <v>32</v>
      </c>
      <c r="M13" s="12">
        <f t="shared" si="2"/>
        <v>16</v>
      </c>
      <c r="N13" s="12">
        <f t="shared" si="3"/>
        <v>1038</v>
      </c>
      <c r="O13" s="12">
        <f t="shared" si="4"/>
        <v>1013</v>
      </c>
      <c r="P13" s="12" t="str">
        <f>IF(C13="Tournament",INDEX('Tournament Log'!$B:$B,E13),IF(C13="Guest","Guest: "&amp;INDEX('Guest Log'!$H:$H,Q13),""))</f>
        <v/>
      </c>
      <c r="Q13" t="str">
        <f>IFERROR(MATCH($A13,'Guest Log'!$L$4:$L$203,0)+3,"")</f>
        <v/>
      </c>
    </row>
    <row r="14" spans="1:17" ht="15" customHeight="1" x14ac:dyDescent="0.2">
      <c r="A14" s="12">
        <f>13</f>
        <v>13</v>
      </c>
      <c r="B14" s="33">
        <f>IF(C14="","",IF(C14="Match",INDEX('Match Log'!$A:$A,D14),IF(C14="Tournament",INDEX('Tournament Log'!$A:$A,E14),INDEX('Guest Log'!$A:$A,Q14))))</f>
        <v>46205</v>
      </c>
      <c r="C14" s="12" t="str">
        <f t="shared" si="0"/>
        <v>Match</v>
      </c>
      <c r="D14" s="31">
        <f>IFERROR(MATCH($A14,'Match Log'!$K$3:$K$501,0)+2,"")</f>
        <v>12</v>
      </c>
      <c r="E14" s="31" t="str">
        <f>IFERROR(MATCH($A14,'Tournament Log'!$O$4:$O$203,0)+3,"")</f>
        <v/>
      </c>
      <c r="F14" s="12" t="str">
        <f>IF(C14="","",IF(C14="Match",INDEX('Match Log'!$B:$B,D14),IF(C14="Tournament",INDEX('Tournament Log'!$C:$C,E14),INDEX('Guest Log'!$B:$B,Q14))))</f>
        <v>Andrew</v>
      </c>
      <c r="G14" s="12" t="str">
        <f>IF(C14="","",IF(C14="Match",INDEX('Match Log'!$C:$C,D14),IF(C14="Tournament",INDEX('Tournament Log'!$B:$B,E14)&amp;" (Phantom)",INDEX('Guest Log'!$H:$H,Q14)&amp;" (Guest)")))</f>
        <v>Brett</v>
      </c>
      <c r="H14" s="32">
        <f t="array" ref="H14">IF(C14="","",IFERROR(LOOKUP(2,1/(($F$1:F13=F14)+($G$1:G13=F14)),IF($F$1:F13=F14,$N$1:N13,$O$1:O13)),1000))</f>
        <v>958</v>
      </c>
      <c r="I14" s="12">
        <f t="array" ref="I14">IF(C14="","",IF(C14="Tournament",INDEX('Tournament Log'!$J:$J,E14),IF(C14="Guest",IF(INDEX('Guest Log'!$I:$I,Q14)="",1000,INDEX('Guest Log'!$I:$I,Q14)),IFERROR(LOOKUP(2,1/(($F$1:F13=G14)+($G$1:G13=G14)),IF($F$1:F13=G14,$N$1:N13,$O$1:O13)),1000))))</f>
        <v>969</v>
      </c>
      <c r="J14" s="12">
        <f t="shared" si="1"/>
        <v>0.48417501473526492</v>
      </c>
      <c r="K14" s="12">
        <f>IF(C14="","",IF(C14="Match",IF(INDEX('Match Log'!$D:$D,D14)="Win",1,IF(INDEX('Match Log'!$D:$D,D14)="Draw",0.5,0)),IF(C14="Tournament",INDEX('Tournament Log'!$K:$K,E14),IF(INDEX('Guest Log'!$C:$C,Q14)="Win",1,IF(INDEX('Guest Log'!$C:$C,Q14)="Draw",0.5,0)))))</f>
        <v>1</v>
      </c>
      <c r="L14" s="12">
        <f>IF(C14="","",IF(C14="Match",32,IF(C14="Tournament",MIN(32*INDEX('Tournament Log'!$D:$D,E14),96),32)))</f>
        <v>32</v>
      </c>
      <c r="M14" s="12">
        <f t="shared" si="2"/>
        <v>17</v>
      </c>
      <c r="N14" s="12">
        <f t="shared" si="3"/>
        <v>975</v>
      </c>
      <c r="O14" s="12">
        <f t="shared" si="4"/>
        <v>952</v>
      </c>
      <c r="P14" s="12" t="str">
        <f>IF(C14="Tournament",INDEX('Tournament Log'!$B:$B,E14),IF(C14="Guest","Guest: "&amp;INDEX('Guest Log'!$H:$H,Q14),""))</f>
        <v/>
      </c>
      <c r="Q14" t="str">
        <f>IFERROR(MATCH($A14,'Guest Log'!$L$4:$L$203,0)+3,"")</f>
        <v/>
      </c>
    </row>
    <row r="15" spans="1:17" ht="15" customHeight="1" x14ac:dyDescent="0.2">
      <c r="A15" s="12">
        <f>14</f>
        <v>14</v>
      </c>
      <c r="B15" s="33">
        <f>IF(C15="","",IF(C15="Match",INDEX('Match Log'!$A:$A,D15),IF(C15="Tournament",INDEX('Tournament Log'!$A:$A,E15),INDEX('Guest Log'!$A:$A,Q15))))</f>
        <v>46209</v>
      </c>
      <c r="C15" s="12" t="str">
        <f t="shared" si="0"/>
        <v>Match</v>
      </c>
      <c r="D15" s="31">
        <f>IFERROR(MATCH($A15,'Match Log'!$K$3:$K$501,0)+2,"")</f>
        <v>13</v>
      </c>
      <c r="E15" s="31" t="str">
        <f>IFERROR(MATCH($A15,'Tournament Log'!$O$4:$O$203,0)+3,"")</f>
        <v/>
      </c>
      <c r="F15" s="12" t="str">
        <f>IF(C15="","",IF(C15="Match",INDEX('Match Log'!$B:$B,D15),IF(C15="Tournament",INDEX('Tournament Log'!$C:$C,E15),INDEX('Guest Log'!$B:$B,Q15))))</f>
        <v>Colin</v>
      </c>
      <c r="G15" s="12" t="str">
        <f>IF(C15="","",IF(C15="Match",INDEX('Match Log'!$C:$C,D15),IF(C15="Tournament",INDEX('Tournament Log'!$B:$B,E15)&amp;" (Phantom)",INDEX('Guest Log'!$H:$H,Q15)&amp;" (Guest)")))</f>
        <v>Miles</v>
      </c>
      <c r="H15" s="32">
        <f t="array" ref="H15">IF(C15="","",IFERROR(LOOKUP(2,1/(($F$1:F14=F15)+($G$1:G14=F15)),IF($F$1:F14=F15,$N$1:N14,$O$1:O14)),1000))</f>
        <v>1013</v>
      </c>
      <c r="I15" s="12">
        <f t="array" ref="I15">IF(C15="","",IF(C15="Tournament",INDEX('Tournament Log'!$J:$J,E15),IF(C15="Guest",IF(INDEX('Guest Log'!$I:$I,Q15)="",1000,INDEX('Guest Log'!$I:$I,Q15)),IFERROR(LOOKUP(2,1/(($F$1:F14=G15)+($G$1:G14=G15)),IF($F$1:F14=G15,$N$1:N14,$O$1:O14)),1000))))</f>
        <v>1016</v>
      </c>
      <c r="J15" s="12">
        <f t="shared" si="1"/>
        <v>0.49568276024494023</v>
      </c>
      <c r="K15" s="12">
        <f>IF(C15="","",IF(C15="Match",IF(INDEX('Match Log'!$D:$D,D15)="Win",1,IF(INDEX('Match Log'!$D:$D,D15)="Draw",0.5,0)),IF(C15="Tournament",INDEX('Tournament Log'!$K:$K,E15),IF(INDEX('Guest Log'!$C:$C,Q15)="Win",1,IF(INDEX('Guest Log'!$C:$C,Q15)="Draw",0.5,0)))))</f>
        <v>0</v>
      </c>
      <c r="L15" s="12">
        <f>IF(C15="","",IF(C15="Match",32,IF(C15="Tournament",MIN(32*INDEX('Tournament Log'!$D:$D,E15),96),32)))</f>
        <v>32</v>
      </c>
      <c r="M15" s="12">
        <f t="shared" si="2"/>
        <v>-16</v>
      </c>
      <c r="N15" s="12">
        <f t="shared" si="3"/>
        <v>997</v>
      </c>
      <c r="O15" s="12">
        <f t="shared" si="4"/>
        <v>1032</v>
      </c>
      <c r="P15" s="12" t="str">
        <f>IF(C15="Tournament",INDEX('Tournament Log'!$B:$B,E15),IF(C15="Guest","Guest: "&amp;INDEX('Guest Log'!$H:$H,Q15),""))</f>
        <v/>
      </c>
      <c r="Q15" t="str">
        <f>IFERROR(MATCH($A15,'Guest Log'!$L$4:$L$203,0)+3,"")</f>
        <v/>
      </c>
    </row>
    <row r="16" spans="1:17" ht="15" customHeight="1" x14ac:dyDescent="0.2">
      <c r="A16" s="12">
        <f>15</f>
        <v>15</v>
      </c>
      <c r="B16" s="30">
        <f>IF(C16="","",IF(C16="Match",INDEX('Match Log'!$A:$A,D16),IF(C16="Tournament",INDEX('Tournament Log'!$A:$A,E16),INDEX('Guest Log'!$A:$A,Q16))))</f>
        <v>46210</v>
      </c>
      <c r="C16" s="12" t="str">
        <f t="shared" si="0"/>
        <v>Match</v>
      </c>
      <c r="D16" s="31">
        <f>IFERROR(MATCH($A16,'Match Log'!$K$3:$K$501,0)+2,"")</f>
        <v>14</v>
      </c>
      <c r="E16" s="31" t="str">
        <f>IFERROR(MATCH($A16,'Tournament Log'!$O$4:$O$203,0)+3,"")</f>
        <v/>
      </c>
      <c r="F16" s="12" t="str">
        <f>IF(C16="","",IF(C16="Match",INDEX('Match Log'!$B:$B,D16),IF(C16="Tournament",INDEX('Tournament Log'!$C:$C,E16),INDEX('Guest Log'!$B:$B,Q16))))</f>
        <v>Andrew</v>
      </c>
      <c r="G16" s="12" t="str">
        <f>IF(C16="","",IF(C16="Match",INDEX('Match Log'!$C:$C,D16),IF(C16="Tournament",INDEX('Tournament Log'!$B:$B,E16)&amp;" (Phantom)",INDEX('Guest Log'!$H:$H,Q16)&amp;" (Guest)")))</f>
        <v>Colin</v>
      </c>
      <c r="H16" s="32">
        <f t="array" ref="H16">IF(C16="","",IFERROR(LOOKUP(2,1/(($F$1:F15=F16)+($G$1:G15=F16)),IF($F$1:F15=F16,$N$1:N15,$O$1:O15)),1000))</f>
        <v>975</v>
      </c>
      <c r="I16" s="12">
        <f t="array" ref="I16">IF(C16="","",IF(C16="Tournament",INDEX('Tournament Log'!$J:$J,E16),IF(C16="Guest",IF(INDEX('Guest Log'!$I:$I,Q16)="",1000,INDEX('Guest Log'!$I:$I,Q16)),IFERROR(LOOKUP(2,1/(($F$1:F15=G16)+($G$1:G15=G16)),IF($F$1:F15=G16,$N$1:N15,$O$1:O15)),1000))))</f>
        <v>997</v>
      </c>
      <c r="J16" s="12">
        <f t="shared" si="1"/>
        <v>0.46838170217189273</v>
      </c>
      <c r="K16" s="12">
        <f>IF(C16="","",IF(C16="Match",IF(INDEX('Match Log'!$D:$D,D16)="Win",1,IF(INDEX('Match Log'!$D:$D,D16)="Draw",0.5,0)),IF(C16="Tournament",INDEX('Tournament Log'!$K:$K,E16),IF(INDEX('Guest Log'!$C:$C,Q16)="Win",1,IF(INDEX('Guest Log'!$C:$C,Q16)="Draw",0.5,0)))))</f>
        <v>0</v>
      </c>
      <c r="L16" s="12">
        <f>IF(C16="","",IF(C16="Match",32,IF(C16="Tournament",MIN(32*INDEX('Tournament Log'!$D:$D,E16),96),32)))</f>
        <v>32</v>
      </c>
      <c r="M16" s="12">
        <f t="shared" si="2"/>
        <v>-15</v>
      </c>
      <c r="N16" s="12">
        <f t="shared" si="3"/>
        <v>960</v>
      </c>
      <c r="O16" s="12">
        <f t="shared" si="4"/>
        <v>1012</v>
      </c>
      <c r="P16" s="12" t="str">
        <f>IF(C16="Tournament",INDEX('Tournament Log'!$B:$B,E16),IF(C16="Guest","Guest: "&amp;INDEX('Guest Log'!$H:$H,Q16),""))</f>
        <v/>
      </c>
      <c r="Q16" t="str">
        <f>IFERROR(MATCH($A16,'Guest Log'!$L$4:$L$203,0)+3,"")</f>
        <v/>
      </c>
    </row>
    <row r="17" spans="1:17" ht="15" customHeight="1" x14ac:dyDescent="0.2">
      <c r="A17" s="12">
        <f>16</f>
        <v>16</v>
      </c>
      <c r="B17" s="33">
        <f>IF(C17="","",IF(C17="Match",INDEX('Match Log'!$A:$A,D17),IF(C17="Tournament",INDEX('Tournament Log'!$A:$A,E17),INDEX('Guest Log'!$A:$A,Q17))))</f>
        <v>46212</v>
      </c>
      <c r="C17" s="12" t="str">
        <f t="shared" si="0"/>
        <v>Match</v>
      </c>
      <c r="D17" s="31">
        <f>IFERROR(MATCH($A17,'Match Log'!$K$3:$K$501,0)+2,"")</f>
        <v>15</v>
      </c>
      <c r="E17" s="31" t="str">
        <f>IFERROR(MATCH($A17,'Tournament Log'!$O$4:$O$203,0)+3,"")</f>
        <v/>
      </c>
      <c r="F17" s="12" t="str">
        <f>IF(C17="","",IF(C17="Match",INDEX('Match Log'!$B:$B,D17),IF(C17="Tournament",INDEX('Tournament Log'!$C:$C,E17),INDEX('Guest Log'!$B:$B,Q17))))</f>
        <v>John</v>
      </c>
      <c r="G17" s="12" t="str">
        <f>IF(C17="","",IF(C17="Match",INDEX('Match Log'!$C:$C,D17),IF(C17="Tournament",INDEX('Tournament Log'!$B:$B,E17)&amp;" (Phantom)",INDEX('Guest Log'!$H:$H,Q17)&amp;" (Guest)")))</f>
        <v xml:space="preserve">Andrew </v>
      </c>
      <c r="H17" s="32">
        <f t="array" ref="H17">IF(C17="","",IFERROR(LOOKUP(2,1/(($F$1:F16=F17)+($G$1:G16=F17)),IF($F$1:F16=F17,$N$1:N16,$O$1:O16)),1000))</f>
        <v>1038</v>
      </c>
      <c r="I17" s="12">
        <f t="array" ref="I17">IF(C17="","",IF(C17="Tournament",INDEX('Tournament Log'!$J:$J,E17),IF(C17="Guest",IF(INDEX('Guest Log'!$I:$I,Q17)="",1000,INDEX('Guest Log'!$I:$I,Q17)),IFERROR(LOOKUP(2,1/(($F$1:F16=G17)+($G$1:G16=G17)),IF($F$1:F16=G17,$N$1:N16,$O$1:O16)),1000))))</f>
        <v>1000</v>
      </c>
      <c r="J17" s="12">
        <f t="shared" si="1"/>
        <v>0.55446937402167606</v>
      </c>
      <c r="K17" s="12">
        <f>IF(C17="","",IF(C17="Match",IF(INDEX('Match Log'!$D:$D,D17)="Win",1,IF(INDEX('Match Log'!$D:$D,D17)="Draw",0.5,0)),IF(C17="Tournament",INDEX('Tournament Log'!$K:$K,E17),IF(INDEX('Guest Log'!$C:$C,Q17)="Win",1,IF(INDEX('Guest Log'!$C:$C,Q17)="Draw",0.5,0)))))</f>
        <v>1</v>
      </c>
      <c r="L17" s="12">
        <f>IF(C17="","",IF(C17="Match",32,IF(C17="Tournament",MIN(32*INDEX('Tournament Log'!$D:$D,E17),96),32)))</f>
        <v>32</v>
      </c>
      <c r="M17" s="12">
        <f t="shared" si="2"/>
        <v>14</v>
      </c>
      <c r="N17" s="12">
        <f t="shared" si="3"/>
        <v>1052</v>
      </c>
      <c r="O17" s="12">
        <f t="shared" si="4"/>
        <v>986</v>
      </c>
      <c r="P17" s="12" t="str">
        <f>IF(C17="Tournament",INDEX('Tournament Log'!$B:$B,E17),IF(C17="Guest","Guest: "&amp;INDEX('Guest Log'!$H:$H,Q17),""))</f>
        <v/>
      </c>
      <c r="Q17" t="str">
        <f>IFERROR(MATCH($A17,'Guest Log'!$L$4:$L$203,0)+3,"")</f>
        <v/>
      </c>
    </row>
    <row r="18" spans="1:17" ht="15" customHeight="1" x14ac:dyDescent="0.2">
      <c r="A18" s="12">
        <f>17</f>
        <v>17</v>
      </c>
      <c r="B18" s="33">
        <f>IF(C18="","",IF(C18="Match",INDEX('Match Log'!$A:$A,D18),IF(C18="Tournament",INDEX('Tournament Log'!$A:$A,E18),INDEX('Guest Log'!$A:$A,Q18))))</f>
        <v>46221</v>
      </c>
      <c r="C18" s="12" t="str">
        <f t="shared" si="0"/>
        <v>Match</v>
      </c>
      <c r="D18" s="31">
        <f>IFERROR(MATCH($A18,'Match Log'!$K$3:$K$501,0)+2,"")</f>
        <v>16</v>
      </c>
      <c r="E18" s="31" t="str">
        <f>IFERROR(MATCH($A18,'Tournament Log'!$O$4:$O$203,0)+3,"")</f>
        <v/>
      </c>
      <c r="F18" s="12" t="str">
        <f>IF(C18="","",IF(C18="Match",INDEX('Match Log'!$B:$B,D18),IF(C18="Tournament",INDEX('Tournament Log'!$C:$C,E18),INDEX('Guest Log'!$B:$B,Q18))))</f>
        <v>Allan</v>
      </c>
      <c r="G18" s="12" t="str">
        <f>IF(C18="","",IF(C18="Match",INDEX('Match Log'!$C:$C,D18),IF(C18="Tournament",INDEX('Tournament Log'!$B:$B,E18)&amp;" (Phantom)",INDEX('Guest Log'!$H:$H,Q18)&amp;" (Guest)")))</f>
        <v>Colin</v>
      </c>
      <c r="H18" s="32">
        <f t="array" ref="H18">IF(C18="","",IFERROR(LOOKUP(2,1/(($F$1:F17=F18)+($G$1:G17=F18)),IF($F$1:F17=F18,$N$1:N17,$O$1:O17)),1000))</f>
        <v>1000</v>
      </c>
      <c r="I18" s="12">
        <f t="array" ref="I18">IF(C18="","",IF(C18="Tournament",INDEX('Tournament Log'!$J:$J,E18),IF(C18="Guest",IF(INDEX('Guest Log'!$I:$I,Q18)="",1000,INDEX('Guest Log'!$I:$I,Q18)),IFERROR(LOOKUP(2,1/(($F$1:F17=G18)+($G$1:G17=G18)),IF($F$1:F17=G18,$N$1:N17,$O$1:O17)),1000))))</f>
        <v>1012</v>
      </c>
      <c r="J18" s="12">
        <f t="shared" si="1"/>
        <v>0.48273747556762381</v>
      </c>
      <c r="K18" s="12">
        <f>IF(C18="","",IF(C18="Match",IF(INDEX('Match Log'!$D:$D,D18)="Win",1,IF(INDEX('Match Log'!$D:$D,D18)="Draw",0.5,0)),IF(C18="Tournament",INDEX('Tournament Log'!$K:$K,E18),IF(INDEX('Guest Log'!$C:$C,Q18)="Win",1,IF(INDEX('Guest Log'!$C:$C,Q18)="Draw",0.5,0)))))</f>
        <v>1</v>
      </c>
      <c r="L18" s="12">
        <f>IF(C18="","",IF(C18="Match",32,IF(C18="Tournament",MIN(32*INDEX('Tournament Log'!$D:$D,E18),96),32)))</f>
        <v>32</v>
      </c>
      <c r="M18" s="12">
        <f t="shared" si="2"/>
        <v>17</v>
      </c>
      <c r="N18" s="12">
        <f t="shared" si="3"/>
        <v>1017</v>
      </c>
      <c r="O18" s="12">
        <f t="shared" si="4"/>
        <v>995</v>
      </c>
      <c r="P18" s="12" t="str">
        <f>IF(C18="Tournament",INDEX('Tournament Log'!$B:$B,E18),IF(C18="Guest","Guest: "&amp;INDEX('Guest Log'!$H:$H,Q18),""))</f>
        <v/>
      </c>
      <c r="Q18" t="str">
        <f>IFERROR(MATCH($A18,'Guest Log'!$L$4:$L$203,0)+3,"")</f>
        <v/>
      </c>
    </row>
    <row r="19" spans="1:17" ht="15" customHeight="1" x14ac:dyDescent="0.2">
      <c r="A19" s="12">
        <f>18</f>
        <v>18</v>
      </c>
      <c r="B19" s="33">
        <f>IF(C19="","",IF(C19="Match",INDEX('Match Log'!$A:$A,D19),IF(C19="Tournament",INDEX('Tournament Log'!$A:$A,E19),INDEX('Guest Log'!$A:$A,Q19))))</f>
        <v>46223</v>
      </c>
      <c r="C19" s="12" t="str">
        <f t="shared" si="0"/>
        <v>Match</v>
      </c>
      <c r="D19" s="31">
        <f>IFERROR(MATCH($A19,'Match Log'!$K$3:$K$501,0)+2,"")</f>
        <v>17</v>
      </c>
      <c r="E19" s="31" t="str">
        <f>IFERROR(MATCH($A19,'Tournament Log'!$O$4:$O$203,0)+3,"")</f>
        <v/>
      </c>
      <c r="F19" s="12" t="str">
        <f>IF(C19="","",IF(C19="Match",INDEX('Match Log'!$B:$B,D19),IF(C19="Tournament",INDEX('Tournament Log'!$C:$C,E19),INDEX('Guest Log'!$B:$B,Q19))))</f>
        <v>Brett</v>
      </c>
      <c r="G19" s="12" t="str">
        <f>IF(C19="","",IF(C19="Match",INDEX('Match Log'!$C:$C,D19),IF(C19="Tournament",INDEX('Tournament Log'!$B:$B,E19)&amp;" (Phantom)",INDEX('Guest Log'!$H:$H,Q19)&amp;" (Guest)")))</f>
        <v>Colin</v>
      </c>
      <c r="H19" s="32">
        <f t="array" ref="H19">IF(C19="","",IFERROR(LOOKUP(2,1/(($F$1:F18=F19)+($G$1:G18=F19)),IF($F$1:F18=F19,$N$1:N18,$O$1:O18)),1000))</f>
        <v>952</v>
      </c>
      <c r="I19" s="12">
        <f t="array" ref="I19">IF(C19="","",IF(C19="Tournament",INDEX('Tournament Log'!$J:$J,E19),IF(C19="Guest",IF(INDEX('Guest Log'!$I:$I,Q19)="",1000,INDEX('Guest Log'!$I:$I,Q19)),IFERROR(LOOKUP(2,1/(($F$1:F18=G19)+($G$1:G18=G19)),IF($F$1:F18=G19,$N$1:N18,$O$1:O18)),1000))))</f>
        <v>995</v>
      </c>
      <c r="J19" s="12">
        <f t="shared" si="1"/>
        <v>0.43843206102635396</v>
      </c>
      <c r="K19" s="12">
        <f>IF(C19="","",IF(C19="Match",IF(INDEX('Match Log'!$D:$D,D19)="Win",1,IF(INDEX('Match Log'!$D:$D,D19)="Draw",0.5,0)),IF(C19="Tournament",INDEX('Tournament Log'!$K:$K,E19),IF(INDEX('Guest Log'!$C:$C,Q19)="Win",1,IF(INDEX('Guest Log'!$C:$C,Q19)="Draw",0.5,0)))))</f>
        <v>1</v>
      </c>
      <c r="L19" s="12">
        <f>IF(C19="","",IF(C19="Match",32,IF(C19="Tournament",MIN(32*INDEX('Tournament Log'!$D:$D,E19),96),32)))</f>
        <v>32</v>
      </c>
      <c r="M19" s="12">
        <f t="shared" si="2"/>
        <v>18</v>
      </c>
      <c r="N19" s="12">
        <f t="shared" si="3"/>
        <v>970</v>
      </c>
      <c r="O19" s="12">
        <f t="shared" si="4"/>
        <v>977</v>
      </c>
      <c r="P19" s="12" t="str">
        <f>IF(C19="Tournament",INDEX('Tournament Log'!$B:$B,E19),IF(C19="Guest","Guest: "&amp;INDEX('Guest Log'!$H:$H,Q19),""))</f>
        <v/>
      </c>
      <c r="Q19" t="str">
        <f>IFERROR(MATCH($A19,'Guest Log'!$L$4:$L$203,0)+3,"")</f>
        <v/>
      </c>
    </row>
    <row r="20" spans="1:17" ht="15" customHeight="1" x14ac:dyDescent="0.2">
      <c r="A20" s="12">
        <f>19</f>
        <v>19</v>
      </c>
      <c r="B20" s="33">
        <f>IF(C20="","",IF(C20="Match",INDEX('Match Log'!$A:$A,D20),IF(C20="Tournament",INDEX('Tournament Log'!$A:$A,E20),INDEX('Guest Log'!$A:$A,Q20))))</f>
        <v>46224</v>
      </c>
      <c r="C20" s="12" t="str">
        <f t="shared" si="0"/>
        <v>Match</v>
      </c>
      <c r="D20" s="31">
        <f>IFERROR(MATCH($A20,'Match Log'!$K$3:$K$501,0)+2,"")</f>
        <v>18</v>
      </c>
      <c r="E20" s="31" t="str">
        <f>IFERROR(MATCH($A20,'Tournament Log'!$O$4:$O$203,0)+3,"")</f>
        <v/>
      </c>
      <c r="F20" s="12" t="str">
        <f>IF(C20="","",IF(C20="Match",INDEX('Match Log'!$B:$B,D20),IF(C20="Tournament",INDEX('Tournament Log'!$C:$C,E20),INDEX('Guest Log'!$B:$B,Q20))))</f>
        <v>Andrew</v>
      </c>
      <c r="G20" s="12" t="str">
        <f>IF(C20="","",IF(C20="Match",INDEX('Match Log'!$C:$C,D20),IF(C20="Tournament",INDEX('Tournament Log'!$B:$B,E20)&amp;" (Phantom)",INDEX('Guest Log'!$H:$H,Q20)&amp;" (Guest)")))</f>
        <v>Colin</v>
      </c>
      <c r="H20" s="32">
        <f t="array" ref="H20">IF(C20="","",IFERROR(LOOKUP(2,1/(($F$1:F19=F20)+($G$1:G19=F20)),IF($F$1:F19=F20,$N$1:N19,$O$1:O19)),1000))</f>
        <v>960</v>
      </c>
      <c r="I20" s="12">
        <f t="array" ref="I20">IF(C20="","",IF(C20="Tournament",INDEX('Tournament Log'!$J:$J,E20),IF(C20="Guest",IF(INDEX('Guest Log'!$I:$I,Q20)="",1000,INDEX('Guest Log'!$I:$I,Q20)),IFERROR(LOOKUP(2,1/(($F$1:F19=G20)+($G$1:G19=G20)),IF($F$1:F19=G20,$N$1:N19,$O$1:O19)),1000))))</f>
        <v>977</v>
      </c>
      <c r="J20" s="12">
        <f t="shared" si="1"/>
        <v>0.47555453887933863</v>
      </c>
      <c r="K20" s="12">
        <f>IF(C20="","",IF(C20="Match",IF(INDEX('Match Log'!$D:$D,D20)="Win",1,IF(INDEX('Match Log'!$D:$D,D20)="Draw",0.5,0)),IF(C20="Tournament",INDEX('Tournament Log'!$K:$K,E20),IF(INDEX('Guest Log'!$C:$C,Q20)="Win",1,IF(INDEX('Guest Log'!$C:$C,Q20)="Draw",0.5,0)))))</f>
        <v>1</v>
      </c>
      <c r="L20" s="12">
        <f>IF(C20="","",IF(C20="Match",32,IF(C20="Tournament",MIN(32*INDEX('Tournament Log'!$D:$D,E20),96),32)))</f>
        <v>32</v>
      </c>
      <c r="M20" s="12">
        <f t="shared" si="2"/>
        <v>17</v>
      </c>
      <c r="N20" s="12">
        <f t="shared" si="3"/>
        <v>977</v>
      </c>
      <c r="O20" s="12">
        <f t="shared" si="4"/>
        <v>960</v>
      </c>
      <c r="P20" s="12" t="str">
        <f>IF(C20="Tournament",INDEX('Tournament Log'!$B:$B,E20),IF(C20="Guest","Guest: "&amp;INDEX('Guest Log'!$H:$H,Q20),""))</f>
        <v/>
      </c>
      <c r="Q20" t="str">
        <f>IFERROR(MATCH($A20,'Guest Log'!$L$4:$L$203,0)+3,"")</f>
        <v/>
      </c>
    </row>
    <row r="21" spans="1:17" ht="15" customHeight="1" x14ac:dyDescent="0.2">
      <c r="A21" s="12">
        <f>20</f>
        <v>20</v>
      </c>
      <c r="B21" s="33">
        <f>IF(C21="","",IF(C21="Match",INDEX('Match Log'!$A:$A,D21),IF(C21="Tournament",INDEX('Tournament Log'!$A:$A,E21),INDEX('Guest Log'!$A:$A,Q21))))</f>
        <v>46225</v>
      </c>
      <c r="C21" s="12" t="str">
        <f t="shared" si="0"/>
        <v>Match</v>
      </c>
      <c r="D21" s="31">
        <f>IFERROR(MATCH($A21,'Match Log'!$K$3:$K$501,0)+2,"")</f>
        <v>19</v>
      </c>
      <c r="E21" s="31" t="str">
        <f>IFERROR(MATCH($A21,'Tournament Log'!$O$4:$O$203,0)+3,"")</f>
        <v/>
      </c>
      <c r="F21" s="12" t="str">
        <f>IF(C21="","",IF(C21="Match",INDEX('Match Log'!$B:$B,D21),IF(C21="Tournament",INDEX('Tournament Log'!$C:$C,E21),INDEX('Guest Log'!$B:$B,Q21))))</f>
        <v>Ryan</v>
      </c>
      <c r="G21" s="12" t="str">
        <f>IF(C21="","",IF(C21="Match",INDEX('Match Log'!$C:$C,D21),IF(C21="Tournament",INDEX('Tournament Log'!$B:$B,E21)&amp;" (Phantom)",INDEX('Guest Log'!$H:$H,Q21)&amp;" (Guest)")))</f>
        <v>Kev</v>
      </c>
      <c r="H21" s="32">
        <f t="array" ref="H21">IF(C21="","",IFERROR(LOOKUP(2,1/(($F$1:F20=F21)+($G$1:G20=F21)),IF($F$1:F20=F21,$N$1:N20,$O$1:O20)),1000))</f>
        <v>1000</v>
      </c>
      <c r="I21" s="12">
        <f t="array" ref="I21">IF(C21="","",IF(C21="Tournament",INDEX('Tournament Log'!$J:$J,E21),IF(C21="Guest",IF(INDEX('Guest Log'!$I:$I,Q21)="",1000,INDEX('Guest Log'!$I:$I,Q21)),IFERROR(LOOKUP(2,1/(($F$1:F20=G21)+($G$1:G20=G21)),IF($F$1:F20=G21,$N$1:N20,$O$1:O20)),1000))))</f>
        <v>1000</v>
      </c>
      <c r="J21" s="12">
        <f t="shared" si="1"/>
        <v>0.5</v>
      </c>
      <c r="K21" s="12">
        <f>IF(C21="","",IF(C21="Match",IF(INDEX('Match Log'!$D:$D,D21)="Win",1,IF(INDEX('Match Log'!$D:$D,D21)="Draw",0.5,0)),IF(C21="Tournament",INDEX('Tournament Log'!$K:$K,E21),IF(INDEX('Guest Log'!$C:$C,Q21)="Win",1,IF(INDEX('Guest Log'!$C:$C,Q21)="Draw",0.5,0)))))</f>
        <v>1</v>
      </c>
      <c r="L21" s="12">
        <f>IF(C21="","",IF(C21="Match",32,IF(C21="Tournament",MIN(32*INDEX('Tournament Log'!$D:$D,E21),96),32)))</f>
        <v>32</v>
      </c>
      <c r="M21" s="12">
        <f t="shared" si="2"/>
        <v>16</v>
      </c>
      <c r="N21" s="12">
        <f t="shared" si="3"/>
        <v>1016</v>
      </c>
      <c r="O21" s="12">
        <f t="shared" si="4"/>
        <v>984</v>
      </c>
      <c r="P21" s="12" t="str">
        <f>IF(C21="Tournament",INDEX('Tournament Log'!$B:$B,E21),IF(C21="Guest","Guest: "&amp;INDEX('Guest Log'!$H:$H,Q21),""))</f>
        <v/>
      </c>
      <c r="Q21" t="str">
        <f>IFERROR(MATCH($A21,'Guest Log'!$L$4:$L$203,0)+3,"")</f>
        <v/>
      </c>
    </row>
    <row r="22" spans="1:17" ht="15" customHeight="1" x14ac:dyDescent="0.2">
      <c r="A22" s="12">
        <f>21</f>
        <v>21</v>
      </c>
      <c r="B22" s="33">
        <f>IF(C22="","",IF(C22="Match",INDEX('Match Log'!$A:$A,D22),IF(C22="Tournament",INDEX('Tournament Log'!$A:$A,E22),INDEX('Guest Log'!$A:$A,Q22))))</f>
        <v>46225</v>
      </c>
      <c r="C22" s="12" t="str">
        <f t="shared" si="0"/>
        <v>Match</v>
      </c>
      <c r="D22" s="31">
        <f>IFERROR(MATCH($A22,'Match Log'!$K$3:$K$501,0)+2,"")</f>
        <v>20</v>
      </c>
      <c r="E22" s="31" t="str">
        <f>IFERROR(MATCH($A22,'Tournament Log'!$O$4:$O$203,0)+3,"")</f>
        <v/>
      </c>
      <c r="F22" s="12" t="str">
        <f>IF(C22="","",IF(C22="Match",INDEX('Match Log'!$B:$B,D22),IF(C22="Tournament",INDEX('Tournament Log'!$C:$C,E22),INDEX('Guest Log'!$B:$B,Q22))))</f>
        <v>John</v>
      </c>
      <c r="G22" s="12" t="str">
        <f>IF(C22="","",IF(C22="Match",INDEX('Match Log'!$C:$C,D22),IF(C22="Tournament",INDEX('Tournament Log'!$B:$B,E22)&amp;" (Phantom)",INDEX('Guest Log'!$H:$H,Q22)&amp;" (Guest)")))</f>
        <v>Colin</v>
      </c>
      <c r="H22" s="32">
        <f t="array" ref="H22">IF(C22="","",IFERROR(LOOKUP(2,1/(($F$1:F21=F22)+($G$1:G21=F22)),IF($F$1:F21=F22,$N$1:N21,$O$1:O21)),1000))</f>
        <v>1052</v>
      </c>
      <c r="I22" s="12">
        <f t="array" ref="I22">IF(C22="","",IF(C22="Tournament",INDEX('Tournament Log'!$J:$J,E22),IF(C22="Guest",IF(INDEX('Guest Log'!$I:$I,Q22)="",1000,INDEX('Guest Log'!$I:$I,Q22)),IFERROR(LOOKUP(2,1/(($F$1:F21=G22)+($G$1:G21=G22)),IF($F$1:F21=G22,$N$1:N21,$O$1:O21)),1000))))</f>
        <v>960</v>
      </c>
      <c r="J22" s="12">
        <f t="shared" si="1"/>
        <v>0.62938854721750226</v>
      </c>
      <c r="K22" s="12">
        <f>IF(C22="","",IF(C22="Match",IF(INDEX('Match Log'!$D:$D,D22)="Win",1,IF(INDEX('Match Log'!$D:$D,D22)="Draw",0.5,0)),IF(C22="Tournament",INDEX('Tournament Log'!$K:$K,E22),IF(INDEX('Guest Log'!$C:$C,Q22)="Win",1,IF(INDEX('Guest Log'!$C:$C,Q22)="Draw",0.5,0)))))</f>
        <v>0.5</v>
      </c>
      <c r="L22" s="12">
        <f>IF(C22="","",IF(C22="Match",32,IF(C22="Tournament",MIN(32*INDEX('Tournament Log'!$D:$D,E22),96),32)))</f>
        <v>32</v>
      </c>
      <c r="M22" s="12">
        <f t="shared" si="2"/>
        <v>-4</v>
      </c>
      <c r="N22" s="12">
        <f t="shared" si="3"/>
        <v>1048</v>
      </c>
      <c r="O22" s="12">
        <f t="shared" si="4"/>
        <v>964</v>
      </c>
      <c r="P22" s="12" t="str">
        <f>IF(C22="Tournament",INDEX('Tournament Log'!$B:$B,E22),IF(C22="Guest","Guest: "&amp;INDEX('Guest Log'!$H:$H,Q22),""))</f>
        <v/>
      </c>
      <c r="Q22" t="str">
        <f>IFERROR(MATCH($A22,'Guest Log'!$L$4:$L$203,0)+3,"")</f>
        <v/>
      </c>
    </row>
    <row r="23" spans="1:17" ht="15" customHeight="1" x14ac:dyDescent="0.2">
      <c r="A23" s="12">
        <f>22</f>
        <v>22</v>
      </c>
      <c r="B23" s="33">
        <f>IF(C23="","",IF(C23="Match",INDEX('Match Log'!$A:$A,D23),IF(C23="Tournament",INDEX('Tournament Log'!$A:$A,E23),INDEX('Guest Log'!$A:$A,Q23))))</f>
        <v>46227</v>
      </c>
      <c r="C23" s="12" t="str">
        <f t="shared" si="0"/>
        <v>Match</v>
      </c>
      <c r="D23" s="31">
        <f>IFERROR(MATCH($A23,'Match Log'!$K$3:$K$501,0)+2,"")</f>
        <v>21</v>
      </c>
      <c r="E23" s="31" t="str">
        <f>IFERROR(MATCH($A23,'Tournament Log'!$O$4:$O$203,0)+3,"")</f>
        <v/>
      </c>
      <c r="F23" s="12" t="str">
        <f>IF(C23="","",IF(C23="Match",INDEX('Match Log'!$B:$B,D23),IF(C23="Tournament",INDEX('Tournament Log'!$C:$C,E23),INDEX('Guest Log'!$B:$B,Q23))))</f>
        <v>Pete</v>
      </c>
      <c r="G23" s="12" t="str">
        <f>IF(C23="","",IF(C23="Match",INDEX('Match Log'!$C:$C,D23),IF(C23="Tournament",INDEX('Tournament Log'!$B:$B,E23)&amp;" (Phantom)",INDEX('Guest Log'!$H:$H,Q23)&amp;" (Guest)")))</f>
        <v>Kev</v>
      </c>
      <c r="H23" s="32">
        <f t="array" ref="H23">IF(C23="","",IFERROR(LOOKUP(2,1/(($F$1:F22=F23)+($G$1:G22=F23)),IF($F$1:F22=F23,$N$1:N22,$O$1:O22)),1000))</f>
        <v>1000</v>
      </c>
      <c r="I23" s="12">
        <f t="array" ref="I23">IF(C23="","",IF(C23="Tournament",INDEX('Tournament Log'!$J:$J,E23),IF(C23="Guest",IF(INDEX('Guest Log'!$I:$I,Q23)="",1000,INDEX('Guest Log'!$I:$I,Q23)),IFERROR(LOOKUP(2,1/(($F$1:F22=G23)+($G$1:G22=G23)),IF($F$1:F22=G23,$N$1:N22,$O$1:O22)),1000))))</f>
        <v>984</v>
      </c>
      <c r="J23" s="12">
        <f t="shared" si="1"/>
        <v>0.52300958729756231</v>
      </c>
      <c r="K23" s="12">
        <f>IF(C23="","",IF(C23="Match",IF(INDEX('Match Log'!$D:$D,D23)="Win",1,IF(INDEX('Match Log'!$D:$D,D23)="Draw",0.5,0)),IF(C23="Tournament",INDEX('Tournament Log'!$K:$K,E23),IF(INDEX('Guest Log'!$C:$C,Q23)="Win",1,IF(INDEX('Guest Log'!$C:$C,Q23)="Draw",0.5,0)))))</f>
        <v>1</v>
      </c>
      <c r="L23" s="12">
        <f>IF(C23="","",IF(C23="Match",32,IF(C23="Tournament",MIN(32*INDEX('Tournament Log'!$D:$D,E23),96),32)))</f>
        <v>32</v>
      </c>
      <c r="M23" s="12">
        <f t="shared" si="2"/>
        <v>15</v>
      </c>
      <c r="N23" s="12">
        <f t="shared" si="3"/>
        <v>1015</v>
      </c>
      <c r="O23" s="12">
        <f t="shared" si="4"/>
        <v>969</v>
      </c>
      <c r="P23" s="12" t="str">
        <f>IF(C23="Tournament",INDEX('Tournament Log'!$B:$B,E23),IF(C23="Guest","Guest: "&amp;INDEX('Guest Log'!$H:$H,Q23),""))</f>
        <v/>
      </c>
      <c r="Q23" t="str">
        <f>IFERROR(MATCH($A23,'Guest Log'!$L$4:$L$203,0)+3,"")</f>
        <v/>
      </c>
    </row>
    <row r="24" spans="1:17" ht="15" customHeight="1" x14ac:dyDescent="0.2">
      <c r="A24" s="12">
        <f>23</f>
        <v>23</v>
      </c>
      <c r="B24" s="33">
        <f>IF(C24="","",IF(C24="Match",INDEX('Match Log'!$A:$A,D24),IF(C24="Tournament",INDEX('Tournament Log'!$A:$A,E24),INDEX('Guest Log'!$A:$A,Q24))))</f>
        <v>46231</v>
      </c>
      <c r="C24" s="12" t="str">
        <f t="shared" si="0"/>
        <v>Match</v>
      </c>
      <c r="D24" s="31">
        <f>IFERROR(MATCH($A24,'Match Log'!$K$3:$K$501,0)+2,"")</f>
        <v>22</v>
      </c>
      <c r="E24" s="31" t="str">
        <f>IFERROR(MATCH($A24,'Tournament Log'!$O$4:$O$203,0)+3,"")</f>
        <v/>
      </c>
      <c r="F24" s="12" t="str">
        <f>IF(C24="","",IF(C24="Match",INDEX('Match Log'!$B:$B,D24),IF(C24="Tournament",INDEX('Tournament Log'!$C:$C,E24),INDEX('Guest Log'!$B:$B,Q24))))</f>
        <v>Andrew</v>
      </c>
      <c r="G24" s="12" t="str">
        <f>IF(C24="","",IF(C24="Match",INDEX('Match Log'!$C:$C,D24),IF(C24="Tournament",INDEX('Tournament Log'!$B:$B,E24)&amp;" (Phantom)",INDEX('Guest Log'!$H:$H,Q24)&amp;" (Guest)")))</f>
        <v>Miles</v>
      </c>
      <c r="H24" s="32">
        <f t="array" ref="H24">IF(C24="","",IFERROR(LOOKUP(2,1/(($F$1:F23=F24)+($G$1:G23=F24)),IF($F$1:F23=F24,$N$1:N23,$O$1:O23)),1000))</f>
        <v>977</v>
      </c>
      <c r="I24" s="12">
        <f t="array" ref="I24">IF(C24="","",IF(C24="Tournament",INDEX('Tournament Log'!$J:$J,E24),IF(C24="Guest",IF(INDEX('Guest Log'!$I:$I,Q24)="",1000,INDEX('Guest Log'!$I:$I,Q24)),IFERROR(LOOKUP(2,1/(($F$1:F23=G24)+($G$1:G23=G24)),IF($F$1:F23=G24,$N$1:N23,$O$1:O23)),1000))))</f>
        <v>1032</v>
      </c>
      <c r="J24" s="12">
        <f t="shared" si="1"/>
        <v>0.42150324765525726</v>
      </c>
      <c r="K24" s="12">
        <f>IF(C24="","",IF(C24="Match",IF(INDEX('Match Log'!$D:$D,D24)="Win",1,IF(INDEX('Match Log'!$D:$D,D24)="Draw",0.5,0)),IF(C24="Tournament",INDEX('Tournament Log'!$K:$K,E24),IF(INDEX('Guest Log'!$C:$C,Q24)="Win",1,IF(INDEX('Guest Log'!$C:$C,Q24)="Draw",0.5,0)))))</f>
        <v>1</v>
      </c>
      <c r="L24" s="12">
        <f>IF(C24="","",IF(C24="Match",32,IF(C24="Tournament",MIN(32*INDEX('Tournament Log'!$D:$D,E24),96),32)))</f>
        <v>32</v>
      </c>
      <c r="M24" s="12">
        <f t="shared" si="2"/>
        <v>19</v>
      </c>
      <c r="N24" s="12">
        <f t="shared" si="3"/>
        <v>996</v>
      </c>
      <c r="O24" s="12">
        <f t="shared" si="4"/>
        <v>1013</v>
      </c>
      <c r="P24" s="12" t="str">
        <f>IF(C24="Tournament",INDEX('Tournament Log'!$B:$B,E24),IF(C24="Guest","Guest: "&amp;INDEX('Guest Log'!$H:$H,Q24),""))</f>
        <v/>
      </c>
      <c r="Q24" t="str">
        <f>IFERROR(MATCH($A24,'Guest Log'!$L$4:$L$203,0)+3,"")</f>
        <v/>
      </c>
    </row>
    <row r="25" spans="1:17" ht="15" customHeight="1" x14ac:dyDescent="0.2">
      <c r="A25" s="12">
        <f>24</f>
        <v>24</v>
      </c>
      <c r="B25" s="33">
        <f>IF(C25="","",IF(C25="Match",INDEX('Match Log'!$A:$A,D25),IF(C25="Tournament",INDEX('Tournament Log'!$A:$A,E25),INDEX('Guest Log'!$A:$A,Q25))))</f>
        <v>46237</v>
      </c>
      <c r="C25" s="12" t="str">
        <f t="shared" si="0"/>
        <v>Match</v>
      </c>
      <c r="D25" s="31">
        <f>IFERROR(MATCH($A25,'Match Log'!$K$3:$K$501,0)+2,"")</f>
        <v>23</v>
      </c>
      <c r="E25" s="31" t="str">
        <f>IFERROR(MATCH($A25,'Tournament Log'!$O$4:$O$203,0)+3,"")</f>
        <v/>
      </c>
      <c r="F25" s="12" t="str">
        <f>IF(C25="","",IF(C25="Match",INDEX('Match Log'!$B:$B,D25),IF(C25="Tournament",INDEX('Tournament Log'!$C:$C,E25),INDEX('Guest Log'!$B:$B,Q25))))</f>
        <v>Andrew</v>
      </c>
      <c r="G25" s="12" t="str">
        <f>IF(C25="","",IF(C25="Match",INDEX('Match Log'!$C:$C,D25),IF(C25="Tournament",INDEX('Tournament Log'!$B:$B,E25)&amp;" (Phantom)",INDEX('Guest Log'!$H:$H,Q25)&amp;" (Guest)")))</f>
        <v>Colin</v>
      </c>
      <c r="H25" s="32">
        <f t="array" ref="H25">IF(C25="","",IFERROR(LOOKUP(2,1/(($F$1:F24=F25)+($G$1:G24=F25)),IF($F$1:F24=F25,$N$1:N24,$O$1:O24)),1000))</f>
        <v>996</v>
      </c>
      <c r="I25" s="12">
        <f t="array" ref="I25">IF(C25="","",IF(C25="Tournament",INDEX('Tournament Log'!$J:$J,E25),IF(C25="Guest",IF(INDEX('Guest Log'!$I:$I,Q25)="",1000,INDEX('Guest Log'!$I:$I,Q25)),IFERROR(LOOKUP(2,1/(($F$1:F24=G25)+($G$1:G24=G25)),IF($F$1:F24=G25,$N$1:N24,$O$1:O24)),1000))))</f>
        <v>964</v>
      </c>
      <c r="J25" s="12">
        <f t="shared" si="1"/>
        <v>0.54592192278048368</v>
      </c>
      <c r="K25" s="12">
        <f>IF(C25="","",IF(C25="Match",IF(INDEX('Match Log'!$D:$D,D25)="Win",1,IF(INDEX('Match Log'!$D:$D,D25)="Draw",0.5,0)),IF(C25="Tournament",INDEX('Tournament Log'!$K:$K,E25),IF(INDEX('Guest Log'!$C:$C,Q25)="Win",1,IF(INDEX('Guest Log'!$C:$C,Q25)="Draw",0.5,0)))))</f>
        <v>1</v>
      </c>
      <c r="L25" s="12">
        <f>IF(C25="","",IF(C25="Match",32,IF(C25="Tournament",MIN(32*INDEX('Tournament Log'!$D:$D,E25),96),32)))</f>
        <v>32</v>
      </c>
      <c r="M25" s="12">
        <f t="shared" si="2"/>
        <v>15</v>
      </c>
      <c r="N25" s="12">
        <f t="shared" si="3"/>
        <v>1011</v>
      </c>
      <c r="O25" s="12">
        <f t="shared" si="4"/>
        <v>949</v>
      </c>
      <c r="P25" s="12" t="str">
        <f>IF(C25="Tournament",INDEX('Tournament Log'!$B:$B,E25),IF(C25="Guest","Guest: "&amp;INDEX('Guest Log'!$H:$H,Q25),""))</f>
        <v/>
      </c>
      <c r="Q25" t="str">
        <f>IFERROR(MATCH($A25,'Guest Log'!$L$4:$L$203,0)+3,"")</f>
        <v/>
      </c>
    </row>
    <row r="26" spans="1:17" ht="15" customHeight="1" x14ac:dyDescent="0.2">
      <c r="A26" s="12">
        <f>25</f>
        <v>25</v>
      </c>
      <c r="B26" s="33">
        <f>IF(C26="","",IF(C26="Match",INDEX('Match Log'!$A:$A,D26),IF(C26="Tournament",INDEX('Tournament Log'!$A:$A,E26),INDEX('Guest Log'!$A:$A,Q26))))</f>
        <v>46239</v>
      </c>
      <c r="C26" s="12" t="str">
        <f t="shared" si="0"/>
        <v>Match</v>
      </c>
      <c r="D26" s="31">
        <f>IFERROR(MATCH($A26,'Match Log'!$K$3:$K$501,0)+2,"")</f>
        <v>24</v>
      </c>
      <c r="E26" s="31" t="str">
        <f>IFERROR(MATCH($A26,'Tournament Log'!$O$4:$O$203,0)+3,"")</f>
        <v/>
      </c>
      <c r="F26" s="12" t="str">
        <f>IF(C26="","",IF(C26="Match",INDEX('Match Log'!$B:$B,D26),IF(C26="Tournament",INDEX('Tournament Log'!$C:$C,E26),INDEX('Guest Log'!$B:$B,Q26))))</f>
        <v>John</v>
      </c>
      <c r="G26" s="12" t="str">
        <f>IF(C26="","",IF(C26="Match",INDEX('Match Log'!$C:$C,D26),IF(C26="Tournament",INDEX('Tournament Log'!$B:$B,E26)&amp;" (Phantom)",INDEX('Guest Log'!$H:$H,Q26)&amp;" (Guest)")))</f>
        <v>Kev</v>
      </c>
      <c r="H26" s="32">
        <f t="array" ref="H26">IF(C26="","",IFERROR(LOOKUP(2,1/(($F$1:F25=F26)+($G$1:G25=F26)),IF($F$1:F25=F26,$N$1:N25,$O$1:O25)),1000))</f>
        <v>1048</v>
      </c>
      <c r="I26" s="12">
        <f t="array" ref="I26">IF(C26="","",IF(C26="Tournament",INDEX('Tournament Log'!$J:$J,E26),IF(C26="Guest",IF(INDEX('Guest Log'!$I:$I,Q26)="",1000,INDEX('Guest Log'!$I:$I,Q26)),IFERROR(LOOKUP(2,1/(($F$1:F25=G26)+($G$1:G25=G26)),IF($F$1:F25=G26,$N$1:N25,$O$1:O25)),1000))))</f>
        <v>969</v>
      </c>
      <c r="J26" s="12">
        <f t="shared" si="1"/>
        <v>0.61177050078106432</v>
      </c>
      <c r="K26" s="12">
        <f>IF(C26="","",IF(C26="Match",IF(INDEX('Match Log'!$D:$D,D26)="Win",1,IF(INDEX('Match Log'!$D:$D,D26)="Draw",0.5,0)),IF(C26="Tournament",INDEX('Tournament Log'!$K:$K,E26),IF(INDEX('Guest Log'!$C:$C,Q26)="Win",1,IF(INDEX('Guest Log'!$C:$C,Q26)="Draw",0.5,0)))))</f>
        <v>1</v>
      </c>
      <c r="L26" s="12">
        <f>IF(C26="","",IF(C26="Match",32,IF(C26="Tournament",MIN(32*INDEX('Tournament Log'!$D:$D,E26),96),32)))</f>
        <v>32</v>
      </c>
      <c r="M26" s="12">
        <f t="shared" si="2"/>
        <v>12</v>
      </c>
      <c r="N26" s="12">
        <f t="shared" si="3"/>
        <v>1060</v>
      </c>
      <c r="O26" s="12">
        <f t="shared" si="4"/>
        <v>957</v>
      </c>
      <c r="P26" s="12" t="str">
        <f>IF(C26="Tournament",INDEX('Tournament Log'!$B:$B,E26),IF(C26="Guest","Guest: "&amp;INDEX('Guest Log'!$H:$H,Q26),""))</f>
        <v/>
      </c>
      <c r="Q26" t="str">
        <f>IFERROR(MATCH($A26,'Guest Log'!$L$4:$L$203,0)+3,"")</f>
        <v/>
      </c>
    </row>
    <row r="27" spans="1:17" ht="15" customHeight="1" x14ac:dyDescent="0.2">
      <c r="A27" s="12">
        <f>26</f>
        <v>26</v>
      </c>
      <c r="B27" s="30">
        <f>IF(C27="","",IF(C27="Match",INDEX('Match Log'!$A:$A,D27),IF(C27="Tournament",INDEX('Tournament Log'!$A:$A,E27),INDEX('Guest Log'!$A:$A,Q27))))</f>
        <v>46273</v>
      </c>
      <c r="C27" s="12" t="str">
        <f t="shared" si="0"/>
        <v>Match</v>
      </c>
      <c r="D27" s="31">
        <f>IFERROR(MATCH($A27,'Match Log'!$K$3:$K$501,0)+2,"")</f>
        <v>25</v>
      </c>
      <c r="E27" s="31" t="str">
        <f>IFERROR(MATCH($A27,'Tournament Log'!$O$4:$O$203,0)+3,"")</f>
        <v/>
      </c>
      <c r="F27" s="12" t="str">
        <f>IF(C27="","",IF(C27="Match",INDEX('Match Log'!$B:$B,D27),IF(C27="Tournament",INDEX('Tournament Log'!$C:$C,E27),INDEX('Guest Log'!$B:$B,Q27))))</f>
        <v>Colin</v>
      </c>
      <c r="G27" s="12" t="str">
        <f>IF(C27="","",IF(C27="Match",INDEX('Match Log'!$C:$C,D27),IF(C27="Tournament",INDEX('Tournament Log'!$B:$B,E27)&amp;" (Phantom)",INDEX('Guest Log'!$H:$H,Q27)&amp;" (Guest)")))</f>
        <v>Miles</v>
      </c>
      <c r="H27" s="32">
        <f t="array" ref="H27">IF(C27="","",IFERROR(LOOKUP(2,1/(($F$1:F26=F27)+($G$1:G26=F27)),IF($F$1:F26=F27,$N$1:N26,$O$1:O26)),1000))</f>
        <v>949</v>
      </c>
      <c r="I27" s="12">
        <f t="array" ref="I27">IF(C27="","",IF(C27="Tournament",INDEX('Tournament Log'!$J:$J,E27),IF(C27="Guest",IF(INDEX('Guest Log'!$I:$I,Q27)="",1000,INDEX('Guest Log'!$I:$I,Q27)),IFERROR(LOOKUP(2,1/(($F$1:F26=G27)+($G$1:G26=G27)),IF($F$1:F26=G27,$N$1:N26,$O$1:O26)),1000))))</f>
        <v>1013</v>
      </c>
      <c r="J27" s="12">
        <f t="shared" si="1"/>
        <v>0.40892440368505661</v>
      </c>
      <c r="K27" s="12">
        <f>IF(C27="","",IF(C27="Match",IF(INDEX('Match Log'!$D:$D,D27)="Win",1,IF(INDEX('Match Log'!$D:$D,D27)="Draw",0.5,0)),IF(C27="Tournament",INDEX('Tournament Log'!$K:$K,E27),IF(INDEX('Guest Log'!$C:$C,Q27)="Win",1,IF(INDEX('Guest Log'!$C:$C,Q27)="Draw",0.5,0)))))</f>
        <v>1</v>
      </c>
      <c r="L27" s="12">
        <f>IF(C27="","",IF(C27="Match",32,IF(C27="Tournament",MIN(32*INDEX('Tournament Log'!$D:$D,E27),96),32)))</f>
        <v>32</v>
      </c>
      <c r="M27" s="12">
        <f t="shared" si="2"/>
        <v>19</v>
      </c>
      <c r="N27" s="12">
        <f t="shared" si="3"/>
        <v>968</v>
      </c>
      <c r="O27" s="12">
        <f t="shared" si="4"/>
        <v>994</v>
      </c>
      <c r="P27" s="12" t="str">
        <f>IF(C27="Tournament",INDEX('Tournament Log'!$B:$B,E27),IF(C27="Guest","Guest: "&amp;INDEX('Guest Log'!$H:$H,Q27),""))</f>
        <v/>
      </c>
      <c r="Q27" t="str">
        <f>IFERROR(MATCH($A27,'Guest Log'!$L$4:$L$203,0)+3,"")</f>
        <v/>
      </c>
    </row>
    <row r="28" spans="1:17" ht="15" customHeight="1" x14ac:dyDescent="0.2">
      <c r="A28" s="12">
        <f>27</f>
        <v>27</v>
      </c>
      <c r="B28" s="30">
        <f>IF(C28="","",IF(C28="Match",INDEX('Match Log'!$A:$A,D28),IF(C28="Tournament",INDEX('Tournament Log'!$A:$A,E28),INDEX('Guest Log'!$A:$A,Q28))))</f>
        <v>46334</v>
      </c>
      <c r="C28" s="12" t="str">
        <f t="shared" si="0"/>
        <v>Match</v>
      </c>
      <c r="D28" s="31">
        <f>IFERROR(MATCH($A28,'Match Log'!$K$3:$K$501,0)+2,"")</f>
        <v>26</v>
      </c>
      <c r="E28" s="31" t="str">
        <f>IFERROR(MATCH($A28,'Tournament Log'!$O$4:$O$203,0)+3,"")</f>
        <v/>
      </c>
      <c r="F28" s="12" t="str">
        <f>IF(C28="","",IF(C28="Match",INDEX('Match Log'!$B:$B,D28),IF(C28="Tournament",INDEX('Tournament Log'!$C:$C,E28),INDEX('Guest Log'!$B:$B,Q28))))</f>
        <v>Colin</v>
      </c>
      <c r="G28" s="12" t="str">
        <f>IF(C28="","",IF(C28="Match",INDEX('Match Log'!$C:$C,D28),IF(C28="Tournament",INDEX('Tournament Log'!$B:$B,E28)&amp;" (Phantom)",INDEX('Guest Log'!$H:$H,Q28)&amp;" (Guest)")))</f>
        <v xml:space="preserve">Andrew </v>
      </c>
      <c r="H28" s="32">
        <f t="array" ref="H28">IF(C28="","",IFERROR(LOOKUP(2,1/(($F$1:F27=F28)+($G$1:G27=F28)),IF($F$1:F27=F28,$N$1:N27,$O$1:O27)),1000))</f>
        <v>968</v>
      </c>
      <c r="I28" s="12">
        <f t="array" ref="I28">IF(C28="","",IF(C28="Tournament",INDEX('Tournament Log'!$J:$J,E28),IF(C28="Guest",IF(INDEX('Guest Log'!$I:$I,Q28)="",1000,INDEX('Guest Log'!$I:$I,Q28)),IFERROR(LOOKUP(2,1/(($F$1:F27=G28)+($G$1:G27=G28)),IF($F$1:F27=G28,$N$1:N27,$O$1:O27)),1000))))</f>
        <v>986</v>
      </c>
      <c r="J28" s="12">
        <f t="shared" si="1"/>
        <v>0.47411906910883089</v>
      </c>
      <c r="K28" s="12">
        <f>IF(C28="","",IF(C28="Match",IF(INDEX('Match Log'!$D:$D,D28)="Win",1,IF(INDEX('Match Log'!$D:$D,D28)="Draw",0.5,0)),IF(C28="Tournament",INDEX('Tournament Log'!$K:$K,E28),IF(INDEX('Guest Log'!$C:$C,Q28)="Win",1,IF(INDEX('Guest Log'!$C:$C,Q28)="Draw",0.5,0)))))</f>
        <v>1</v>
      </c>
      <c r="L28" s="12">
        <f>IF(C28="","",IF(C28="Match",32,IF(C28="Tournament",MIN(32*INDEX('Tournament Log'!$D:$D,E28),96),32)))</f>
        <v>32</v>
      </c>
      <c r="M28" s="12">
        <f t="shared" si="2"/>
        <v>17</v>
      </c>
      <c r="N28" s="12">
        <f t="shared" si="3"/>
        <v>985</v>
      </c>
      <c r="O28" s="12">
        <f t="shared" si="4"/>
        <v>969</v>
      </c>
      <c r="P28" s="12" t="str">
        <f>IF(C28="Tournament",INDEX('Tournament Log'!$B:$B,E28),IF(C28="Guest","Guest: "&amp;INDEX('Guest Log'!$H:$H,Q28),""))</f>
        <v/>
      </c>
      <c r="Q28" t="str">
        <f>IFERROR(MATCH($A28,'Guest Log'!$L$4:$L$203,0)+3,"")</f>
        <v/>
      </c>
    </row>
    <row r="29" spans="1:17" ht="15" customHeight="1" x14ac:dyDescent="0.2">
      <c r="A29" s="12">
        <f>28</f>
        <v>28</v>
      </c>
      <c r="B29" s="30">
        <f>IF(C29="","",IF(C29="Match",INDEX('Match Log'!$A:$A,D29),IF(C29="Tournament",INDEX('Tournament Log'!$A:$A,E29),INDEX('Guest Log'!$A:$A,Q29))))</f>
        <v>46334</v>
      </c>
      <c r="C29" s="12" t="str">
        <f t="shared" si="0"/>
        <v>Match</v>
      </c>
      <c r="D29" s="31">
        <f>IFERROR(MATCH($A29,'Match Log'!$K$3:$K$501,0)+2,"")</f>
        <v>27</v>
      </c>
      <c r="E29" s="31" t="str">
        <f>IFERROR(MATCH($A29,'Tournament Log'!$O$4:$O$203,0)+3,"")</f>
        <v/>
      </c>
      <c r="F29" s="12" t="str">
        <f>IF(C29="","",IF(C29="Match",INDEX('Match Log'!$B:$B,D29),IF(C29="Tournament",INDEX('Tournament Log'!$C:$C,E29),INDEX('Guest Log'!$B:$B,Q29))))</f>
        <v>Gav</v>
      </c>
      <c r="G29" s="12" t="str">
        <f>IF(C29="","",IF(C29="Match",INDEX('Match Log'!$C:$C,D29),IF(C29="Tournament",INDEX('Tournament Log'!$B:$B,E29)&amp;" (Phantom)",INDEX('Guest Log'!$H:$H,Q29)&amp;" (Guest)")))</f>
        <v>Miles</v>
      </c>
      <c r="H29" s="32">
        <f t="array" ref="H29">IF(C29="","",IFERROR(LOOKUP(2,1/(($F$1:F28=F29)+($G$1:G28=F29)),IF($F$1:F28=F29,$N$1:N28,$O$1:O28)),1000))</f>
        <v>1037</v>
      </c>
      <c r="I29" s="12">
        <f t="array" ref="I29">IF(C29="","",IF(C29="Tournament",INDEX('Tournament Log'!$J:$J,E29),IF(C29="Guest",IF(INDEX('Guest Log'!$I:$I,Q29)="",1000,INDEX('Guest Log'!$I:$I,Q29)),IFERROR(LOOKUP(2,1/(($F$1:F28=G29)+($G$1:G28=G29)),IF($F$1:F28=G29,$N$1:N28,$O$1:O28)),1000))))</f>
        <v>994</v>
      </c>
      <c r="J29" s="12">
        <f t="shared" si="1"/>
        <v>0.5615679389736461</v>
      </c>
      <c r="K29" s="12">
        <f>IF(C29="","",IF(C29="Match",IF(INDEX('Match Log'!$D:$D,D29)="Win",1,IF(INDEX('Match Log'!$D:$D,D29)="Draw",0.5,0)),IF(C29="Tournament",INDEX('Tournament Log'!$K:$K,E29),IF(INDEX('Guest Log'!$C:$C,Q29)="Win",1,IF(INDEX('Guest Log'!$C:$C,Q29)="Draw",0.5,0)))))</f>
        <v>0</v>
      </c>
      <c r="L29" s="12">
        <f>IF(C29="","",IF(C29="Match",32,IF(C29="Tournament",MIN(32*INDEX('Tournament Log'!$D:$D,E29),96),32)))</f>
        <v>32</v>
      </c>
      <c r="M29" s="12">
        <f t="shared" si="2"/>
        <v>-18</v>
      </c>
      <c r="N29" s="12">
        <f t="shared" si="3"/>
        <v>1019</v>
      </c>
      <c r="O29" s="12">
        <f t="shared" si="4"/>
        <v>1012</v>
      </c>
      <c r="P29" s="12" t="str">
        <f>IF(C29="Tournament",INDEX('Tournament Log'!$B:$B,E29),IF(C29="Guest","Guest: "&amp;INDEX('Guest Log'!$H:$H,Q29),""))</f>
        <v/>
      </c>
      <c r="Q29" t="str">
        <f>IFERROR(MATCH($A29,'Guest Log'!$L$4:$L$203,0)+3,"")</f>
        <v/>
      </c>
    </row>
    <row r="30" spans="1:17" ht="15" customHeight="1" x14ac:dyDescent="0.2">
      <c r="A30" s="12">
        <f>29</f>
        <v>29</v>
      </c>
      <c r="B30" s="30">
        <f>IF(C30="","",IF(C30="Match",INDEX('Match Log'!$A:$A,D30),IF(C30="Tournament",INDEX('Tournament Log'!$A:$A,E30),INDEX('Guest Log'!$A:$A,Q30))))</f>
        <v>46364</v>
      </c>
      <c r="C30" s="12" t="str">
        <f t="shared" si="0"/>
        <v>Match</v>
      </c>
      <c r="D30" s="31">
        <f>IFERROR(MATCH($A30,'Match Log'!$K$3:$K$501,0)+2,"")</f>
        <v>28</v>
      </c>
      <c r="E30" s="31" t="str">
        <f>IFERROR(MATCH($A30,'Tournament Log'!$O$4:$O$203,0)+3,"")</f>
        <v/>
      </c>
      <c r="F30" s="12" t="str">
        <f>IF(C30="","",IF(C30="Match",INDEX('Match Log'!$B:$B,D30),IF(C30="Tournament",INDEX('Tournament Log'!$C:$C,E30),INDEX('Guest Log'!$B:$B,Q30))))</f>
        <v>John</v>
      </c>
      <c r="G30" s="12" t="str">
        <f>IF(C30="","",IF(C30="Match",INDEX('Match Log'!$C:$C,D30),IF(C30="Tournament",INDEX('Tournament Log'!$B:$B,E30)&amp;" (Phantom)",INDEX('Guest Log'!$H:$H,Q30)&amp;" (Guest)")))</f>
        <v>Brett</v>
      </c>
      <c r="H30" s="32">
        <f t="array" ref="H30">IF(C30="","",IFERROR(LOOKUP(2,1/(($F$1:F29=F30)+($G$1:G29=F30)),IF($F$1:F29=F30,$N$1:N29,$O$1:O29)),1000))</f>
        <v>1060</v>
      </c>
      <c r="I30" s="12">
        <f t="array" ref="I30">IF(C30="","",IF(C30="Tournament",INDEX('Tournament Log'!$J:$J,E30),IF(C30="Guest",IF(INDEX('Guest Log'!$I:$I,Q30)="",1000,INDEX('Guest Log'!$I:$I,Q30)),IFERROR(LOOKUP(2,1/(($F$1:F29=G30)+($G$1:G29=G30)),IF($F$1:F29=G30,$N$1:N29,$O$1:O29)),1000))))</f>
        <v>970</v>
      </c>
      <c r="J30" s="12">
        <f t="shared" si="1"/>
        <v>0.62669908166673205</v>
      </c>
      <c r="K30" s="12">
        <f>IF(C30="","",IF(C30="Match",IF(INDEX('Match Log'!$D:$D,D30)="Win",1,IF(INDEX('Match Log'!$D:$D,D30)="Draw",0.5,0)),IF(C30="Tournament",INDEX('Tournament Log'!$K:$K,E30),IF(INDEX('Guest Log'!$C:$C,Q30)="Win",1,IF(INDEX('Guest Log'!$C:$C,Q30)="Draw",0.5,0)))))</f>
        <v>1</v>
      </c>
      <c r="L30" s="12">
        <f>IF(C30="","",IF(C30="Match",32,IF(C30="Tournament",MIN(32*INDEX('Tournament Log'!$D:$D,E30),96),32)))</f>
        <v>32</v>
      </c>
      <c r="M30" s="12">
        <f t="shared" si="2"/>
        <v>12</v>
      </c>
      <c r="N30" s="12">
        <f t="shared" si="3"/>
        <v>1072</v>
      </c>
      <c r="O30" s="12">
        <f t="shared" si="4"/>
        <v>958</v>
      </c>
      <c r="P30" s="12" t="str">
        <f>IF(C30="Tournament",INDEX('Tournament Log'!$B:$B,E30),IF(C30="Guest","Guest: "&amp;INDEX('Guest Log'!$H:$H,Q30),""))</f>
        <v/>
      </c>
      <c r="Q30" t="str">
        <f>IFERROR(MATCH($A30,'Guest Log'!$L$4:$L$203,0)+3,"")</f>
        <v/>
      </c>
    </row>
    <row r="31" spans="1:17" ht="15" customHeight="1" x14ac:dyDescent="0.2">
      <c r="A31" s="12">
        <f>30</f>
        <v>30</v>
      </c>
      <c r="B31" s="30" t="str">
        <f>IF(C31="","",IF(C31="Match",INDEX('Match Log'!$A:$A,D31),IF(C31="Tournament",INDEX('Tournament Log'!$A:$A,E31),INDEX('Guest Log'!$A:$A,Q31))))</f>
        <v/>
      </c>
      <c r="C31" s="12" t="str">
        <f t="shared" si="0"/>
        <v/>
      </c>
      <c r="D31" s="31" t="str">
        <f>IFERROR(MATCH($A31,'Match Log'!$K$3:$K$501,0)+2,"")</f>
        <v/>
      </c>
      <c r="E31" s="31" t="str">
        <f>IFERROR(MATCH($A31,'Tournament Log'!$O$4:$O$203,0)+3,"")</f>
        <v/>
      </c>
      <c r="F31" s="12" t="str">
        <f>IF(C31="","",IF(C31="Match",INDEX('Match Log'!$B:$B,D31),IF(C31="Tournament",INDEX('Tournament Log'!$C:$C,E31),INDEX('Guest Log'!$B:$B,Q31))))</f>
        <v/>
      </c>
      <c r="G31" s="12" t="str">
        <f>IF(C31="","",IF(C31="Match",INDEX('Match Log'!$C:$C,D31),IF(C31="Tournament",INDEX('Tournament Log'!$B:$B,E31)&amp;" (Phantom)",INDEX('Guest Log'!$H:$H,Q31)&amp;" (Guest)")))</f>
        <v/>
      </c>
      <c r="H31" s="32" t="str">
        <f t="array" ref="H31">IF(C31="","",IFERROR(LOOKUP(2,1/(($F$1:F30=F31)+($G$1:G30=F31)),IF($F$1:F30=F31,$N$1:N30,$O$1:O30)),1000))</f>
        <v/>
      </c>
      <c r="I31" s="12" t="str">
        <f t="array" ref="I31">IF(C31="","",IF(C31="Tournament",INDEX('Tournament Log'!$J:$J,E31),IF(C31="Guest",IF(INDEX('Guest Log'!$I:$I,Q31)="",1000,INDEX('Guest Log'!$I:$I,Q31)),IFERROR(LOOKUP(2,1/(($F$1:F30=G31)+($G$1:G30=G31)),IF($F$1:F30=G31,$N$1:N30,$O$1:O30)),1000))))</f>
        <v/>
      </c>
      <c r="J31" s="12" t="str">
        <f t="shared" si="1"/>
        <v/>
      </c>
      <c r="K31" s="12" t="str">
        <f>IF(C31="","",IF(C31="Match",IF(INDEX('Match Log'!$D:$D,D31)="Win",1,IF(INDEX('Match Log'!$D:$D,D31)="Draw",0.5,0)),IF(C31="Tournament",INDEX('Tournament Log'!$K:$K,E31),IF(INDEX('Guest Log'!$C:$C,Q31)="Win",1,IF(INDEX('Guest Log'!$C:$C,Q31)="Draw",0.5,0)))))</f>
        <v/>
      </c>
      <c r="L31" s="12" t="str">
        <f>IF(C31="","",IF(C31="Match",32,IF(C31="Tournament",MIN(32*INDEX('Tournament Log'!$D:$D,E31),96),32)))</f>
        <v/>
      </c>
      <c r="M31" s="12" t="str">
        <f t="shared" si="2"/>
        <v/>
      </c>
      <c r="N31" s="12" t="str">
        <f t="shared" si="3"/>
        <v/>
      </c>
      <c r="O31" s="12" t="str">
        <f t="shared" si="4"/>
        <v/>
      </c>
      <c r="P31" s="12" t="str">
        <f>IF(C31="Tournament",INDEX('Tournament Log'!$B:$B,E31),IF(C31="Guest","Guest: "&amp;INDEX('Guest Log'!$H:$H,Q31),""))</f>
        <v/>
      </c>
      <c r="Q31" t="str">
        <f>IFERROR(MATCH($A31,'Guest Log'!$L$4:$L$203,0)+3,"")</f>
        <v/>
      </c>
    </row>
    <row r="32" spans="1:17" ht="15" customHeight="1" x14ac:dyDescent="0.2">
      <c r="A32" s="12">
        <f>31</f>
        <v>31</v>
      </c>
      <c r="B32" s="30" t="str">
        <f>IF(C32="","",IF(C32="Match",INDEX('Match Log'!$A:$A,D32),IF(C32="Tournament",INDEX('Tournament Log'!$A:$A,E32),INDEX('Guest Log'!$A:$A,Q32))))</f>
        <v/>
      </c>
      <c r="C32" s="12" t="str">
        <f t="shared" si="0"/>
        <v/>
      </c>
      <c r="D32" s="31" t="str">
        <f>IFERROR(MATCH($A32,'Match Log'!$K$3:$K$501,0)+2,"")</f>
        <v/>
      </c>
      <c r="E32" s="31" t="str">
        <f>IFERROR(MATCH($A32,'Tournament Log'!$O$4:$O$203,0)+3,"")</f>
        <v/>
      </c>
      <c r="F32" s="12" t="str">
        <f>IF(C32="","",IF(C32="Match",INDEX('Match Log'!$B:$B,D32),IF(C32="Tournament",INDEX('Tournament Log'!$C:$C,E32),INDEX('Guest Log'!$B:$B,Q32))))</f>
        <v/>
      </c>
      <c r="G32" s="12" t="str">
        <f>IF(C32="","",IF(C32="Match",INDEX('Match Log'!$C:$C,D32),IF(C32="Tournament",INDEX('Tournament Log'!$B:$B,E32)&amp;" (Phantom)",INDEX('Guest Log'!$H:$H,Q32)&amp;" (Guest)")))</f>
        <v/>
      </c>
      <c r="H32" s="32" t="str">
        <f t="array" ref="H32">IF(C32="","",IFERROR(LOOKUP(2,1/(($F$1:F31=F32)+($G$1:G31=F32)),IF($F$1:F31=F32,$N$1:N31,$O$1:O31)),1000))</f>
        <v/>
      </c>
      <c r="I32" s="12" t="str">
        <f t="array" ref="I32">IF(C32="","",IF(C32="Tournament",INDEX('Tournament Log'!$J:$J,E32),IF(C32="Guest",IF(INDEX('Guest Log'!$I:$I,Q32)="",1000,INDEX('Guest Log'!$I:$I,Q32)),IFERROR(LOOKUP(2,1/(($F$1:F31=G32)+($G$1:G31=G32)),IF($F$1:F31=G32,$N$1:N31,$O$1:O31)),1000))))</f>
        <v/>
      </c>
      <c r="J32" s="12" t="str">
        <f t="shared" si="1"/>
        <v/>
      </c>
      <c r="K32" s="12" t="str">
        <f>IF(C32="","",IF(C32="Match",IF(INDEX('Match Log'!$D:$D,D32)="Win",1,IF(INDEX('Match Log'!$D:$D,D32)="Draw",0.5,0)),IF(C32="Tournament",INDEX('Tournament Log'!$K:$K,E32),IF(INDEX('Guest Log'!$C:$C,Q32)="Win",1,IF(INDEX('Guest Log'!$C:$C,Q32)="Draw",0.5,0)))))</f>
        <v/>
      </c>
      <c r="L32" s="12" t="str">
        <f>IF(C32="","",IF(C32="Match",32,IF(C32="Tournament",MIN(32*INDEX('Tournament Log'!$D:$D,E32),96),32)))</f>
        <v/>
      </c>
      <c r="M32" s="12" t="str">
        <f t="shared" si="2"/>
        <v/>
      </c>
      <c r="N32" s="12" t="str">
        <f t="shared" si="3"/>
        <v/>
      </c>
      <c r="O32" s="12" t="str">
        <f t="shared" si="4"/>
        <v/>
      </c>
      <c r="P32" s="12" t="str">
        <f>IF(C32="Tournament",INDEX('Tournament Log'!$B:$B,E32),IF(C32="Guest","Guest: "&amp;INDEX('Guest Log'!$H:$H,Q32),""))</f>
        <v/>
      </c>
      <c r="Q32" t="str">
        <f>IFERROR(MATCH($A32,'Guest Log'!$L$4:$L$203,0)+3,"")</f>
        <v/>
      </c>
    </row>
    <row r="33" spans="1:17" ht="15" customHeight="1" x14ac:dyDescent="0.2">
      <c r="A33" s="12">
        <f>32</f>
        <v>32</v>
      </c>
      <c r="B33" s="12" t="str">
        <f>IF(C33="","",IF(C33="Match",INDEX('Match Log'!$A:$A,D33),IF(C33="Tournament",INDEX('Tournament Log'!$A:$A,E33),INDEX('Guest Log'!$A:$A,Q33))))</f>
        <v/>
      </c>
      <c r="C33" s="12" t="str">
        <f t="shared" si="0"/>
        <v/>
      </c>
      <c r="D33" s="31" t="str">
        <f>IFERROR(MATCH($A33,'Match Log'!$K$3:$K$501,0)+2,"")</f>
        <v/>
      </c>
      <c r="E33" s="31" t="str">
        <f>IFERROR(MATCH($A33,'Tournament Log'!$O$4:$O$203,0)+3,"")</f>
        <v/>
      </c>
      <c r="F33" s="12" t="str">
        <f>IF(C33="","",IF(C33="Match",INDEX('Match Log'!$B:$B,D33),IF(C33="Tournament",INDEX('Tournament Log'!$C:$C,E33),INDEX('Guest Log'!$B:$B,Q33))))</f>
        <v/>
      </c>
      <c r="G33" s="12" t="str">
        <f>IF(C33="","",IF(C33="Match",INDEX('Match Log'!$C:$C,D33),IF(C33="Tournament",INDEX('Tournament Log'!$B:$B,E33)&amp;" (Phantom)",INDEX('Guest Log'!$H:$H,Q33)&amp;" (Guest)")))</f>
        <v/>
      </c>
      <c r="H33" s="32" t="str">
        <f t="array" ref="H33">IF(C33="","",IFERROR(LOOKUP(2,1/(($F$1:F32=F33)+($G$1:G32=F33)),IF($F$1:F32=F33,$N$1:N32,$O$1:O32)),1000))</f>
        <v/>
      </c>
      <c r="I33" s="12" t="str">
        <f t="array" ref="I33">IF(C33="","",IF(C33="Tournament",INDEX('Tournament Log'!$J:$J,E33),IF(C33="Guest",IF(INDEX('Guest Log'!$I:$I,Q33)="",1000,INDEX('Guest Log'!$I:$I,Q33)),IFERROR(LOOKUP(2,1/(($F$1:F32=G33)+($G$1:G32=G33)),IF($F$1:F32=G33,$N$1:N32,$O$1:O32)),1000))))</f>
        <v/>
      </c>
      <c r="J33" s="12" t="str">
        <f t="shared" si="1"/>
        <v/>
      </c>
      <c r="K33" s="12" t="str">
        <f>IF(C33="","",IF(C33="Match",IF(INDEX('Match Log'!$D:$D,D33)="Win",1,IF(INDEX('Match Log'!$D:$D,D33)="Draw",0.5,0)),IF(C33="Tournament",INDEX('Tournament Log'!$K:$K,E33),IF(INDEX('Guest Log'!$C:$C,Q33)="Win",1,IF(INDEX('Guest Log'!$C:$C,Q33)="Draw",0.5,0)))))</f>
        <v/>
      </c>
      <c r="L33" s="12" t="str">
        <f>IF(C33="","",IF(C33="Match",32,IF(C33="Tournament",MIN(32*INDEX('Tournament Log'!$D:$D,E33),96),32)))</f>
        <v/>
      </c>
      <c r="M33" s="12" t="str">
        <f t="shared" si="2"/>
        <v/>
      </c>
      <c r="N33" s="12" t="str">
        <f t="shared" si="3"/>
        <v/>
      </c>
      <c r="O33" s="12" t="str">
        <f t="shared" si="4"/>
        <v/>
      </c>
      <c r="P33" s="12" t="str">
        <f>IF(C33="Tournament",INDEX('Tournament Log'!$B:$B,E33),IF(C33="Guest","Guest: "&amp;INDEX('Guest Log'!$H:$H,Q33),""))</f>
        <v/>
      </c>
      <c r="Q33" t="str">
        <f>IFERROR(MATCH($A33,'Guest Log'!$L$4:$L$203,0)+3,"")</f>
        <v/>
      </c>
    </row>
    <row r="34" spans="1:17" ht="15" customHeight="1" x14ac:dyDescent="0.2">
      <c r="A34" s="12">
        <f>33</f>
        <v>33</v>
      </c>
      <c r="B34" s="12" t="str">
        <f>IF(C34="","",IF(C34="Match",INDEX('Match Log'!$A:$A,D34),IF(C34="Tournament",INDEX('Tournament Log'!$A:$A,E34),INDEX('Guest Log'!$A:$A,Q34))))</f>
        <v/>
      </c>
      <c r="C34" s="12" t="str">
        <f t="shared" si="0"/>
        <v/>
      </c>
      <c r="D34" s="31" t="str">
        <f>IFERROR(MATCH($A34,'Match Log'!$K$3:$K$501,0)+2,"")</f>
        <v/>
      </c>
      <c r="E34" s="31" t="str">
        <f>IFERROR(MATCH($A34,'Tournament Log'!$O$4:$O$203,0)+3,"")</f>
        <v/>
      </c>
      <c r="F34" s="12" t="str">
        <f>IF(C34="","",IF(C34="Match",INDEX('Match Log'!$B:$B,D34),IF(C34="Tournament",INDEX('Tournament Log'!$C:$C,E34),INDEX('Guest Log'!$B:$B,Q34))))</f>
        <v/>
      </c>
      <c r="G34" s="12" t="str">
        <f>IF(C34="","",IF(C34="Match",INDEX('Match Log'!$C:$C,D34),IF(C34="Tournament",INDEX('Tournament Log'!$B:$B,E34)&amp;" (Phantom)",INDEX('Guest Log'!$H:$H,Q34)&amp;" (Guest)")))</f>
        <v/>
      </c>
      <c r="H34" s="32" t="str">
        <f t="array" ref="H34">IF(C34="","",IFERROR(LOOKUP(2,1/(($F$1:F33=F34)+($G$1:G33=F34)),IF($F$1:F33=F34,$N$1:N33,$O$1:O33)),1000))</f>
        <v/>
      </c>
      <c r="I34" s="12" t="str">
        <f t="array" ref="I34">IF(C34="","",IF(C34="Tournament",INDEX('Tournament Log'!$J:$J,E34),IF(C34="Guest",IF(INDEX('Guest Log'!$I:$I,Q34)="",1000,INDEX('Guest Log'!$I:$I,Q34)),IFERROR(LOOKUP(2,1/(($F$1:F33=G34)+($G$1:G33=G34)),IF($F$1:F33=G34,$N$1:N33,$O$1:O33)),1000))))</f>
        <v/>
      </c>
      <c r="J34" s="12" t="str">
        <f t="shared" si="1"/>
        <v/>
      </c>
      <c r="K34" s="12" t="str">
        <f>IF(C34="","",IF(C34="Match",IF(INDEX('Match Log'!$D:$D,D34)="Win",1,IF(INDEX('Match Log'!$D:$D,D34)="Draw",0.5,0)),IF(C34="Tournament",INDEX('Tournament Log'!$K:$K,E34),IF(INDEX('Guest Log'!$C:$C,Q34)="Win",1,IF(INDEX('Guest Log'!$C:$C,Q34)="Draw",0.5,0)))))</f>
        <v/>
      </c>
      <c r="L34" s="12" t="str">
        <f>IF(C34="","",IF(C34="Match",32,IF(C34="Tournament",MIN(32*INDEX('Tournament Log'!$D:$D,E34),96),32)))</f>
        <v/>
      </c>
      <c r="M34" s="12" t="str">
        <f t="shared" si="2"/>
        <v/>
      </c>
      <c r="N34" s="12" t="str">
        <f t="shared" si="3"/>
        <v/>
      </c>
      <c r="O34" s="12" t="str">
        <f t="shared" si="4"/>
        <v/>
      </c>
      <c r="P34" s="12" t="str">
        <f>IF(C34="Tournament",INDEX('Tournament Log'!$B:$B,E34),IF(C34="Guest","Guest: "&amp;INDEX('Guest Log'!$H:$H,Q34),""))</f>
        <v/>
      </c>
      <c r="Q34" t="str">
        <f>IFERROR(MATCH($A34,'Guest Log'!$L$4:$L$203,0)+3,"")</f>
        <v/>
      </c>
    </row>
    <row r="35" spans="1:17" ht="15" customHeight="1" x14ac:dyDescent="0.2">
      <c r="A35" s="12">
        <f>34</f>
        <v>34</v>
      </c>
      <c r="B35" s="12" t="str">
        <f>IF(C35="","",IF(C35="Match",INDEX('Match Log'!$A:$A,D35),IF(C35="Tournament",INDEX('Tournament Log'!$A:$A,E35),INDEX('Guest Log'!$A:$A,Q35))))</f>
        <v/>
      </c>
      <c r="C35" s="12" t="str">
        <f t="shared" si="0"/>
        <v/>
      </c>
      <c r="D35" s="31" t="str">
        <f>IFERROR(MATCH($A35,'Match Log'!$K$3:$K$501,0)+2,"")</f>
        <v/>
      </c>
      <c r="E35" s="31" t="str">
        <f>IFERROR(MATCH($A35,'Tournament Log'!$O$4:$O$203,0)+3,"")</f>
        <v/>
      </c>
      <c r="F35" s="12" t="str">
        <f>IF(C35="","",IF(C35="Match",INDEX('Match Log'!$B:$B,D35),IF(C35="Tournament",INDEX('Tournament Log'!$C:$C,E35),INDEX('Guest Log'!$B:$B,Q35))))</f>
        <v/>
      </c>
      <c r="G35" s="12" t="str">
        <f>IF(C35="","",IF(C35="Match",INDEX('Match Log'!$C:$C,D35),IF(C35="Tournament",INDEX('Tournament Log'!$B:$B,E35)&amp;" (Phantom)",INDEX('Guest Log'!$H:$H,Q35)&amp;" (Guest)")))</f>
        <v/>
      </c>
      <c r="H35" s="32" t="str">
        <f t="array" ref="H35">IF(C35="","",IFERROR(LOOKUP(2,1/(($F$1:F34=F35)+($G$1:G34=F35)),IF($F$1:F34=F35,$N$1:N34,$O$1:O34)),1000))</f>
        <v/>
      </c>
      <c r="I35" s="12" t="str">
        <f t="array" ref="I35">IF(C35="","",IF(C35="Tournament",INDEX('Tournament Log'!$J:$J,E35),IF(C35="Guest",IF(INDEX('Guest Log'!$I:$I,Q35)="",1000,INDEX('Guest Log'!$I:$I,Q35)),IFERROR(LOOKUP(2,1/(($F$1:F34=G35)+($G$1:G34=G35)),IF($F$1:F34=G35,$N$1:N34,$O$1:O34)),1000))))</f>
        <v/>
      </c>
      <c r="J35" s="12" t="str">
        <f t="shared" si="1"/>
        <v/>
      </c>
      <c r="K35" s="12" t="str">
        <f>IF(C35="","",IF(C35="Match",IF(INDEX('Match Log'!$D:$D,D35)="Win",1,IF(INDEX('Match Log'!$D:$D,D35)="Draw",0.5,0)),IF(C35="Tournament",INDEX('Tournament Log'!$K:$K,E35),IF(INDEX('Guest Log'!$C:$C,Q35)="Win",1,IF(INDEX('Guest Log'!$C:$C,Q35)="Draw",0.5,0)))))</f>
        <v/>
      </c>
      <c r="L35" s="12" t="str">
        <f>IF(C35="","",IF(C35="Match",32,IF(C35="Tournament",MIN(32*INDEX('Tournament Log'!$D:$D,E35),96),32)))</f>
        <v/>
      </c>
      <c r="M35" s="12" t="str">
        <f t="shared" si="2"/>
        <v/>
      </c>
      <c r="N35" s="12" t="str">
        <f t="shared" si="3"/>
        <v/>
      </c>
      <c r="O35" s="12" t="str">
        <f t="shared" si="4"/>
        <v/>
      </c>
      <c r="P35" s="12" t="str">
        <f>IF(C35="Tournament",INDEX('Tournament Log'!$B:$B,E35),IF(C35="Guest","Guest: "&amp;INDEX('Guest Log'!$H:$H,Q35),""))</f>
        <v/>
      </c>
      <c r="Q35" t="str">
        <f>IFERROR(MATCH($A35,'Guest Log'!$L$4:$L$203,0)+3,"")</f>
        <v/>
      </c>
    </row>
    <row r="36" spans="1:17" ht="15" customHeight="1" x14ac:dyDescent="0.2">
      <c r="A36" s="12">
        <f>35</f>
        <v>35</v>
      </c>
      <c r="B36" s="12" t="str">
        <f>IF(C36="","",IF(C36="Match",INDEX('Match Log'!$A:$A,D36),IF(C36="Tournament",INDEX('Tournament Log'!$A:$A,E36),INDEX('Guest Log'!$A:$A,Q36))))</f>
        <v/>
      </c>
      <c r="C36" s="12" t="str">
        <f t="shared" si="0"/>
        <v/>
      </c>
      <c r="D36" s="31" t="str">
        <f>IFERROR(MATCH($A36,'Match Log'!$K$3:$K$501,0)+2,"")</f>
        <v/>
      </c>
      <c r="E36" s="31" t="str">
        <f>IFERROR(MATCH($A36,'Tournament Log'!$O$4:$O$203,0)+3,"")</f>
        <v/>
      </c>
      <c r="F36" s="12" t="str">
        <f>IF(C36="","",IF(C36="Match",INDEX('Match Log'!$B:$B,D36),IF(C36="Tournament",INDEX('Tournament Log'!$C:$C,E36),INDEX('Guest Log'!$B:$B,Q36))))</f>
        <v/>
      </c>
      <c r="G36" s="12" t="str">
        <f>IF(C36="","",IF(C36="Match",INDEX('Match Log'!$C:$C,D36),IF(C36="Tournament",INDEX('Tournament Log'!$B:$B,E36)&amp;" (Phantom)",INDEX('Guest Log'!$H:$H,Q36)&amp;" (Guest)")))</f>
        <v/>
      </c>
      <c r="H36" s="32" t="str">
        <f t="array" ref="H36">IF(C36="","",IFERROR(LOOKUP(2,1/(($F$1:F35=F36)+($G$1:G35=F36)),IF($F$1:F35=F36,$N$1:N35,$O$1:O35)),1000))</f>
        <v/>
      </c>
      <c r="I36" s="12" t="str">
        <f t="array" ref="I36">IF(C36="","",IF(C36="Tournament",INDEX('Tournament Log'!$J:$J,E36),IF(C36="Guest",IF(INDEX('Guest Log'!$I:$I,Q36)="",1000,INDEX('Guest Log'!$I:$I,Q36)),IFERROR(LOOKUP(2,1/(($F$1:F35=G36)+($G$1:G35=G36)),IF($F$1:F35=G36,$N$1:N35,$O$1:O35)),1000))))</f>
        <v/>
      </c>
      <c r="J36" s="12" t="str">
        <f t="shared" si="1"/>
        <v/>
      </c>
      <c r="K36" s="12" t="str">
        <f>IF(C36="","",IF(C36="Match",IF(INDEX('Match Log'!$D:$D,D36)="Win",1,IF(INDEX('Match Log'!$D:$D,D36)="Draw",0.5,0)),IF(C36="Tournament",INDEX('Tournament Log'!$K:$K,E36),IF(INDEX('Guest Log'!$C:$C,Q36)="Win",1,IF(INDEX('Guest Log'!$C:$C,Q36)="Draw",0.5,0)))))</f>
        <v/>
      </c>
      <c r="L36" s="12" t="str">
        <f>IF(C36="","",IF(C36="Match",32,IF(C36="Tournament",MIN(32*INDEX('Tournament Log'!$D:$D,E36),96),32)))</f>
        <v/>
      </c>
      <c r="M36" s="12" t="str">
        <f t="shared" si="2"/>
        <v/>
      </c>
      <c r="N36" s="12" t="str">
        <f t="shared" si="3"/>
        <v/>
      </c>
      <c r="O36" s="12" t="str">
        <f t="shared" si="4"/>
        <v/>
      </c>
      <c r="P36" s="12" t="str">
        <f>IF(C36="Tournament",INDEX('Tournament Log'!$B:$B,E36),IF(C36="Guest","Guest: "&amp;INDEX('Guest Log'!$H:$H,Q36),""))</f>
        <v/>
      </c>
      <c r="Q36" t="str">
        <f>IFERROR(MATCH($A36,'Guest Log'!$L$4:$L$203,0)+3,"")</f>
        <v/>
      </c>
    </row>
    <row r="37" spans="1:17" ht="15" customHeight="1" x14ac:dyDescent="0.2">
      <c r="A37" s="12">
        <f>36</f>
        <v>36</v>
      </c>
      <c r="B37" s="12" t="str">
        <f>IF(C37="","",IF(C37="Match",INDEX('Match Log'!$A:$A,D37),IF(C37="Tournament",INDEX('Tournament Log'!$A:$A,E37),INDEX('Guest Log'!$A:$A,Q37))))</f>
        <v/>
      </c>
      <c r="C37" s="12" t="str">
        <f t="shared" si="0"/>
        <v/>
      </c>
      <c r="D37" s="31" t="str">
        <f>IFERROR(MATCH($A37,'Match Log'!$K$3:$K$501,0)+2,"")</f>
        <v/>
      </c>
      <c r="E37" s="31" t="str">
        <f>IFERROR(MATCH($A37,'Tournament Log'!$O$4:$O$203,0)+3,"")</f>
        <v/>
      </c>
      <c r="F37" s="12" t="str">
        <f>IF(C37="","",IF(C37="Match",INDEX('Match Log'!$B:$B,D37),IF(C37="Tournament",INDEX('Tournament Log'!$C:$C,E37),INDEX('Guest Log'!$B:$B,Q37))))</f>
        <v/>
      </c>
      <c r="G37" s="12" t="str">
        <f>IF(C37="","",IF(C37="Match",INDEX('Match Log'!$C:$C,D37),IF(C37="Tournament",INDEX('Tournament Log'!$B:$B,E37)&amp;" (Phantom)",INDEX('Guest Log'!$H:$H,Q37)&amp;" (Guest)")))</f>
        <v/>
      </c>
      <c r="H37" s="32" t="str">
        <f t="array" ref="H37">IF(C37="","",IFERROR(LOOKUP(2,1/(($F$1:F36=F37)+($G$1:G36=F37)),IF($F$1:F36=F37,$N$1:N36,$O$1:O36)),1000))</f>
        <v/>
      </c>
      <c r="I37" s="12" t="str">
        <f t="array" ref="I37">IF(C37="","",IF(C37="Tournament",INDEX('Tournament Log'!$J:$J,E37),IF(C37="Guest",IF(INDEX('Guest Log'!$I:$I,Q37)="",1000,INDEX('Guest Log'!$I:$I,Q37)),IFERROR(LOOKUP(2,1/(($F$1:F36=G37)+($G$1:G36=G37)),IF($F$1:F36=G37,$N$1:N36,$O$1:O36)),1000))))</f>
        <v/>
      </c>
      <c r="J37" s="12" t="str">
        <f t="shared" si="1"/>
        <v/>
      </c>
      <c r="K37" s="12" t="str">
        <f>IF(C37="","",IF(C37="Match",IF(INDEX('Match Log'!$D:$D,D37)="Win",1,IF(INDEX('Match Log'!$D:$D,D37)="Draw",0.5,0)),IF(C37="Tournament",INDEX('Tournament Log'!$K:$K,E37),IF(INDEX('Guest Log'!$C:$C,Q37)="Win",1,IF(INDEX('Guest Log'!$C:$C,Q37)="Draw",0.5,0)))))</f>
        <v/>
      </c>
      <c r="L37" s="12" t="str">
        <f>IF(C37="","",IF(C37="Match",32,IF(C37="Tournament",MIN(32*INDEX('Tournament Log'!$D:$D,E37),96),32)))</f>
        <v/>
      </c>
      <c r="M37" s="12" t="str">
        <f t="shared" si="2"/>
        <v/>
      </c>
      <c r="N37" s="12" t="str">
        <f t="shared" si="3"/>
        <v/>
      </c>
      <c r="O37" s="12" t="str">
        <f t="shared" si="4"/>
        <v/>
      </c>
      <c r="P37" s="12" t="str">
        <f>IF(C37="Tournament",INDEX('Tournament Log'!$B:$B,E37),IF(C37="Guest","Guest: "&amp;INDEX('Guest Log'!$H:$H,Q37),""))</f>
        <v/>
      </c>
      <c r="Q37" t="str">
        <f>IFERROR(MATCH($A37,'Guest Log'!$L$4:$L$203,0)+3,"")</f>
        <v/>
      </c>
    </row>
    <row r="38" spans="1:17" ht="15" customHeight="1" x14ac:dyDescent="0.2">
      <c r="A38" s="12">
        <f>37</f>
        <v>37</v>
      </c>
      <c r="B38" s="12" t="str">
        <f>IF(C38="","",IF(C38="Match",INDEX('Match Log'!$A:$A,D38),IF(C38="Tournament",INDEX('Tournament Log'!$A:$A,E38),INDEX('Guest Log'!$A:$A,Q38))))</f>
        <v/>
      </c>
      <c r="C38" s="12" t="str">
        <f t="shared" si="0"/>
        <v/>
      </c>
      <c r="D38" s="31" t="str">
        <f>IFERROR(MATCH($A38,'Match Log'!$K$3:$K$501,0)+2,"")</f>
        <v/>
      </c>
      <c r="E38" s="31" t="str">
        <f>IFERROR(MATCH($A38,'Tournament Log'!$O$4:$O$203,0)+3,"")</f>
        <v/>
      </c>
      <c r="F38" s="12" t="str">
        <f>IF(C38="","",IF(C38="Match",INDEX('Match Log'!$B:$B,D38),IF(C38="Tournament",INDEX('Tournament Log'!$C:$C,E38),INDEX('Guest Log'!$B:$B,Q38))))</f>
        <v/>
      </c>
      <c r="G38" s="12" t="str">
        <f>IF(C38="","",IF(C38="Match",INDEX('Match Log'!$C:$C,D38),IF(C38="Tournament",INDEX('Tournament Log'!$B:$B,E38)&amp;" (Phantom)",INDEX('Guest Log'!$H:$H,Q38)&amp;" (Guest)")))</f>
        <v/>
      </c>
      <c r="H38" s="32" t="str">
        <f t="array" ref="H38">IF(C38="","",IFERROR(LOOKUP(2,1/(($F$1:F37=F38)+($G$1:G37=F38)),IF($F$1:F37=F38,$N$1:N37,$O$1:O37)),1000))</f>
        <v/>
      </c>
      <c r="I38" s="12" t="str">
        <f t="array" ref="I38">IF(C38="","",IF(C38="Tournament",INDEX('Tournament Log'!$J:$J,E38),IF(C38="Guest",IF(INDEX('Guest Log'!$I:$I,Q38)="",1000,INDEX('Guest Log'!$I:$I,Q38)),IFERROR(LOOKUP(2,1/(($F$1:F37=G38)+($G$1:G37=G38)),IF($F$1:F37=G38,$N$1:N37,$O$1:O37)),1000))))</f>
        <v/>
      </c>
      <c r="J38" s="12" t="str">
        <f t="shared" si="1"/>
        <v/>
      </c>
      <c r="K38" s="12" t="str">
        <f>IF(C38="","",IF(C38="Match",IF(INDEX('Match Log'!$D:$D,D38)="Win",1,IF(INDEX('Match Log'!$D:$D,D38)="Draw",0.5,0)),IF(C38="Tournament",INDEX('Tournament Log'!$K:$K,E38),IF(INDEX('Guest Log'!$C:$C,Q38)="Win",1,IF(INDEX('Guest Log'!$C:$C,Q38)="Draw",0.5,0)))))</f>
        <v/>
      </c>
      <c r="L38" s="12" t="str">
        <f>IF(C38="","",IF(C38="Match",32,IF(C38="Tournament",MIN(32*INDEX('Tournament Log'!$D:$D,E38),96),32)))</f>
        <v/>
      </c>
      <c r="M38" s="12" t="str">
        <f t="shared" si="2"/>
        <v/>
      </c>
      <c r="N38" s="12" t="str">
        <f t="shared" si="3"/>
        <v/>
      </c>
      <c r="O38" s="12" t="str">
        <f t="shared" si="4"/>
        <v/>
      </c>
      <c r="P38" s="12" t="str">
        <f>IF(C38="Tournament",INDEX('Tournament Log'!$B:$B,E38),IF(C38="Guest","Guest: "&amp;INDEX('Guest Log'!$H:$H,Q38),""))</f>
        <v/>
      </c>
      <c r="Q38" t="str">
        <f>IFERROR(MATCH($A38,'Guest Log'!$L$4:$L$203,0)+3,"")</f>
        <v/>
      </c>
    </row>
    <row r="39" spans="1:17" ht="15" customHeight="1" x14ac:dyDescent="0.2">
      <c r="A39" s="12">
        <f>38</f>
        <v>38</v>
      </c>
      <c r="B39" s="12" t="str">
        <f>IF(C39="","",IF(C39="Match",INDEX('Match Log'!$A:$A,D39),IF(C39="Tournament",INDEX('Tournament Log'!$A:$A,E39),INDEX('Guest Log'!$A:$A,Q39))))</f>
        <v/>
      </c>
      <c r="C39" s="12" t="str">
        <f t="shared" si="0"/>
        <v/>
      </c>
      <c r="D39" s="31" t="str">
        <f>IFERROR(MATCH($A39,'Match Log'!$K$3:$K$501,0)+2,"")</f>
        <v/>
      </c>
      <c r="E39" s="31" t="str">
        <f>IFERROR(MATCH($A39,'Tournament Log'!$O$4:$O$203,0)+3,"")</f>
        <v/>
      </c>
      <c r="F39" s="12" t="str">
        <f>IF(C39="","",IF(C39="Match",INDEX('Match Log'!$B:$B,D39),IF(C39="Tournament",INDEX('Tournament Log'!$C:$C,E39),INDEX('Guest Log'!$B:$B,Q39))))</f>
        <v/>
      </c>
      <c r="G39" s="12" t="str">
        <f>IF(C39="","",IF(C39="Match",INDEX('Match Log'!$C:$C,D39),IF(C39="Tournament",INDEX('Tournament Log'!$B:$B,E39)&amp;" (Phantom)",INDEX('Guest Log'!$H:$H,Q39)&amp;" (Guest)")))</f>
        <v/>
      </c>
      <c r="H39" s="32" t="str">
        <f t="array" ref="H39">IF(C39="","",IFERROR(LOOKUP(2,1/(($F$1:F38=F39)+($G$1:G38=F39)),IF($F$1:F38=F39,$N$1:N38,$O$1:O38)),1000))</f>
        <v/>
      </c>
      <c r="I39" s="12" t="str">
        <f t="array" ref="I39">IF(C39="","",IF(C39="Tournament",INDEX('Tournament Log'!$J:$J,E39),IF(C39="Guest",IF(INDEX('Guest Log'!$I:$I,Q39)="",1000,INDEX('Guest Log'!$I:$I,Q39)),IFERROR(LOOKUP(2,1/(($F$1:F38=G39)+($G$1:G38=G39)),IF($F$1:F38=G39,$N$1:N38,$O$1:O38)),1000))))</f>
        <v/>
      </c>
      <c r="J39" s="12" t="str">
        <f t="shared" si="1"/>
        <v/>
      </c>
      <c r="K39" s="12" t="str">
        <f>IF(C39="","",IF(C39="Match",IF(INDEX('Match Log'!$D:$D,D39)="Win",1,IF(INDEX('Match Log'!$D:$D,D39)="Draw",0.5,0)),IF(C39="Tournament",INDEX('Tournament Log'!$K:$K,E39),IF(INDEX('Guest Log'!$C:$C,Q39)="Win",1,IF(INDEX('Guest Log'!$C:$C,Q39)="Draw",0.5,0)))))</f>
        <v/>
      </c>
      <c r="L39" s="12" t="str">
        <f>IF(C39="","",IF(C39="Match",32,IF(C39="Tournament",MIN(32*INDEX('Tournament Log'!$D:$D,E39),96),32)))</f>
        <v/>
      </c>
      <c r="M39" s="12" t="str">
        <f t="shared" si="2"/>
        <v/>
      </c>
      <c r="N39" s="12" t="str">
        <f t="shared" si="3"/>
        <v/>
      </c>
      <c r="O39" s="12" t="str">
        <f t="shared" si="4"/>
        <v/>
      </c>
      <c r="P39" s="12" t="str">
        <f>IF(C39="Tournament",INDEX('Tournament Log'!$B:$B,E39),IF(C39="Guest","Guest: "&amp;INDEX('Guest Log'!$H:$H,Q39),""))</f>
        <v/>
      </c>
      <c r="Q39" t="str">
        <f>IFERROR(MATCH($A39,'Guest Log'!$L$4:$L$203,0)+3,"")</f>
        <v/>
      </c>
    </row>
    <row r="40" spans="1:17" ht="15" customHeight="1" x14ac:dyDescent="0.2">
      <c r="A40" s="12">
        <f>39</f>
        <v>39</v>
      </c>
      <c r="B40" s="12" t="str">
        <f>IF(C40="","",IF(C40="Match",INDEX('Match Log'!$A:$A,D40),IF(C40="Tournament",INDEX('Tournament Log'!$A:$A,E40),INDEX('Guest Log'!$A:$A,Q40))))</f>
        <v/>
      </c>
      <c r="C40" s="12" t="str">
        <f t="shared" si="0"/>
        <v/>
      </c>
      <c r="D40" s="31" t="str">
        <f>IFERROR(MATCH($A40,'Match Log'!$K$3:$K$501,0)+2,"")</f>
        <v/>
      </c>
      <c r="E40" s="31" t="str">
        <f>IFERROR(MATCH($A40,'Tournament Log'!$O$4:$O$203,0)+3,"")</f>
        <v/>
      </c>
      <c r="F40" s="12" t="str">
        <f>IF(C40="","",IF(C40="Match",INDEX('Match Log'!$B:$B,D40),IF(C40="Tournament",INDEX('Tournament Log'!$C:$C,E40),INDEX('Guest Log'!$B:$B,Q40))))</f>
        <v/>
      </c>
      <c r="G40" s="12" t="str">
        <f>IF(C40="","",IF(C40="Match",INDEX('Match Log'!$C:$C,D40),IF(C40="Tournament",INDEX('Tournament Log'!$B:$B,E40)&amp;" (Phantom)",INDEX('Guest Log'!$H:$H,Q40)&amp;" (Guest)")))</f>
        <v/>
      </c>
      <c r="H40" s="32" t="str">
        <f t="array" ref="H40">IF(C40="","",IFERROR(LOOKUP(2,1/(($F$1:F39=F40)+($G$1:G39=F40)),IF($F$1:F39=F40,$N$1:N39,$O$1:O39)),1000))</f>
        <v/>
      </c>
      <c r="I40" s="12" t="str">
        <f t="array" ref="I40">IF(C40="","",IF(C40="Tournament",INDEX('Tournament Log'!$J:$J,E40),IF(C40="Guest",IF(INDEX('Guest Log'!$I:$I,Q40)="",1000,INDEX('Guest Log'!$I:$I,Q40)),IFERROR(LOOKUP(2,1/(($F$1:F39=G40)+($G$1:G39=G40)),IF($F$1:F39=G40,$N$1:N39,$O$1:O39)),1000))))</f>
        <v/>
      </c>
      <c r="J40" s="12" t="str">
        <f t="shared" si="1"/>
        <v/>
      </c>
      <c r="K40" s="12" t="str">
        <f>IF(C40="","",IF(C40="Match",IF(INDEX('Match Log'!$D:$D,D40)="Win",1,IF(INDEX('Match Log'!$D:$D,D40)="Draw",0.5,0)),IF(C40="Tournament",INDEX('Tournament Log'!$K:$K,E40),IF(INDEX('Guest Log'!$C:$C,Q40)="Win",1,IF(INDEX('Guest Log'!$C:$C,Q40)="Draw",0.5,0)))))</f>
        <v/>
      </c>
      <c r="L40" s="12" t="str">
        <f>IF(C40="","",IF(C40="Match",32,IF(C40="Tournament",MIN(32*INDEX('Tournament Log'!$D:$D,E40),96),32)))</f>
        <v/>
      </c>
      <c r="M40" s="12" t="str">
        <f t="shared" si="2"/>
        <v/>
      </c>
      <c r="N40" s="12" t="str">
        <f t="shared" si="3"/>
        <v/>
      </c>
      <c r="O40" s="12" t="str">
        <f t="shared" si="4"/>
        <v/>
      </c>
      <c r="P40" s="12" t="str">
        <f>IF(C40="Tournament",INDEX('Tournament Log'!$B:$B,E40),IF(C40="Guest","Guest: "&amp;INDEX('Guest Log'!$H:$H,Q40),""))</f>
        <v/>
      </c>
      <c r="Q40" t="str">
        <f>IFERROR(MATCH($A40,'Guest Log'!$L$4:$L$203,0)+3,"")</f>
        <v/>
      </c>
    </row>
    <row r="41" spans="1:17" ht="15" customHeight="1" x14ac:dyDescent="0.2">
      <c r="A41" s="12">
        <f>40</f>
        <v>40</v>
      </c>
      <c r="B41" s="12" t="str">
        <f>IF(C41="","",IF(C41="Match",INDEX('Match Log'!$A:$A,D41),IF(C41="Tournament",INDEX('Tournament Log'!$A:$A,E41),INDEX('Guest Log'!$A:$A,Q41))))</f>
        <v/>
      </c>
      <c r="C41" s="12" t="str">
        <f t="shared" si="0"/>
        <v/>
      </c>
      <c r="D41" s="31" t="str">
        <f>IFERROR(MATCH($A41,'Match Log'!$K$3:$K$501,0)+2,"")</f>
        <v/>
      </c>
      <c r="E41" s="31" t="str">
        <f>IFERROR(MATCH($A41,'Tournament Log'!$O$4:$O$203,0)+3,"")</f>
        <v/>
      </c>
      <c r="F41" s="12" t="str">
        <f>IF(C41="","",IF(C41="Match",INDEX('Match Log'!$B:$B,D41),IF(C41="Tournament",INDEX('Tournament Log'!$C:$C,E41),INDEX('Guest Log'!$B:$B,Q41))))</f>
        <v/>
      </c>
      <c r="G41" s="12" t="str">
        <f>IF(C41="","",IF(C41="Match",INDEX('Match Log'!$C:$C,D41),IF(C41="Tournament",INDEX('Tournament Log'!$B:$B,E41)&amp;" (Phantom)",INDEX('Guest Log'!$H:$H,Q41)&amp;" (Guest)")))</f>
        <v/>
      </c>
      <c r="H41" s="32" t="str">
        <f t="array" ref="H41">IF(C41="","",IFERROR(LOOKUP(2,1/(($F$1:F40=F41)+($G$1:G40=F41)),IF($F$1:F40=F41,$N$1:N40,$O$1:O40)),1000))</f>
        <v/>
      </c>
      <c r="I41" s="12" t="str">
        <f t="array" ref="I41">IF(C41="","",IF(C41="Tournament",INDEX('Tournament Log'!$J:$J,E41),IF(C41="Guest",IF(INDEX('Guest Log'!$I:$I,Q41)="",1000,INDEX('Guest Log'!$I:$I,Q41)),IFERROR(LOOKUP(2,1/(($F$1:F40=G41)+($G$1:G40=G41)),IF($F$1:F40=G41,$N$1:N40,$O$1:O40)),1000))))</f>
        <v/>
      </c>
      <c r="J41" s="12" t="str">
        <f t="shared" si="1"/>
        <v/>
      </c>
      <c r="K41" s="12" t="str">
        <f>IF(C41="","",IF(C41="Match",IF(INDEX('Match Log'!$D:$D,D41)="Win",1,IF(INDEX('Match Log'!$D:$D,D41)="Draw",0.5,0)),IF(C41="Tournament",INDEX('Tournament Log'!$K:$K,E41),IF(INDEX('Guest Log'!$C:$C,Q41)="Win",1,IF(INDEX('Guest Log'!$C:$C,Q41)="Draw",0.5,0)))))</f>
        <v/>
      </c>
      <c r="L41" s="12" t="str">
        <f>IF(C41="","",IF(C41="Match",32,IF(C41="Tournament",MIN(32*INDEX('Tournament Log'!$D:$D,E41),96),32)))</f>
        <v/>
      </c>
      <c r="M41" s="12" t="str">
        <f t="shared" si="2"/>
        <v/>
      </c>
      <c r="N41" s="12" t="str">
        <f t="shared" si="3"/>
        <v/>
      </c>
      <c r="O41" s="12" t="str">
        <f t="shared" si="4"/>
        <v/>
      </c>
      <c r="P41" s="12" t="str">
        <f>IF(C41="Tournament",INDEX('Tournament Log'!$B:$B,E41),IF(C41="Guest","Guest: "&amp;INDEX('Guest Log'!$H:$H,Q41),""))</f>
        <v/>
      </c>
      <c r="Q41" t="str">
        <f>IFERROR(MATCH($A41,'Guest Log'!$L$4:$L$203,0)+3,"")</f>
        <v/>
      </c>
    </row>
    <row r="42" spans="1:17" ht="15" customHeight="1" x14ac:dyDescent="0.2">
      <c r="A42" s="12">
        <f>41</f>
        <v>41</v>
      </c>
      <c r="B42" s="12" t="str">
        <f>IF(C42="","",IF(C42="Match",INDEX('Match Log'!$A:$A,D42),IF(C42="Tournament",INDEX('Tournament Log'!$A:$A,E42),INDEX('Guest Log'!$A:$A,Q42))))</f>
        <v/>
      </c>
      <c r="C42" s="12" t="str">
        <f t="shared" si="0"/>
        <v/>
      </c>
      <c r="D42" s="31" t="str">
        <f>IFERROR(MATCH($A42,'Match Log'!$K$3:$K$501,0)+2,"")</f>
        <v/>
      </c>
      <c r="E42" s="31" t="str">
        <f>IFERROR(MATCH($A42,'Tournament Log'!$O$4:$O$203,0)+3,"")</f>
        <v/>
      </c>
      <c r="F42" s="12" t="str">
        <f>IF(C42="","",IF(C42="Match",INDEX('Match Log'!$B:$B,D42),IF(C42="Tournament",INDEX('Tournament Log'!$C:$C,E42),INDEX('Guest Log'!$B:$B,Q42))))</f>
        <v/>
      </c>
      <c r="G42" s="12" t="str">
        <f>IF(C42="","",IF(C42="Match",INDEX('Match Log'!$C:$C,D42),IF(C42="Tournament",INDEX('Tournament Log'!$B:$B,E42)&amp;" (Phantom)",INDEX('Guest Log'!$H:$H,Q42)&amp;" (Guest)")))</f>
        <v/>
      </c>
      <c r="H42" s="32" t="str">
        <f t="array" ref="H42">IF(C42="","",IFERROR(LOOKUP(2,1/(($F$1:F41=F42)+($G$1:G41=F42)),IF($F$1:F41=F42,$N$1:N41,$O$1:O41)),1000))</f>
        <v/>
      </c>
      <c r="I42" s="12" t="str">
        <f t="array" ref="I42">IF(C42="","",IF(C42="Tournament",INDEX('Tournament Log'!$J:$J,E42),IF(C42="Guest",IF(INDEX('Guest Log'!$I:$I,Q42)="",1000,INDEX('Guest Log'!$I:$I,Q42)),IFERROR(LOOKUP(2,1/(($F$1:F41=G42)+($G$1:G41=G42)),IF($F$1:F41=G42,$N$1:N41,$O$1:O41)),1000))))</f>
        <v/>
      </c>
      <c r="J42" s="12" t="str">
        <f t="shared" si="1"/>
        <v/>
      </c>
      <c r="K42" s="12" t="str">
        <f>IF(C42="","",IF(C42="Match",IF(INDEX('Match Log'!$D:$D,D42)="Win",1,IF(INDEX('Match Log'!$D:$D,D42)="Draw",0.5,0)),IF(C42="Tournament",INDEX('Tournament Log'!$K:$K,E42),IF(INDEX('Guest Log'!$C:$C,Q42)="Win",1,IF(INDEX('Guest Log'!$C:$C,Q42)="Draw",0.5,0)))))</f>
        <v/>
      </c>
      <c r="L42" s="12" t="str">
        <f>IF(C42="","",IF(C42="Match",32,IF(C42="Tournament",MIN(32*INDEX('Tournament Log'!$D:$D,E42),96),32)))</f>
        <v/>
      </c>
      <c r="M42" s="12" t="str">
        <f t="shared" si="2"/>
        <v/>
      </c>
      <c r="N42" s="12" t="str">
        <f t="shared" si="3"/>
        <v/>
      </c>
      <c r="O42" s="12" t="str">
        <f t="shared" si="4"/>
        <v/>
      </c>
      <c r="P42" s="12" t="str">
        <f>IF(C42="Tournament",INDEX('Tournament Log'!$B:$B,E42),IF(C42="Guest","Guest: "&amp;INDEX('Guest Log'!$H:$H,Q42),""))</f>
        <v/>
      </c>
      <c r="Q42" t="str">
        <f>IFERROR(MATCH($A42,'Guest Log'!$L$4:$L$203,0)+3,"")</f>
        <v/>
      </c>
    </row>
    <row r="43" spans="1:17" ht="15" customHeight="1" x14ac:dyDescent="0.2">
      <c r="A43" s="12">
        <f>42</f>
        <v>42</v>
      </c>
      <c r="B43" s="12" t="str">
        <f>IF(C43="","",IF(C43="Match",INDEX('Match Log'!$A:$A,D43),IF(C43="Tournament",INDEX('Tournament Log'!$A:$A,E43),INDEX('Guest Log'!$A:$A,Q43))))</f>
        <v/>
      </c>
      <c r="C43" s="12" t="str">
        <f t="shared" si="0"/>
        <v/>
      </c>
      <c r="D43" s="31" t="str">
        <f>IFERROR(MATCH($A43,'Match Log'!$K$3:$K$501,0)+2,"")</f>
        <v/>
      </c>
      <c r="E43" s="31" t="str">
        <f>IFERROR(MATCH($A43,'Tournament Log'!$O$4:$O$203,0)+3,"")</f>
        <v/>
      </c>
      <c r="F43" s="12" t="str">
        <f>IF(C43="","",IF(C43="Match",INDEX('Match Log'!$B:$B,D43),IF(C43="Tournament",INDEX('Tournament Log'!$C:$C,E43),INDEX('Guest Log'!$B:$B,Q43))))</f>
        <v/>
      </c>
      <c r="G43" s="12" t="str">
        <f>IF(C43="","",IF(C43="Match",INDEX('Match Log'!$C:$C,D43),IF(C43="Tournament",INDEX('Tournament Log'!$B:$B,E43)&amp;" (Phantom)",INDEX('Guest Log'!$H:$H,Q43)&amp;" (Guest)")))</f>
        <v/>
      </c>
      <c r="H43" s="32" t="str">
        <f t="array" ref="H43">IF(C43="","",IFERROR(LOOKUP(2,1/(($F$1:F42=F43)+($G$1:G42=F43)),IF($F$1:F42=F43,$N$1:N42,$O$1:O42)),1000))</f>
        <v/>
      </c>
      <c r="I43" s="12" t="str">
        <f t="array" ref="I43">IF(C43="","",IF(C43="Tournament",INDEX('Tournament Log'!$J:$J,E43),IF(C43="Guest",IF(INDEX('Guest Log'!$I:$I,Q43)="",1000,INDEX('Guest Log'!$I:$I,Q43)),IFERROR(LOOKUP(2,1/(($F$1:F42=G43)+($G$1:G42=G43)),IF($F$1:F42=G43,$N$1:N42,$O$1:O42)),1000))))</f>
        <v/>
      </c>
      <c r="J43" s="12" t="str">
        <f t="shared" si="1"/>
        <v/>
      </c>
      <c r="K43" s="12" t="str">
        <f>IF(C43="","",IF(C43="Match",IF(INDEX('Match Log'!$D:$D,D43)="Win",1,IF(INDEX('Match Log'!$D:$D,D43)="Draw",0.5,0)),IF(C43="Tournament",INDEX('Tournament Log'!$K:$K,E43),IF(INDEX('Guest Log'!$C:$C,Q43)="Win",1,IF(INDEX('Guest Log'!$C:$C,Q43)="Draw",0.5,0)))))</f>
        <v/>
      </c>
      <c r="L43" s="12" t="str">
        <f>IF(C43="","",IF(C43="Match",32,IF(C43="Tournament",MIN(32*INDEX('Tournament Log'!$D:$D,E43),96),32)))</f>
        <v/>
      </c>
      <c r="M43" s="12" t="str">
        <f t="shared" si="2"/>
        <v/>
      </c>
      <c r="N43" s="12" t="str">
        <f t="shared" si="3"/>
        <v/>
      </c>
      <c r="O43" s="12" t="str">
        <f t="shared" si="4"/>
        <v/>
      </c>
      <c r="P43" s="12" t="str">
        <f>IF(C43="Tournament",INDEX('Tournament Log'!$B:$B,E43),IF(C43="Guest","Guest: "&amp;INDEX('Guest Log'!$H:$H,Q43),""))</f>
        <v/>
      </c>
      <c r="Q43" t="str">
        <f>IFERROR(MATCH($A43,'Guest Log'!$L$4:$L$203,0)+3,"")</f>
        <v/>
      </c>
    </row>
    <row r="44" spans="1:17" ht="15" customHeight="1" x14ac:dyDescent="0.2">
      <c r="A44" s="12">
        <f>43</f>
        <v>43</v>
      </c>
      <c r="B44" s="12" t="str">
        <f>IF(C44="","",IF(C44="Match",INDEX('Match Log'!$A:$A,D44),IF(C44="Tournament",INDEX('Tournament Log'!$A:$A,E44),INDEX('Guest Log'!$A:$A,Q44))))</f>
        <v/>
      </c>
      <c r="C44" s="12" t="str">
        <f t="shared" si="0"/>
        <v/>
      </c>
      <c r="D44" s="31" t="str">
        <f>IFERROR(MATCH($A44,'Match Log'!$K$3:$K$501,0)+2,"")</f>
        <v/>
      </c>
      <c r="E44" s="31" t="str">
        <f>IFERROR(MATCH($A44,'Tournament Log'!$O$4:$O$203,0)+3,"")</f>
        <v/>
      </c>
      <c r="F44" s="12" t="str">
        <f>IF(C44="","",IF(C44="Match",INDEX('Match Log'!$B:$B,D44),IF(C44="Tournament",INDEX('Tournament Log'!$C:$C,E44),INDEX('Guest Log'!$B:$B,Q44))))</f>
        <v/>
      </c>
      <c r="G44" s="12" t="str">
        <f>IF(C44="","",IF(C44="Match",INDEX('Match Log'!$C:$C,D44),IF(C44="Tournament",INDEX('Tournament Log'!$B:$B,E44)&amp;" (Phantom)",INDEX('Guest Log'!$H:$H,Q44)&amp;" (Guest)")))</f>
        <v/>
      </c>
      <c r="H44" s="32" t="str">
        <f t="array" ref="H44">IF(C44="","",IFERROR(LOOKUP(2,1/(($F$1:F43=F44)+($G$1:G43=F44)),IF($F$1:F43=F44,$N$1:N43,$O$1:O43)),1000))</f>
        <v/>
      </c>
      <c r="I44" s="12" t="str">
        <f t="array" ref="I44">IF(C44="","",IF(C44="Tournament",INDEX('Tournament Log'!$J:$J,E44),IF(C44="Guest",IF(INDEX('Guest Log'!$I:$I,Q44)="",1000,INDEX('Guest Log'!$I:$I,Q44)),IFERROR(LOOKUP(2,1/(($F$1:F43=G44)+($G$1:G43=G44)),IF($F$1:F43=G44,$N$1:N43,$O$1:O43)),1000))))</f>
        <v/>
      </c>
      <c r="J44" s="12" t="str">
        <f t="shared" si="1"/>
        <v/>
      </c>
      <c r="K44" s="12" t="str">
        <f>IF(C44="","",IF(C44="Match",IF(INDEX('Match Log'!$D:$D,D44)="Win",1,IF(INDEX('Match Log'!$D:$D,D44)="Draw",0.5,0)),IF(C44="Tournament",INDEX('Tournament Log'!$K:$K,E44),IF(INDEX('Guest Log'!$C:$C,Q44)="Win",1,IF(INDEX('Guest Log'!$C:$C,Q44)="Draw",0.5,0)))))</f>
        <v/>
      </c>
      <c r="L44" s="12" t="str">
        <f>IF(C44="","",IF(C44="Match",32,IF(C44="Tournament",MIN(32*INDEX('Tournament Log'!$D:$D,E44),96),32)))</f>
        <v/>
      </c>
      <c r="M44" s="12" t="str">
        <f t="shared" si="2"/>
        <v/>
      </c>
      <c r="N44" s="12" t="str">
        <f t="shared" si="3"/>
        <v/>
      </c>
      <c r="O44" s="12" t="str">
        <f t="shared" si="4"/>
        <v/>
      </c>
      <c r="P44" s="12" t="str">
        <f>IF(C44="Tournament",INDEX('Tournament Log'!$B:$B,E44),IF(C44="Guest","Guest: "&amp;INDEX('Guest Log'!$H:$H,Q44),""))</f>
        <v/>
      </c>
      <c r="Q44" t="str">
        <f>IFERROR(MATCH($A44,'Guest Log'!$L$4:$L$203,0)+3,"")</f>
        <v/>
      </c>
    </row>
    <row r="45" spans="1:17" ht="15" customHeight="1" x14ac:dyDescent="0.2">
      <c r="A45" s="12">
        <f>44</f>
        <v>44</v>
      </c>
      <c r="B45" s="12" t="str">
        <f>IF(C45="","",IF(C45="Match",INDEX('Match Log'!$A:$A,D45),IF(C45="Tournament",INDEX('Tournament Log'!$A:$A,E45),INDEX('Guest Log'!$A:$A,Q45))))</f>
        <v/>
      </c>
      <c r="C45" s="12" t="str">
        <f t="shared" si="0"/>
        <v/>
      </c>
      <c r="D45" s="31" t="str">
        <f>IFERROR(MATCH($A45,'Match Log'!$K$3:$K$501,0)+2,"")</f>
        <v/>
      </c>
      <c r="E45" s="31" t="str">
        <f>IFERROR(MATCH($A45,'Tournament Log'!$O$4:$O$203,0)+3,"")</f>
        <v/>
      </c>
      <c r="F45" s="12" t="str">
        <f>IF(C45="","",IF(C45="Match",INDEX('Match Log'!$B:$B,D45),IF(C45="Tournament",INDEX('Tournament Log'!$C:$C,E45),INDEX('Guest Log'!$B:$B,Q45))))</f>
        <v/>
      </c>
      <c r="G45" s="12" t="str">
        <f>IF(C45="","",IF(C45="Match",INDEX('Match Log'!$C:$C,D45),IF(C45="Tournament",INDEX('Tournament Log'!$B:$B,E45)&amp;" (Phantom)",INDEX('Guest Log'!$H:$H,Q45)&amp;" (Guest)")))</f>
        <v/>
      </c>
      <c r="H45" s="32" t="str">
        <f t="array" ref="H45">IF(C45="","",IFERROR(LOOKUP(2,1/(($F$1:F44=F45)+($G$1:G44=F45)),IF($F$1:F44=F45,$N$1:N44,$O$1:O44)),1000))</f>
        <v/>
      </c>
      <c r="I45" s="12" t="str">
        <f t="array" ref="I45">IF(C45="","",IF(C45="Tournament",INDEX('Tournament Log'!$J:$J,E45),IF(C45="Guest",IF(INDEX('Guest Log'!$I:$I,Q45)="",1000,INDEX('Guest Log'!$I:$I,Q45)),IFERROR(LOOKUP(2,1/(($F$1:F44=G45)+($G$1:G44=G45)),IF($F$1:F44=G45,$N$1:N44,$O$1:O44)),1000))))</f>
        <v/>
      </c>
      <c r="J45" s="12" t="str">
        <f t="shared" si="1"/>
        <v/>
      </c>
      <c r="K45" s="12" t="str">
        <f>IF(C45="","",IF(C45="Match",IF(INDEX('Match Log'!$D:$D,D45)="Win",1,IF(INDEX('Match Log'!$D:$D,D45)="Draw",0.5,0)),IF(C45="Tournament",INDEX('Tournament Log'!$K:$K,E45),IF(INDEX('Guest Log'!$C:$C,Q45)="Win",1,IF(INDEX('Guest Log'!$C:$C,Q45)="Draw",0.5,0)))))</f>
        <v/>
      </c>
      <c r="L45" s="12" t="str">
        <f>IF(C45="","",IF(C45="Match",32,IF(C45="Tournament",MIN(32*INDEX('Tournament Log'!$D:$D,E45),96),32)))</f>
        <v/>
      </c>
      <c r="M45" s="12" t="str">
        <f t="shared" si="2"/>
        <v/>
      </c>
      <c r="N45" s="12" t="str">
        <f t="shared" si="3"/>
        <v/>
      </c>
      <c r="O45" s="12" t="str">
        <f t="shared" si="4"/>
        <v/>
      </c>
      <c r="P45" s="12" t="str">
        <f>IF(C45="Tournament",INDEX('Tournament Log'!$B:$B,E45),IF(C45="Guest","Guest: "&amp;INDEX('Guest Log'!$H:$H,Q45),""))</f>
        <v/>
      </c>
      <c r="Q45" t="str">
        <f>IFERROR(MATCH($A45,'Guest Log'!$L$4:$L$203,0)+3,"")</f>
        <v/>
      </c>
    </row>
    <row r="46" spans="1:17" ht="15" customHeight="1" x14ac:dyDescent="0.2">
      <c r="A46" s="12">
        <f>45</f>
        <v>45</v>
      </c>
      <c r="B46" s="12" t="str">
        <f>IF(C46="","",IF(C46="Match",INDEX('Match Log'!$A:$A,D46),IF(C46="Tournament",INDEX('Tournament Log'!$A:$A,E46),INDEX('Guest Log'!$A:$A,Q46))))</f>
        <v/>
      </c>
      <c r="C46" s="12" t="str">
        <f t="shared" si="0"/>
        <v/>
      </c>
      <c r="D46" s="31" t="str">
        <f>IFERROR(MATCH($A46,'Match Log'!$K$3:$K$501,0)+2,"")</f>
        <v/>
      </c>
      <c r="E46" s="31" t="str">
        <f>IFERROR(MATCH($A46,'Tournament Log'!$O$4:$O$203,0)+3,"")</f>
        <v/>
      </c>
      <c r="F46" s="12" t="str">
        <f>IF(C46="","",IF(C46="Match",INDEX('Match Log'!$B:$B,D46),IF(C46="Tournament",INDEX('Tournament Log'!$C:$C,E46),INDEX('Guest Log'!$B:$B,Q46))))</f>
        <v/>
      </c>
      <c r="G46" s="12" t="str">
        <f>IF(C46="","",IF(C46="Match",INDEX('Match Log'!$C:$C,D46),IF(C46="Tournament",INDEX('Tournament Log'!$B:$B,E46)&amp;" (Phantom)",INDEX('Guest Log'!$H:$H,Q46)&amp;" (Guest)")))</f>
        <v/>
      </c>
      <c r="H46" s="32" t="str">
        <f t="array" ref="H46">IF(C46="","",IFERROR(LOOKUP(2,1/(($F$1:F45=F46)+($G$1:G45=F46)),IF($F$1:F45=F46,$N$1:N45,$O$1:O45)),1000))</f>
        <v/>
      </c>
      <c r="I46" s="12" t="str">
        <f t="array" ref="I46">IF(C46="","",IF(C46="Tournament",INDEX('Tournament Log'!$J:$J,E46),IF(C46="Guest",IF(INDEX('Guest Log'!$I:$I,Q46)="",1000,INDEX('Guest Log'!$I:$I,Q46)),IFERROR(LOOKUP(2,1/(($F$1:F45=G46)+($G$1:G45=G46)),IF($F$1:F45=G46,$N$1:N45,$O$1:O45)),1000))))</f>
        <v/>
      </c>
      <c r="J46" s="12" t="str">
        <f t="shared" si="1"/>
        <v/>
      </c>
      <c r="K46" s="12" t="str">
        <f>IF(C46="","",IF(C46="Match",IF(INDEX('Match Log'!$D:$D,D46)="Win",1,IF(INDEX('Match Log'!$D:$D,D46)="Draw",0.5,0)),IF(C46="Tournament",INDEX('Tournament Log'!$K:$K,E46),IF(INDEX('Guest Log'!$C:$C,Q46)="Win",1,IF(INDEX('Guest Log'!$C:$C,Q46)="Draw",0.5,0)))))</f>
        <v/>
      </c>
      <c r="L46" s="12" t="str">
        <f>IF(C46="","",IF(C46="Match",32,IF(C46="Tournament",MIN(32*INDEX('Tournament Log'!$D:$D,E46),96),32)))</f>
        <v/>
      </c>
      <c r="M46" s="12" t="str">
        <f t="shared" si="2"/>
        <v/>
      </c>
      <c r="N46" s="12" t="str">
        <f t="shared" si="3"/>
        <v/>
      </c>
      <c r="O46" s="12" t="str">
        <f t="shared" si="4"/>
        <v/>
      </c>
      <c r="P46" s="12" t="str">
        <f>IF(C46="Tournament",INDEX('Tournament Log'!$B:$B,E46),IF(C46="Guest","Guest: "&amp;INDEX('Guest Log'!$H:$H,Q46),""))</f>
        <v/>
      </c>
      <c r="Q46" t="str">
        <f>IFERROR(MATCH($A46,'Guest Log'!$L$4:$L$203,0)+3,"")</f>
        <v/>
      </c>
    </row>
    <row r="47" spans="1:17" ht="15" customHeight="1" x14ac:dyDescent="0.2">
      <c r="A47" s="12">
        <f>46</f>
        <v>46</v>
      </c>
      <c r="B47" s="12" t="str">
        <f>IF(C47="","",IF(C47="Match",INDEX('Match Log'!$A:$A,D47),IF(C47="Tournament",INDEX('Tournament Log'!$A:$A,E47),INDEX('Guest Log'!$A:$A,Q47))))</f>
        <v/>
      </c>
      <c r="C47" s="12" t="str">
        <f t="shared" si="0"/>
        <v/>
      </c>
      <c r="D47" s="31" t="str">
        <f>IFERROR(MATCH($A47,'Match Log'!$K$3:$K$501,0)+2,"")</f>
        <v/>
      </c>
      <c r="E47" s="31" t="str">
        <f>IFERROR(MATCH($A47,'Tournament Log'!$O$4:$O$203,0)+3,"")</f>
        <v/>
      </c>
      <c r="F47" s="12" t="str">
        <f>IF(C47="","",IF(C47="Match",INDEX('Match Log'!$B:$B,D47),IF(C47="Tournament",INDEX('Tournament Log'!$C:$C,E47),INDEX('Guest Log'!$B:$B,Q47))))</f>
        <v/>
      </c>
      <c r="G47" s="12" t="str">
        <f>IF(C47="","",IF(C47="Match",INDEX('Match Log'!$C:$C,D47),IF(C47="Tournament",INDEX('Tournament Log'!$B:$B,E47)&amp;" (Phantom)",INDEX('Guest Log'!$H:$H,Q47)&amp;" (Guest)")))</f>
        <v/>
      </c>
      <c r="H47" s="32" t="str">
        <f t="array" ref="H47">IF(C47="","",IFERROR(LOOKUP(2,1/(($F$1:F46=F47)+($G$1:G46=F47)),IF($F$1:F46=F47,$N$1:N46,$O$1:O46)),1000))</f>
        <v/>
      </c>
      <c r="I47" s="12" t="str">
        <f t="array" ref="I47">IF(C47="","",IF(C47="Tournament",INDEX('Tournament Log'!$J:$J,E47),IF(C47="Guest",IF(INDEX('Guest Log'!$I:$I,Q47)="",1000,INDEX('Guest Log'!$I:$I,Q47)),IFERROR(LOOKUP(2,1/(($F$1:F46=G47)+($G$1:G46=G47)),IF($F$1:F46=G47,$N$1:N46,$O$1:O46)),1000))))</f>
        <v/>
      </c>
      <c r="J47" s="12" t="str">
        <f t="shared" si="1"/>
        <v/>
      </c>
      <c r="K47" s="12" t="str">
        <f>IF(C47="","",IF(C47="Match",IF(INDEX('Match Log'!$D:$D,D47)="Win",1,IF(INDEX('Match Log'!$D:$D,D47)="Draw",0.5,0)),IF(C47="Tournament",INDEX('Tournament Log'!$K:$K,E47),IF(INDEX('Guest Log'!$C:$C,Q47)="Win",1,IF(INDEX('Guest Log'!$C:$C,Q47)="Draw",0.5,0)))))</f>
        <v/>
      </c>
      <c r="L47" s="12" t="str">
        <f>IF(C47="","",IF(C47="Match",32,IF(C47="Tournament",MIN(32*INDEX('Tournament Log'!$D:$D,E47),96),32)))</f>
        <v/>
      </c>
      <c r="M47" s="12" t="str">
        <f t="shared" si="2"/>
        <v/>
      </c>
      <c r="N47" s="12" t="str">
        <f t="shared" si="3"/>
        <v/>
      </c>
      <c r="O47" s="12" t="str">
        <f t="shared" si="4"/>
        <v/>
      </c>
      <c r="P47" s="12" t="str">
        <f>IF(C47="Tournament",INDEX('Tournament Log'!$B:$B,E47),IF(C47="Guest","Guest: "&amp;INDEX('Guest Log'!$H:$H,Q47),""))</f>
        <v/>
      </c>
      <c r="Q47" t="str">
        <f>IFERROR(MATCH($A47,'Guest Log'!$L$4:$L$203,0)+3,"")</f>
        <v/>
      </c>
    </row>
    <row r="48" spans="1:17" ht="15" customHeight="1" x14ac:dyDescent="0.2">
      <c r="A48" s="12">
        <f>47</f>
        <v>47</v>
      </c>
      <c r="B48" s="12" t="str">
        <f>IF(C48="","",IF(C48="Match",INDEX('Match Log'!$A:$A,D48),IF(C48="Tournament",INDEX('Tournament Log'!$A:$A,E48),INDEX('Guest Log'!$A:$A,Q48))))</f>
        <v/>
      </c>
      <c r="C48" s="12" t="str">
        <f t="shared" si="0"/>
        <v/>
      </c>
      <c r="D48" s="31" t="str">
        <f>IFERROR(MATCH($A48,'Match Log'!$K$3:$K$501,0)+2,"")</f>
        <v/>
      </c>
      <c r="E48" s="31" t="str">
        <f>IFERROR(MATCH($A48,'Tournament Log'!$O$4:$O$203,0)+3,"")</f>
        <v/>
      </c>
      <c r="F48" s="12" t="str">
        <f>IF(C48="","",IF(C48="Match",INDEX('Match Log'!$B:$B,D48),IF(C48="Tournament",INDEX('Tournament Log'!$C:$C,E48),INDEX('Guest Log'!$B:$B,Q48))))</f>
        <v/>
      </c>
      <c r="G48" s="12" t="str">
        <f>IF(C48="","",IF(C48="Match",INDEX('Match Log'!$C:$C,D48),IF(C48="Tournament",INDEX('Tournament Log'!$B:$B,E48)&amp;" (Phantom)",INDEX('Guest Log'!$H:$H,Q48)&amp;" (Guest)")))</f>
        <v/>
      </c>
      <c r="H48" s="32" t="str">
        <f t="array" ref="H48">IF(C48="","",IFERROR(LOOKUP(2,1/(($F$1:F47=F48)+($G$1:G47=F48)),IF($F$1:F47=F48,$N$1:N47,$O$1:O47)),1000))</f>
        <v/>
      </c>
      <c r="I48" s="12" t="str">
        <f t="array" ref="I48">IF(C48="","",IF(C48="Tournament",INDEX('Tournament Log'!$J:$J,E48),IF(C48="Guest",IF(INDEX('Guest Log'!$I:$I,Q48)="",1000,INDEX('Guest Log'!$I:$I,Q48)),IFERROR(LOOKUP(2,1/(($F$1:F47=G48)+($G$1:G47=G48)),IF($F$1:F47=G48,$N$1:N47,$O$1:O47)),1000))))</f>
        <v/>
      </c>
      <c r="J48" s="12" t="str">
        <f t="shared" si="1"/>
        <v/>
      </c>
      <c r="K48" s="12" t="str">
        <f>IF(C48="","",IF(C48="Match",IF(INDEX('Match Log'!$D:$D,D48)="Win",1,IF(INDEX('Match Log'!$D:$D,D48)="Draw",0.5,0)),IF(C48="Tournament",INDEX('Tournament Log'!$K:$K,E48),IF(INDEX('Guest Log'!$C:$C,Q48)="Win",1,IF(INDEX('Guest Log'!$C:$C,Q48)="Draw",0.5,0)))))</f>
        <v/>
      </c>
      <c r="L48" s="12" t="str">
        <f>IF(C48="","",IF(C48="Match",32,IF(C48="Tournament",MIN(32*INDEX('Tournament Log'!$D:$D,E48),96),32)))</f>
        <v/>
      </c>
      <c r="M48" s="12" t="str">
        <f t="shared" si="2"/>
        <v/>
      </c>
      <c r="N48" s="12" t="str">
        <f t="shared" si="3"/>
        <v/>
      </c>
      <c r="O48" s="12" t="str">
        <f t="shared" si="4"/>
        <v/>
      </c>
      <c r="P48" s="12" t="str">
        <f>IF(C48="Tournament",INDEX('Tournament Log'!$B:$B,E48),IF(C48="Guest","Guest: "&amp;INDEX('Guest Log'!$H:$H,Q48),""))</f>
        <v/>
      </c>
      <c r="Q48" t="str">
        <f>IFERROR(MATCH($A48,'Guest Log'!$L$4:$L$203,0)+3,"")</f>
        <v/>
      </c>
    </row>
    <row r="49" spans="1:17" ht="15" customHeight="1" x14ac:dyDescent="0.2">
      <c r="A49" s="12">
        <f>48</f>
        <v>48</v>
      </c>
      <c r="B49" s="12" t="str">
        <f>IF(C49="","",IF(C49="Match",INDEX('Match Log'!$A:$A,D49),IF(C49="Tournament",INDEX('Tournament Log'!$A:$A,E49),INDEX('Guest Log'!$A:$A,Q49))))</f>
        <v/>
      </c>
      <c r="C49" s="12" t="str">
        <f t="shared" si="0"/>
        <v/>
      </c>
      <c r="D49" s="31" t="str">
        <f>IFERROR(MATCH($A49,'Match Log'!$K$3:$K$501,0)+2,"")</f>
        <v/>
      </c>
      <c r="E49" s="31" t="str">
        <f>IFERROR(MATCH($A49,'Tournament Log'!$O$4:$O$203,0)+3,"")</f>
        <v/>
      </c>
      <c r="F49" s="12" t="str">
        <f>IF(C49="","",IF(C49="Match",INDEX('Match Log'!$B:$B,D49),IF(C49="Tournament",INDEX('Tournament Log'!$C:$C,E49),INDEX('Guest Log'!$B:$B,Q49))))</f>
        <v/>
      </c>
      <c r="G49" s="12" t="str">
        <f>IF(C49="","",IF(C49="Match",INDEX('Match Log'!$C:$C,D49),IF(C49="Tournament",INDEX('Tournament Log'!$B:$B,E49)&amp;" (Phantom)",INDEX('Guest Log'!$H:$H,Q49)&amp;" (Guest)")))</f>
        <v/>
      </c>
      <c r="H49" s="32" t="str">
        <f t="array" ref="H49">IF(C49="","",IFERROR(LOOKUP(2,1/(($F$1:F48=F49)+($G$1:G48=F49)),IF($F$1:F48=F49,$N$1:N48,$O$1:O48)),1000))</f>
        <v/>
      </c>
      <c r="I49" s="12" t="str">
        <f t="array" ref="I49">IF(C49="","",IF(C49="Tournament",INDEX('Tournament Log'!$J:$J,E49),IF(C49="Guest",IF(INDEX('Guest Log'!$I:$I,Q49)="",1000,INDEX('Guest Log'!$I:$I,Q49)),IFERROR(LOOKUP(2,1/(($F$1:F48=G49)+($G$1:G48=G49)),IF($F$1:F48=G49,$N$1:N48,$O$1:O48)),1000))))</f>
        <v/>
      </c>
      <c r="J49" s="12" t="str">
        <f t="shared" si="1"/>
        <v/>
      </c>
      <c r="K49" s="12" t="str">
        <f>IF(C49="","",IF(C49="Match",IF(INDEX('Match Log'!$D:$D,D49)="Win",1,IF(INDEX('Match Log'!$D:$D,D49)="Draw",0.5,0)),IF(C49="Tournament",INDEX('Tournament Log'!$K:$K,E49),IF(INDEX('Guest Log'!$C:$C,Q49)="Win",1,IF(INDEX('Guest Log'!$C:$C,Q49)="Draw",0.5,0)))))</f>
        <v/>
      </c>
      <c r="L49" s="12" t="str">
        <f>IF(C49="","",IF(C49="Match",32,IF(C49="Tournament",MIN(32*INDEX('Tournament Log'!$D:$D,E49),96),32)))</f>
        <v/>
      </c>
      <c r="M49" s="12" t="str">
        <f t="shared" si="2"/>
        <v/>
      </c>
      <c r="N49" s="12" t="str">
        <f t="shared" si="3"/>
        <v/>
      </c>
      <c r="O49" s="12" t="str">
        <f t="shared" si="4"/>
        <v/>
      </c>
      <c r="P49" s="12" t="str">
        <f>IF(C49="Tournament",INDEX('Tournament Log'!$B:$B,E49),IF(C49="Guest","Guest: "&amp;INDEX('Guest Log'!$H:$H,Q49),""))</f>
        <v/>
      </c>
      <c r="Q49" t="str">
        <f>IFERROR(MATCH($A49,'Guest Log'!$L$4:$L$203,0)+3,"")</f>
        <v/>
      </c>
    </row>
    <row r="50" spans="1:17" ht="15" customHeight="1" x14ac:dyDescent="0.2">
      <c r="A50" s="12">
        <f>49</f>
        <v>49</v>
      </c>
      <c r="B50" s="12" t="str">
        <f>IF(C50="","",IF(C50="Match",INDEX('Match Log'!$A:$A,D50),IF(C50="Tournament",INDEX('Tournament Log'!$A:$A,E50),INDEX('Guest Log'!$A:$A,Q50))))</f>
        <v/>
      </c>
      <c r="C50" s="12" t="str">
        <f t="shared" si="0"/>
        <v/>
      </c>
      <c r="D50" s="31" t="str">
        <f>IFERROR(MATCH($A50,'Match Log'!$K$3:$K$501,0)+2,"")</f>
        <v/>
      </c>
      <c r="E50" s="31" t="str">
        <f>IFERROR(MATCH($A50,'Tournament Log'!$O$4:$O$203,0)+3,"")</f>
        <v/>
      </c>
      <c r="F50" s="12" t="str">
        <f>IF(C50="","",IF(C50="Match",INDEX('Match Log'!$B:$B,D50),IF(C50="Tournament",INDEX('Tournament Log'!$C:$C,E50),INDEX('Guest Log'!$B:$B,Q50))))</f>
        <v/>
      </c>
      <c r="G50" s="12" t="str">
        <f>IF(C50="","",IF(C50="Match",INDEX('Match Log'!$C:$C,D50),IF(C50="Tournament",INDEX('Tournament Log'!$B:$B,E50)&amp;" (Phantom)",INDEX('Guest Log'!$H:$H,Q50)&amp;" (Guest)")))</f>
        <v/>
      </c>
      <c r="H50" s="32" t="str">
        <f t="array" ref="H50">IF(C50="","",IFERROR(LOOKUP(2,1/(($F$1:F49=F50)+($G$1:G49=F50)),IF($F$1:F49=F50,$N$1:N49,$O$1:O49)),1000))</f>
        <v/>
      </c>
      <c r="I50" s="12" t="str">
        <f t="array" ref="I50">IF(C50="","",IF(C50="Tournament",INDEX('Tournament Log'!$J:$J,E50),IF(C50="Guest",IF(INDEX('Guest Log'!$I:$I,Q50)="",1000,INDEX('Guest Log'!$I:$I,Q50)),IFERROR(LOOKUP(2,1/(($F$1:F49=G50)+($G$1:G49=G50)),IF($F$1:F49=G50,$N$1:N49,$O$1:O49)),1000))))</f>
        <v/>
      </c>
      <c r="J50" s="12" t="str">
        <f t="shared" si="1"/>
        <v/>
      </c>
      <c r="K50" s="12" t="str">
        <f>IF(C50="","",IF(C50="Match",IF(INDEX('Match Log'!$D:$D,D50)="Win",1,IF(INDEX('Match Log'!$D:$D,D50)="Draw",0.5,0)),IF(C50="Tournament",INDEX('Tournament Log'!$K:$K,E50),IF(INDEX('Guest Log'!$C:$C,Q50)="Win",1,IF(INDEX('Guest Log'!$C:$C,Q50)="Draw",0.5,0)))))</f>
        <v/>
      </c>
      <c r="L50" s="12" t="str">
        <f>IF(C50="","",IF(C50="Match",32,IF(C50="Tournament",MIN(32*INDEX('Tournament Log'!$D:$D,E50),96),32)))</f>
        <v/>
      </c>
      <c r="M50" s="12" t="str">
        <f t="shared" si="2"/>
        <v/>
      </c>
      <c r="N50" s="12" t="str">
        <f t="shared" si="3"/>
        <v/>
      </c>
      <c r="O50" s="12" t="str">
        <f t="shared" si="4"/>
        <v/>
      </c>
      <c r="P50" s="12" t="str">
        <f>IF(C50="Tournament",INDEX('Tournament Log'!$B:$B,E50),IF(C50="Guest","Guest: "&amp;INDEX('Guest Log'!$H:$H,Q50),""))</f>
        <v/>
      </c>
      <c r="Q50" t="str">
        <f>IFERROR(MATCH($A50,'Guest Log'!$L$4:$L$203,0)+3,"")</f>
        <v/>
      </c>
    </row>
    <row r="51" spans="1:17" ht="15" customHeight="1" x14ac:dyDescent="0.2">
      <c r="A51" s="12">
        <f>50</f>
        <v>50</v>
      </c>
      <c r="B51" s="12" t="str">
        <f>IF(C51="","",IF(C51="Match",INDEX('Match Log'!$A:$A,D51),IF(C51="Tournament",INDEX('Tournament Log'!$A:$A,E51),INDEX('Guest Log'!$A:$A,Q51))))</f>
        <v/>
      </c>
      <c r="C51" s="12" t="str">
        <f t="shared" si="0"/>
        <v/>
      </c>
      <c r="D51" s="31" t="str">
        <f>IFERROR(MATCH($A51,'Match Log'!$K$3:$K$501,0)+2,"")</f>
        <v/>
      </c>
      <c r="E51" s="31" t="str">
        <f>IFERROR(MATCH($A51,'Tournament Log'!$O$4:$O$203,0)+3,"")</f>
        <v/>
      </c>
      <c r="F51" s="12" t="str">
        <f>IF(C51="","",IF(C51="Match",INDEX('Match Log'!$B:$B,D51),IF(C51="Tournament",INDEX('Tournament Log'!$C:$C,E51),INDEX('Guest Log'!$B:$B,Q51))))</f>
        <v/>
      </c>
      <c r="G51" s="12" t="str">
        <f>IF(C51="","",IF(C51="Match",INDEX('Match Log'!$C:$C,D51),IF(C51="Tournament",INDEX('Tournament Log'!$B:$B,E51)&amp;" (Phantom)",INDEX('Guest Log'!$H:$H,Q51)&amp;" (Guest)")))</f>
        <v/>
      </c>
      <c r="H51" s="32" t="str">
        <f t="array" ref="H51">IF(C51="","",IFERROR(LOOKUP(2,1/(($F$1:F50=F51)+($G$1:G50=F51)),IF($F$1:F50=F51,$N$1:N50,$O$1:O50)),1000))</f>
        <v/>
      </c>
      <c r="I51" s="12" t="str">
        <f t="array" ref="I51">IF(C51="","",IF(C51="Tournament",INDEX('Tournament Log'!$J:$J,E51),IF(C51="Guest",IF(INDEX('Guest Log'!$I:$I,Q51)="",1000,INDEX('Guest Log'!$I:$I,Q51)),IFERROR(LOOKUP(2,1/(($F$1:F50=G51)+($G$1:G50=G51)),IF($F$1:F50=G51,$N$1:N50,$O$1:O50)),1000))))</f>
        <v/>
      </c>
      <c r="J51" s="12" t="str">
        <f t="shared" si="1"/>
        <v/>
      </c>
      <c r="K51" s="12" t="str">
        <f>IF(C51="","",IF(C51="Match",IF(INDEX('Match Log'!$D:$D,D51)="Win",1,IF(INDEX('Match Log'!$D:$D,D51)="Draw",0.5,0)),IF(C51="Tournament",INDEX('Tournament Log'!$K:$K,E51),IF(INDEX('Guest Log'!$C:$C,Q51)="Win",1,IF(INDEX('Guest Log'!$C:$C,Q51)="Draw",0.5,0)))))</f>
        <v/>
      </c>
      <c r="L51" s="12" t="str">
        <f>IF(C51="","",IF(C51="Match",32,IF(C51="Tournament",MIN(32*INDEX('Tournament Log'!$D:$D,E51),96),32)))</f>
        <v/>
      </c>
      <c r="M51" s="12" t="str">
        <f t="shared" si="2"/>
        <v/>
      </c>
      <c r="N51" s="12" t="str">
        <f t="shared" si="3"/>
        <v/>
      </c>
      <c r="O51" s="12" t="str">
        <f t="shared" si="4"/>
        <v/>
      </c>
      <c r="P51" s="12" t="str">
        <f>IF(C51="Tournament",INDEX('Tournament Log'!$B:$B,E51),IF(C51="Guest","Guest: "&amp;INDEX('Guest Log'!$H:$H,Q51),""))</f>
        <v/>
      </c>
      <c r="Q51" t="str">
        <f>IFERROR(MATCH($A51,'Guest Log'!$L$4:$L$203,0)+3,"")</f>
        <v/>
      </c>
    </row>
    <row r="52" spans="1:17" ht="15" customHeight="1" x14ac:dyDescent="0.2">
      <c r="A52" s="12">
        <f>51</f>
        <v>51</v>
      </c>
      <c r="B52" s="12" t="str">
        <f>IF(C52="","",IF(C52="Match",INDEX('Match Log'!$A:$A,D52),IF(C52="Tournament",INDEX('Tournament Log'!$A:$A,E52),INDEX('Guest Log'!$A:$A,Q52))))</f>
        <v/>
      </c>
      <c r="C52" s="12" t="str">
        <f t="shared" si="0"/>
        <v/>
      </c>
      <c r="D52" s="31" t="str">
        <f>IFERROR(MATCH($A52,'Match Log'!$K$3:$K$501,0)+2,"")</f>
        <v/>
      </c>
      <c r="E52" s="31" t="str">
        <f>IFERROR(MATCH($A52,'Tournament Log'!$O$4:$O$203,0)+3,"")</f>
        <v/>
      </c>
      <c r="F52" s="12" t="str">
        <f>IF(C52="","",IF(C52="Match",INDEX('Match Log'!$B:$B,D52),IF(C52="Tournament",INDEX('Tournament Log'!$C:$C,E52),INDEX('Guest Log'!$B:$B,Q52))))</f>
        <v/>
      </c>
      <c r="G52" s="12" t="str">
        <f>IF(C52="","",IF(C52="Match",INDEX('Match Log'!$C:$C,D52),IF(C52="Tournament",INDEX('Tournament Log'!$B:$B,E52)&amp;" (Phantom)",INDEX('Guest Log'!$H:$H,Q52)&amp;" (Guest)")))</f>
        <v/>
      </c>
      <c r="H52" s="32" t="str">
        <f t="array" ref="H52">IF(C52="","",IFERROR(LOOKUP(2,1/(($F$1:F51=F52)+($G$1:G51=F52)),IF($F$1:F51=F52,$N$1:N51,$O$1:O51)),1000))</f>
        <v/>
      </c>
      <c r="I52" s="12" t="str">
        <f t="array" ref="I52">IF(C52="","",IF(C52="Tournament",INDEX('Tournament Log'!$J:$J,E52),IF(C52="Guest",IF(INDEX('Guest Log'!$I:$I,Q52)="",1000,INDEX('Guest Log'!$I:$I,Q52)),IFERROR(LOOKUP(2,1/(($F$1:F51=G52)+($G$1:G51=G52)),IF($F$1:F51=G52,$N$1:N51,$O$1:O51)),1000))))</f>
        <v/>
      </c>
      <c r="J52" s="12" t="str">
        <f t="shared" si="1"/>
        <v/>
      </c>
      <c r="K52" s="12" t="str">
        <f>IF(C52="","",IF(C52="Match",IF(INDEX('Match Log'!$D:$D,D52)="Win",1,IF(INDEX('Match Log'!$D:$D,D52)="Draw",0.5,0)),IF(C52="Tournament",INDEX('Tournament Log'!$K:$K,E52),IF(INDEX('Guest Log'!$C:$C,Q52)="Win",1,IF(INDEX('Guest Log'!$C:$C,Q52)="Draw",0.5,0)))))</f>
        <v/>
      </c>
      <c r="L52" s="12" t="str">
        <f>IF(C52="","",IF(C52="Match",32,IF(C52="Tournament",MIN(32*INDEX('Tournament Log'!$D:$D,E52),96),32)))</f>
        <v/>
      </c>
      <c r="M52" s="12" t="str">
        <f t="shared" si="2"/>
        <v/>
      </c>
      <c r="N52" s="12" t="str">
        <f t="shared" si="3"/>
        <v/>
      </c>
      <c r="O52" s="12" t="str">
        <f t="shared" si="4"/>
        <v/>
      </c>
      <c r="P52" s="12" t="str">
        <f>IF(C52="Tournament",INDEX('Tournament Log'!$B:$B,E52),IF(C52="Guest","Guest: "&amp;INDEX('Guest Log'!$H:$H,Q52),""))</f>
        <v/>
      </c>
      <c r="Q52" t="str">
        <f>IFERROR(MATCH($A52,'Guest Log'!$L$4:$L$203,0)+3,"")</f>
        <v/>
      </c>
    </row>
    <row r="53" spans="1:17" ht="15" customHeight="1" x14ac:dyDescent="0.2">
      <c r="A53" s="12">
        <f>52</f>
        <v>52</v>
      </c>
      <c r="B53" s="12" t="str">
        <f>IF(C53="","",IF(C53="Match",INDEX('Match Log'!$A:$A,D53),IF(C53="Tournament",INDEX('Tournament Log'!$A:$A,E53),INDEX('Guest Log'!$A:$A,Q53))))</f>
        <v/>
      </c>
      <c r="C53" s="12" t="str">
        <f t="shared" si="0"/>
        <v/>
      </c>
      <c r="D53" s="31" t="str">
        <f>IFERROR(MATCH($A53,'Match Log'!$K$3:$K$501,0)+2,"")</f>
        <v/>
      </c>
      <c r="E53" s="31" t="str">
        <f>IFERROR(MATCH($A53,'Tournament Log'!$O$4:$O$203,0)+3,"")</f>
        <v/>
      </c>
      <c r="F53" s="12" t="str">
        <f>IF(C53="","",IF(C53="Match",INDEX('Match Log'!$B:$B,D53),IF(C53="Tournament",INDEX('Tournament Log'!$C:$C,E53),INDEX('Guest Log'!$B:$B,Q53))))</f>
        <v/>
      </c>
      <c r="G53" s="12" t="str">
        <f>IF(C53="","",IF(C53="Match",INDEX('Match Log'!$C:$C,D53),IF(C53="Tournament",INDEX('Tournament Log'!$B:$B,E53)&amp;" (Phantom)",INDEX('Guest Log'!$H:$H,Q53)&amp;" (Guest)")))</f>
        <v/>
      </c>
      <c r="H53" s="32" t="str">
        <f t="array" ref="H53">IF(C53="","",IFERROR(LOOKUP(2,1/(($F$1:F52=F53)+($G$1:G52=F53)),IF($F$1:F52=F53,$N$1:N52,$O$1:O52)),1000))</f>
        <v/>
      </c>
      <c r="I53" s="12" t="str">
        <f t="array" ref="I53">IF(C53="","",IF(C53="Tournament",INDEX('Tournament Log'!$J:$J,E53),IF(C53="Guest",IF(INDEX('Guest Log'!$I:$I,Q53)="",1000,INDEX('Guest Log'!$I:$I,Q53)),IFERROR(LOOKUP(2,1/(($F$1:F52=G53)+($G$1:G52=G53)),IF($F$1:F52=G53,$N$1:N52,$O$1:O52)),1000))))</f>
        <v/>
      </c>
      <c r="J53" s="12" t="str">
        <f t="shared" si="1"/>
        <v/>
      </c>
      <c r="K53" s="12" t="str">
        <f>IF(C53="","",IF(C53="Match",IF(INDEX('Match Log'!$D:$D,D53)="Win",1,IF(INDEX('Match Log'!$D:$D,D53)="Draw",0.5,0)),IF(C53="Tournament",INDEX('Tournament Log'!$K:$K,E53),IF(INDEX('Guest Log'!$C:$C,Q53)="Win",1,IF(INDEX('Guest Log'!$C:$C,Q53)="Draw",0.5,0)))))</f>
        <v/>
      </c>
      <c r="L53" s="12" t="str">
        <f>IF(C53="","",IF(C53="Match",32,IF(C53="Tournament",MIN(32*INDEX('Tournament Log'!$D:$D,E53),96),32)))</f>
        <v/>
      </c>
      <c r="M53" s="12" t="str">
        <f t="shared" si="2"/>
        <v/>
      </c>
      <c r="N53" s="12" t="str">
        <f t="shared" si="3"/>
        <v/>
      </c>
      <c r="O53" s="12" t="str">
        <f t="shared" si="4"/>
        <v/>
      </c>
      <c r="P53" s="12" t="str">
        <f>IF(C53="Tournament",INDEX('Tournament Log'!$B:$B,E53),IF(C53="Guest","Guest: "&amp;INDEX('Guest Log'!$H:$H,Q53),""))</f>
        <v/>
      </c>
      <c r="Q53" t="str">
        <f>IFERROR(MATCH($A53,'Guest Log'!$L$4:$L$203,0)+3,"")</f>
        <v/>
      </c>
    </row>
    <row r="54" spans="1:17" ht="15" customHeight="1" x14ac:dyDescent="0.2">
      <c r="A54" s="12">
        <f>53</f>
        <v>53</v>
      </c>
      <c r="B54" s="12" t="str">
        <f>IF(C54="","",IF(C54="Match",INDEX('Match Log'!$A:$A,D54),IF(C54="Tournament",INDEX('Tournament Log'!$A:$A,E54),INDEX('Guest Log'!$A:$A,Q54))))</f>
        <v/>
      </c>
      <c r="C54" s="12" t="str">
        <f t="shared" si="0"/>
        <v/>
      </c>
      <c r="D54" s="31" t="str">
        <f>IFERROR(MATCH($A54,'Match Log'!$K$3:$K$501,0)+2,"")</f>
        <v/>
      </c>
      <c r="E54" s="31" t="str">
        <f>IFERROR(MATCH($A54,'Tournament Log'!$O$4:$O$203,0)+3,"")</f>
        <v/>
      </c>
      <c r="F54" s="12" t="str">
        <f>IF(C54="","",IF(C54="Match",INDEX('Match Log'!$B:$B,D54),IF(C54="Tournament",INDEX('Tournament Log'!$C:$C,E54),INDEX('Guest Log'!$B:$B,Q54))))</f>
        <v/>
      </c>
      <c r="G54" s="12" t="str">
        <f>IF(C54="","",IF(C54="Match",INDEX('Match Log'!$C:$C,D54),IF(C54="Tournament",INDEX('Tournament Log'!$B:$B,E54)&amp;" (Phantom)",INDEX('Guest Log'!$H:$H,Q54)&amp;" (Guest)")))</f>
        <v/>
      </c>
      <c r="H54" s="32" t="str">
        <f t="array" ref="H54">IF(C54="","",IFERROR(LOOKUP(2,1/(($F$1:F53=F54)+($G$1:G53=F54)),IF($F$1:F53=F54,$N$1:N53,$O$1:O53)),1000))</f>
        <v/>
      </c>
      <c r="I54" s="12" t="str">
        <f t="array" ref="I54">IF(C54="","",IF(C54="Tournament",INDEX('Tournament Log'!$J:$J,E54),IF(C54="Guest",IF(INDEX('Guest Log'!$I:$I,Q54)="",1000,INDEX('Guest Log'!$I:$I,Q54)),IFERROR(LOOKUP(2,1/(($F$1:F53=G54)+($G$1:G53=G54)),IF($F$1:F53=G54,$N$1:N53,$O$1:O53)),1000))))</f>
        <v/>
      </c>
      <c r="J54" s="12" t="str">
        <f t="shared" si="1"/>
        <v/>
      </c>
      <c r="K54" s="12" t="str">
        <f>IF(C54="","",IF(C54="Match",IF(INDEX('Match Log'!$D:$D,D54)="Win",1,IF(INDEX('Match Log'!$D:$D,D54)="Draw",0.5,0)),IF(C54="Tournament",INDEX('Tournament Log'!$K:$K,E54),IF(INDEX('Guest Log'!$C:$C,Q54)="Win",1,IF(INDEX('Guest Log'!$C:$C,Q54)="Draw",0.5,0)))))</f>
        <v/>
      </c>
      <c r="L54" s="12" t="str">
        <f>IF(C54="","",IF(C54="Match",32,IF(C54="Tournament",MIN(32*INDEX('Tournament Log'!$D:$D,E54),96),32)))</f>
        <v/>
      </c>
      <c r="M54" s="12" t="str">
        <f t="shared" si="2"/>
        <v/>
      </c>
      <c r="N54" s="12" t="str">
        <f t="shared" si="3"/>
        <v/>
      </c>
      <c r="O54" s="12" t="str">
        <f t="shared" si="4"/>
        <v/>
      </c>
      <c r="P54" s="12" t="str">
        <f>IF(C54="Tournament",INDEX('Tournament Log'!$B:$B,E54),IF(C54="Guest","Guest: "&amp;INDEX('Guest Log'!$H:$H,Q54),""))</f>
        <v/>
      </c>
      <c r="Q54" t="str">
        <f>IFERROR(MATCH($A54,'Guest Log'!$L$4:$L$203,0)+3,"")</f>
        <v/>
      </c>
    </row>
    <row r="55" spans="1:17" ht="15" customHeight="1" x14ac:dyDescent="0.2">
      <c r="A55" s="12">
        <f>54</f>
        <v>54</v>
      </c>
      <c r="B55" s="12" t="str">
        <f>IF(C55="","",IF(C55="Match",INDEX('Match Log'!$A:$A,D55),IF(C55="Tournament",INDEX('Tournament Log'!$A:$A,E55),INDEX('Guest Log'!$A:$A,Q55))))</f>
        <v/>
      </c>
      <c r="C55" s="12" t="str">
        <f t="shared" si="0"/>
        <v/>
      </c>
      <c r="D55" s="31" t="str">
        <f>IFERROR(MATCH($A55,'Match Log'!$K$3:$K$501,0)+2,"")</f>
        <v/>
      </c>
      <c r="E55" s="31" t="str">
        <f>IFERROR(MATCH($A55,'Tournament Log'!$O$4:$O$203,0)+3,"")</f>
        <v/>
      </c>
      <c r="F55" s="12" t="str">
        <f>IF(C55="","",IF(C55="Match",INDEX('Match Log'!$B:$B,D55),IF(C55="Tournament",INDEX('Tournament Log'!$C:$C,E55),INDEX('Guest Log'!$B:$B,Q55))))</f>
        <v/>
      </c>
      <c r="G55" s="12" t="str">
        <f>IF(C55="","",IF(C55="Match",INDEX('Match Log'!$C:$C,D55),IF(C55="Tournament",INDEX('Tournament Log'!$B:$B,E55)&amp;" (Phantom)",INDEX('Guest Log'!$H:$H,Q55)&amp;" (Guest)")))</f>
        <v/>
      </c>
      <c r="H55" s="32" t="str">
        <f t="array" ref="H55">IF(C55="","",IFERROR(LOOKUP(2,1/(($F$1:F54=F55)+($G$1:G54=F55)),IF($F$1:F54=F55,$N$1:N54,$O$1:O54)),1000))</f>
        <v/>
      </c>
      <c r="I55" s="12" t="str">
        <f t="array" ref="I55">IF(C55="","",IF(C55="Tournament",INDEX('Tournament Log'!$J:$J,E55),IF(C55="Guest",IF(INDEX('Guest Log'!$I:$I,Q55)="",1000,INDEX('Guest Log'!$I:$I,Q55)),IFERROR(LOOKUP(2,1/(($F$1:F54=G55)+($G$1:G54=G55)),IF($F$1:F54=G55,$N$1:N54,$O$1:O54)),1000))))</f>
        <v/>
      </c>
      <c r="J55" s="12" t="str">
        <f t="shared" si="1"/>
        <v/>
      </c>
      <c r="K55" s="12" t="str">
        <f>IF(C55="","",IF(C55="Match",IF(INDEX('Match Log'!$D:$D,D55)="Win",1,IF(INDEX('Match Log'!$D:$D,D55)="Draw",0.5,0)),IF(C55="Tournament",INDEX('Tournament Log'!$K:$K,E55),IF(INDEX('Guest Log'!$C:$C,Q55)="Win",1,IF(INDEX('Guest Log'!$C:$C,Q55)="Draw",0.5,0)))))</f>
        <v/>
      </c>
      <c r="L55" s="12" t="str">
        <f>IF(C55="","",IF(C55="Match",32,IF(C55="Tournament",MIN(32*INDEX('Tournament Log'!$D:$D,E55),96),32)))</f>
        <v/>
      </c>
      <c r="M55" s="12" t="str">
        <f t="shared" si="2"/>
        <v/>
      </c>
      <c r="N55" s="12" t="str">
        <f t="shared" si="3"/>
        <v/>
      </c>
      <c r="O55" s="12" t="str">
        <f t="shared" si="4"/>
        <v/>
      </c>
      <c r="P55" s="12" t="str">
        <f>IF(C55="Tournament",INDEX('Tournament Log'!$B:$B,E55),IF(C55="Guest","Guest: "&amp;INDEX('Guest Log'!$H:$H,Q55),""))</f>
        <v/>
      </c>
      <c r="Q55" t="str">
        <f>IFERROR(MATCH($A55,'Guest Log'!$L$4:$L$203,0)+3,"")</f>
        <v/>
      </c>
    </row>
    <row r="56" spans="1:17" ht="15" customHeight="1" x14ac:dyDescent="0.2">
      <c r="A56" s="12">
        <f>55</f>
        <v>55</v>
      </c>
      <c r="B56" s="12" t="str">
        <f>IF(C56="","",IF(C56="Match",INDEX('Match Log'!$A:$A,D56),IF(C56="Tournament",INDEX('Tournament Log'!$A:$A,E56),INDEX('Guest Log'!$A:$A,Q56))))</f>
        <v/>
      </c>
      <c r="C56" s="12" t="str">
        <f t="shared" si="0"/>
        <v/>
      </c>
      <c r="D56" s="31" t="str">
        <f>IFERROR(MATCH($A56,'Match Log'!$K$3:$K$501,0)+2,"")</f>
        <v/>
      </c>
      <c r="E56" s="31" t="str">
        <f>IFERROR(MATCH($A56,'Tournament Log'!$O$4:$O$203,0)+3,"")</f>
        <v/>
      </c>
      <c r="F56" s="12" t="str">
        <f>IF(C56="","",IF(C56="Match",INDEX('Match Log'!$B:$B,D56),IF(C56="Tournament",INDEX('Tournament Log'!$C:$C,E56),INDEX('Guest Log'!$B:$B,Q56))))</f>
        <v/>
      </c>
      <c r="G56" s="12" t="str">
        <f>IF(C56="","",IF(C56="Match",INDEX('Match Log'!$C:$C,D56),IF(C56="Tournament",INDEX('Tournament Log'!$B:$B,E56)&amp;" (Phantom)",INDEX('Guest Log'!$H:$H,Q56)&amp;" (Guest)")))</f>
        <v/>
      </c>
      <c r="H56" s="32" t="str">
        <f t="array" ref="H56">IF(C56="","",IFERROR(LOOKUP(2,1/(($F$1:F55=F56)+($G$1:G55=F56)),IF($F$1:F55=F56,$N$1:N55,$O$1:O55)),1000))</f>
        <v/>
      </c>
      <c r="I56" s="12" t="str">
        <f t="array" ref="I56">IF(C56="","",IF(C56="Tournament",INDEX('Tournament Log'!$J:$J,E56),IF(C56="Guest",IF(INDEX('Guest Log'!$I:$I,Q56)="",1000,INDEX('Guest Log'!$I:$I,Q56)),IFERROR(LOOKUP(2,1/(($F$1:F55=G56)+($G$1:G55=G56)),IF($F$1:F55=G56,$N$1:N55,$O$1:O55)),1000))))</f>
        <v/>
      </c>
      <c r="J56" s="12" t="str">
        <f t="shared" si="1"/>
        <v/>
      </c>
      <c r="K56" s="12" t="str">
        <f>IF(C56="","",IF(C56="Match",IF(INDEX('Match Log'!$D:$D,D56)="Win",1,IF(INDEX('Match Log'!$D:$D,D56)="Draw",0.5,0)),IF(C56="Tournament",INDEX('Tournament Log'!$K:$K,E56),IF(INDEX('Guest Log'!$C:$C,Q56)="Win",1,IF(INDEX('Guest Log'!$C:$C,Q56)="Draw",0.5,0)))))</f>
        <v/>
      </c>
      <c r="L56" s="12" t="str">
        <f>IF(C56="","",IF(C56="Match",32,IF(C56="Tournament",MIN(32*INDEX('Tournament Log'!$D:$D,E56),96),32)))</f>
        <v/>
      </c>
      <c r="M56" s="12" t="str">
        <f t="shared" si="2"/>
        <v/>
      </c>
      <c r="N56" s="12" t="str">
        <f t="shared" si="3"/>
        <v/>
      </c>
      <c r="O56" s="12" t="str">
        <f t="shared" si="4"/>
        <v/>
      </c>
      <c r="P56" s="12" t="str">
        <f>IF(C56="Tournament",INDEX('Tournament Log'!$B:$B,E56),IF(C56="Guest","Guest: "&amp;INDEX('Guest Log'!$H:$H,Q56),""))</f>
        <v/>
      </c>
      <c r="Q56" t="str">
        <f>IFERROR(MATCH($A56,'Guest Log'!$L$4:$L$203,0)+3,"")</f>
        <v/>
      </c>
    </row>
    <row r="57" spans="1:17" ht="15" customHeight="1" x14ac:dyDescent="0.2">
      <c r="A57" s="12">
        <f>56</f>
        <v>56</v>
      </c>
      <c r="B57" s="12" t="str">
        <f>IF(C57="","",IF(C57="Match",INDEX('Match Log'!$A:$A,D57),IF(C57="Tournament",INDEX('Tournament Log'!$A:$A,E57),INDEX('Guest Log'!$A:$A,Q57))))</f>
        <v/>
      </c>
      <c r="C57" s="12" t="str">
        <f t="shared" si="0"/>
        <v/>
      </c>
      <c r="D57" s="31" t="str">
        <f>IFERROR(MATCH($A57,'Match Log'!$K$3:$K$501,0)+2,"")</f>
        <v/>
      </c>
      <c r="E57" s="31" t="str">
        <f>IFERROR(MATCH($A57,'Tournament Log'!$O$4:$O$203,0)+3,"")</f>
        <v/>
      </c>
      <c r="F57" s="12" t="str">
        <f>IF(C57="","",IF(C57="Match",INDEX('Match Log'!$B:$B,D57),IF(C57="Tournament",INDEX('Tournament Log'!$C:$C,E57),INDEX('Guest Log'!$B:$B,Q57))))</f>
        <v/>
      </c>
      <c r="G57" s="12" t="str">
        <f>IF(C57="","",IF(C57="Match",INDEX('Match Log'!$C:$C,D57),IF(C57="Tournament",INDEX('Tournament Log'!$B:$B,E57)&amp;" (Phantom)",INDEX('Guest Log'!$H:$H,Q57)&amp;" (Guest)")))</f>
        <v/>
      </c>
      <c r="H57" s="32" t="str">
        <f t="array" ref="H57">IF(C57="","",IFERROR(LOOKUP(2,1/(($F$1:F56=F57)+($G$1:G56=F57)),IF($F$1:F56=F57,$N$1:N56,$O$1:O56)),1000))</f>
        <v/>
      </c>
      <c r="I57" s="12" t="str">
        <f t="array" ref="I57">IF(C57="","",IF(C57="Tournament",INDEX('Tournament Log'!$J:$J,E57),IF(C57="Guest",IF(INDEX('Guest Log'!$I:$I,Q57)="",1000,INDEX('Guest Log'!$I:$I,Q57)),IFERROR(LOOKUP(2,1/(($F$1:F56=G57)+($G$1:G56=G57)),IF($F$1:F56=G57,$N$1:N56,$O$1:O56)),1000))))</f>
        <v/>
      </c>
      <c r="J57" s="12" t="str">
        <f t="shared" si="1"/>
        <v/>
      </c>
      <c r="K57" s="12" t="str">
        <f>IF(C57="","",IF(C57="Match",IF(INDEX('Match Log'!$D:$D,D57)="Win",1,IF(INDEX('Match Log'!$D:$D,D57)="Draw",0.5,0)),IF(C57="Tournament",INDEX('Tournament Log'!$K:$K,E57),IF(INDEX('Guest Log'!$C:$C,Q57)="Win",1,IF(INDEX('Guest Log'!$C:$C,Q57)="Draw",0.5,0)))))</f>
        <v/>
      </c>
      <c r="L57" s="12" t="str">
        <f>IF(C57="","",IF(C57="Match",32,IF(C57="Tournament",MIN(32*INDEX('Tournament Log'!$D:$D,E57),96),32)))</f>
        <v/>
      </c>
      <c r="M57" s="12" t="str">
        <f t="shared" si="2"/>
        <v/>
      </c>
      <c r="N57" s="12" t="str">
        <f t="shared" si="3"/>
        <v/>
      </c>
      <c r="O57" s="12" t="str">
        <f t="shared" si="4"/>
        <v/>
      </c>
      <c r="P57" s="12" t="str">
        <f>IF(C57="Tournament",INDEX('Tournament Log'!$B:$B,E57),IF(C57="Guest","Guest: "&amp;INDEX('Guest Log'!$H:$H,Q57),""))</f>
        <v/>
      </c>
      <c r="Q57" t="str">
        <f>IFERROR(MATCH($A57,'Guest Log'!$L$4:$L$203,0)+3,"")</f>
        <v/>
      </c>
    </row>
    <row r="58" spans="1:17" ht="15" customHeight="1" x14ac:dyDescent="0.2">
      <c r="A58" s="12">
        <f>57</f>
        <v>57</v>
      </c>
      <c r="B58" s="12" t="str">
        <f>IF(C58="","",IF(C58="Match",INDEX('Match Log'!$A:$A,D58),IF(C58="Tournament",INDEX('Tournament Log'!$A:$A,E58),INDEX('Guest Log'!$A:$A,Q58))))</f>
        <v/>
      </c>
      <c r="C58" s="12" t="str">
        <f t="shared" si="0"/>
        <v/>
      </c>
      <c r="D58" s="31" t="str">
        <f>IFERROR(MATCH($A58,'Match Log'!$K$3:$K$501,0)+2,"")</f>
        <v/>
      </c>
      <c r="E58" s="31" t="str">
        <f>IFERROR(MATCH($A58,'Tournament Log'!$O$4:$O$203,0)+3,"")</f>
        <v/>
      </c>
      <c r="F58" s="12" t="str">
        <f>IF(C58="","",IF(C58="Match",INDEX('Match Log'!$B:$B,D58),IF(C58="Tournament",INDEX('Tournament Log'!$C:$C,E58),INDEX('Guest Log'!$B:$B,Q58))))</f>
        <v/>
      </c>
      <c r="G58" s="12" t="str">
        <f>IF(C58="","",IF(C58="Match",INDEX('Match Log'!$C:$C,D58),IF(C58="Tournament",INDEX('Tournament Log'!$B:$B,E58)&amp;" (Phantom)",INDEX('Guest Log'!$H:$H,Q58)&amp;" (Guest)")))</f>
        <v/>
      </c>
      <c r="H58" s="32" t="str">
        <f t="array" ref="H58">IF(C58="","",IFERROR(LOOKUP(2,1/(($F$1:F57=F58)+($G$1:G57=F58)),IF($F$1:F57=F58,$N$1:N57,$O$1:O57)),1000))</f>
        <v/>
      </c>
      <c r="I58" s="12" t="str">
        <f t="array" ref="I58">IF(C58="","",IF(C58="Tournament",INDEX('Tournament Log'!$J:$J,E58),IF(C58="Guest",IF(INDEX('Guest Log'!$I:$I,Q58)="",1000,INDEX('Guest Log'!$I:$I,Q58)),IFERROR(LOOKUP(2,1/(($F$1:F57=G58)+($G$1:G57=G58)),IF($F$1:F57=G58,$N$1:N57,$O$1:O57)),1000))))</f>
        <v/>
      </c>
      <c r="J58" s="12" t="str">
        <f t="shared" si="1"/>
        <v/>
      </c>
      <c r="K58" s="12" t="str">
        <f>IF(C58="","",IF(C58="Match",IF(INDEX('Match Log'!$D:$D,D58)="Win",1,IF(INDEX('Match Log'!$D:$D,D58)="Draw",0.5,0)),IF(C58="Tournament",INDEX('Tournament Log'!$K:$K,E58),IF(INDEX('Guest Log'!$C:$C,Q58)="Win",1,IF(INDEX('Guest Log'!$C:$C,Q58)="Draw",0.5,0)))))</f>
        <v/>
      </c>
      <c r="L58" s="12" t="str">
        <f>IF(C58="","",IF(C58="Match",32,IF(C58="Tournament",MIN(32*INDEX('Tournament Log'!$D:$D,E58),96),32)))</f>
        <v/>
      </c>
      <c r="M58" s="12" t="str">
        <f t="shared" si="2"/>
        <v/>
      </c>
      <c r="N58" s="12" t="str">
        <f t="shared" si="3"/>
        <v/>
      </c>
      <c r="O58" s="12" t="str">
        <f t="shared" si="4"/>
        <v/>
      </c>
      <c r="P58" s="12" t="str">
        <f>IF(C58="Tournament",INDEX('Tournament Log'!$B:$B,E58),IF(C58="Guest","Guest: "&amp;INDEX('Guest Log'!$H:$H,Q58),""))</f>
        <v/>
      </c>
      <c r="Q58" t="str">
        <f>IFERROR(MATCH($A58,'Guest Log'!$L$4:$L$203,0)+3,"")</f>
        <v/>
      </c>
    </row>
    <row r="59" spans="1:17" ht="15" customHeight="1" x14ac:dyDescent="0.2">
      <c r="A59" s="12">
        <f>58</f>
        <v>58</v>
      </c>
      <c r="B59" s="12" t="str">
        <f>IF(C59="","",IF(C59="Match",INDEX('Match Log'!$A:$A,D59),IF(C59="Tournament",INDEX('Tournament Log'!$A:$A,E59),INDEX('Guest Log'!$A:$A,Q59))))</f>
        <v/>
      </c>
      <c r="C59" s="12" t="str">
        <f t="shared" si="0"/>
        <v/>
      </c>
      <c r="D59" s="31" t="str">
        <f>IFERROR(MATCH($A59,'Match Log'!$K$3:$K$501,0)+2,"")</f>
        <v/>
      </c>
      <c r="E59" s="31" t="str">
        <f>IFERROR(MATCH($A59,'Tournament Log'!$O$4:$O$203,0)+3,"")</f>
        <v/>
      </c>
      <c r="F59" s="12" t="str">
        <f>IF(C59="","",IF(C59="Match",INDEX('Match Log'!$B:$B,D59),IF(C59="Tournament",INDEX('Tournament Log'!$C:$C,E59),INDEX('Guest Log'!$B:$B,Q59))))</f>
        <v/>
      </c>
      <c r="G59" s="12" t="str">
        <f>IF(C59="","",IF(C59="Match",INDEX('Match Log'!$C:$C,D59),IF(C59="Tournament",INDEX('Tournament Log'!$B:$B,E59)&amp;" (Phantom)",INDEX('Guest Log'!$H:$H,Q59)&amp;" (Guest)")))</f>
        <v/>
      </c>
      <c r="H59" s="32" t="str">
        <f t="array" ref="H59">IF(C59="","",IFERROR(LOOKUP(2,1/(($F$1:F58=F59)+($G$1:G58=F59)),IF($F$1:F58=F59,$N$1:N58,$O$1:O58)),1000))</f>
        <v/>
      </c>
      <c r="I59" s="12" t="str">
        <f t="array" ref="I59">IF(C59="","",IF(C59="Tournament",INDEX('Tournament Log'!$J:$J,E59),IF(C59="Guest",IF(INDEX('Guest Log'!$I:$I,Q59)="",1000,INDEX('Guest Log'!$I:$I,Q59)),IFERROR(LOOKUP(2,1/(($F$1:F58=G59)+($G$1:G58=G59)),IF($F$1:F58=G59,$N$1:N58,$O$1:O58)),1000))))</f>
        <v/>
      </c>
      <c r="J59" s="12" t="str">
        <f t="shared" si="1"/>
        <v/>
      </c>
      <c r="K59" s="12" t="str">
        <f>IF(C59="","",IF(C59="Match",IF(INDEX('Match Log'!$D:$D,D59)="Win",1,IF(INDEX('Match Log'!$D:$D,D59)="Draw",0.5,0)),IF(C59="Tournament",INDEX('Tournament Log'!$K:$K,E59),IF(INDEX('Guest Log'!$C:$C,Q59)="Win",1,IF(INDEX('Guest Log'!$C:$C,Q59)="Draw",0.5,0)))))</f>
        <v/>
      </c>
      <c r="L59" s="12" t="str">
        <f>IF(C59="","",IF(C59="Match",32,IF(C59="Tournament",MIN(32*INDEX('Tournament Log'!$D:$D,E59),96),32)))</f>
        <v/>
      </c>
      <c r="M59" s="12" t="str">
        <f t="shared" si="2"/>
        <v/>
      </c>
      <c r="N59" s="12" t="str">
        <f t="shared" si="3"/>
        <v/>
      </c>
      <c r="O59" s="12" t="str">
        <f t="shared" si="4"/>
        <v/>
      </c>
      <c r="P59" s="12" t="str">
        <f>IF(C59="Tournament",INDEX('Tournament Log'!$B:$B,E59),IF(C59="Guest","Guest: "&amp;INDEX('Guest Log'!$H:$H,Q59),""))</f>
        <v/>
      </c>
      <c r="Q59" t="str">
        <f>IFERROR(MATCH($A59,'Guest Log'!$L$4:$L$203,0)+3,"")</f>
        <v/>
      </c>
    </row>
    <row r="60" spans="1:17" ht="15" customHeight="1" x14ac:dyDescent="0.2">
      <c r="A60" s="12">
        <f>59</f>
        <v>59</v>
      </c>
      <c r="B60" s="12" t="str">
        <f>IF(C60="","",IF(C60="Match",INDEX('Match Log'!$A:$A,D60),IF(C60="Tournament",INDEX('Tournament Log'!$A:$A,E60),INDEX('Guest Log'!$A:$A,Q60))))</f>
        <v/>
      </c>
      <c r="C60" s="12" t="str">
        <f t="shared" si="0"/>
        <v/>
      </c>
      <c r="D60" s="31" t="str">
        <f>IFERROR(MATCH($A60,'Match Log'!$K$3:$K$501,0)+2,"")</f>
        <v/>
      </c>
      <c r="E60" s="31" t="str">
        <f>IFERROR(MATCH($A60,'Tournament Log'!$O$4:$O$203,0)+3,"")</f>
        <v/>
      </c>
      <c r="F60" s="12" t="str">
        <f>IF(C60="","",IF(C60="Match",INDEX('Match Log'!$B:$B,D60),IF(C60="Tournament",INDEX('Tournament Log'!$C:$C,E60),INDEX('Guest Log'!$B:$B,Q60))))</f>
        <v/>
      </c>
      <c r="G60" s="12" t="str">
        <f>IF(C60="","",IF(C60="Match",INDEX('Match Log'!$C:$C,D60),IF(C60="Tournament",INDEX('Tournament Log'!$B:$B,E60)&amp;" (Phantom)",INDEX('Guest Log'!$H:$H,Q60)&amp;" (Guest)")))</f>
        <v/>
      </c>
      <c r="H60" s="32" t="str">
        <f t="array" ref="H60">IF(C60="","",IFERROR(LOOKUP(2,1/(($F$1:F59=F60)+($G$1:G59=F60)),IF($F$1:F59=F60,$N$1:N59,$O$1:O59)),1000))</f>
        <v/>
      </c>
      <c r="I60" s="12" t="str">
        <f t="array" ref="I60">IF(C60="","",IF(C60="Tournament",INDEX('Tournament Log'!$J:$J,E60),IF(C60="Guest",IF(INDEX('Guest Log'!$I:$I,Q60)="",1000,INDEX('Guest Log'!$I:$I,Q60)),IFERROR(LOOKUP(2,1/(($F$1:F59=G60)+($G$1:G59=G60)),IF($F$1:F59=G60,$N$1:N59,$O$1:O59)),1000))))</f>
        <v/>
      </c>
      <c r="J60" s="12" t="str">
        <f t="shared" si="1"/>
        <v/>
      </c>
      <c r="K60" s="12" t="str">
        <f>IF(C60="","",IF(C60="Match",IF(INDEX('Match Log'!$D:$D,D60)="Win",1,IF(INDEX('Match Log'!$D:$D,D60)="Draw",0.5,0)),IF(C60="Tournament",INDEX('Tournament Log'!$K:$K,E60),IF(INDEX('Guest Log'!$C:$C,Q60)="Win",1,IF(INDEX('Guest Log'!$C:$C,Q60)="Draw",0.5,0)))))</f>
        <v/>
      </c>
      <c r="L60" s="12" t="str">
        <f>IF(C60="","",IF(C60="Match",32,IF(C60="Tournament",MIN(32*INDEX('Tournament Log'!$D:$D,E60),96),32)))</f>
        <v/>
      </c>
      <c r="M60" s="12" t="str">
        <f t="shared" si="2"/>
        <v/>
      </c>
      <c r="N60" s="12" t="str">
        <f t="shared" si="3"/>
        <v/>
      </c>
      <c r="O60" s="12" t="str">
        <f t="shared" si="4"/>
        <v/>
      </c>
      <c r="P60" s="12" t="str">
        <f>IF(C60="Tournament",INDEX('Tournament Log'!$B:$B,E60),IF(C60="Guest","Guest: "&amp;INDEX('Guest Log'!$H:$H,Q60),""))</f>
        <v/>
      </c>
      <c r="Q60" t="str">
        <f>IFERROR(MATCH($A60,'Guest Log'!$L$4:$L$203,0)+3,"")</f>
        <v/>
      </c>
    </row>
    <row r="61" spans="1:17" ht="15" customHeight="1" x14ac:dyDescent="0.2">
      <c r="A61" s="12">
        <f>60</f>
        <v>60</v>
      </c>
      <c r="B61" s="12" t="str">
        <f>IF(C61="","",IF(C61="Match",INDEX('Match Log'!$A:$A,D61),IF(C61="Tournament",INDEX('Tournament Log'!$A:$A,E61),INDEX('Guest Log'!$A:$A,Q61))))</f>
        <v/>
      </c>
      <c r="C61" s="12" t="str">
        <f t="shared" si="0"/>
        <v/>
      </c>
      <c r="D61" s="31" t="str">
        <f>IFERROR(MATCH($A61,'Match Log'!$K$3:$K$501,0)+2,"")</f>
        <v/>
      </c>
      <c r="E61" s="31" t="str">
        <f>IFERROR(MATCH($A61,'Tournament Log'!$O$4:$O$203,0)+3,"")</f>
        <v/>
      </c>
      <c r="F61" s="12" t="str">
        <f>IF(C61="","",IF(C61="Match",INDEX('Match Log'!$B:$B,D61),IF(C61="Tournament",INDEX('Tournament Log'!$C:$C,E61),INDEX('Guest Log'!$B:$B,Q61))))</f>
        <v/>
      </c>
      <c r="G61" s="12" t="str">
        <f>IF(C61="","",IF(C61="Match",INDEX('Match Log'!$C:$C,D61),IF(C61="Tournament",INDEX('Tournament Log'!$B:$B,E61)&amp;" (Phantom)",INDEX('Guest Log'!$H:$H,Q61)&amp;" (Guest)")))</f>
        <v/>
      </c>
      <c r="H61" s="32" t="str">
        <f t="array" ref="H61">IF(C61="","",IFERROR(LOOKUP(2,1/(($F$1:F60=F61)+($G$1:G60=F61)),IF($F$1:F60=F61,$N$1:N60,$O$1:O60)),1000))</f>
        <v/>
      </c>
      <c r="I61" s="12" t="str">
        <f t="array" ref="I61">IF(C61="","",IF(C61="Tournament",INDEX('Tournament Log'!$J:$J,E61),IF(C61="Guest",IF(INDEX('Guest Log'!$I:$I,Q61)="",1000,INDEX('Guest Log'!$I:$I,Q61)),IFERROR(LOOKUP(2,1/(($F$1:F60=G61)+($G$1:G60=G61)),IF($F$1:F60=G61,$N$1:N60,$O$1:O60)),1000))))</f>
        <v/>
      </c>
      <c r="J61" s="12" t="str">
        <f t="shared" si="1"/>
        <v/>
      </c>
      <c r="K61" s="12" t="str">
        <f>IF(C61="","",IF(C61="Match",IF(INDEX('Match Log'!$D:$D,D61)="Win",1,IF(INDEX('Match Log'!$D:$D,D61)="Draw",0.5,0)),IF(C61="Tournament",INDEX('Tournament Log'!$K:$K,E61),IF(INDEX('Guest Log'!$C:$C,Q61)="Win",1,IF(INDEX('Guest Log'!$C:$C,Q61)="Draw",0.5,0)))))</f>
        <v/>
      </c>
      <c r="L61" s="12" t="str">
        <f>IF(C61="","",IF(C61="Match",32,IF(C61="Tournament",MIN(32*INDEX('Tournament Log'!$D:$D,E61),96),32)))</f>
        <v/>
      </c>
      <c r="M61" s="12" t="str">
        <f t="shared" si="2"/>
        <v/>
      </c>
      <c r="N61" s="12" t="str">
        <f t="shared" si="3"/>
        <v/>
      </c>
      <c r="O61" s="12" t="str">
        <f t="shared" si="4"/>
        <v/>
      </c>
      <c r="P61" s="12" t="str">
        <f>IF(C61="Tournament",INDEX('Tournament Log'!$B:$B,E61),IF(C61="Guest","Guest: "&amp;INDEX('Guest Log'!$H:$H,Q61),""))</f>
        <v/>
      </c>
      <c r="Q61" t="str">
        <f>IFERROR(MATCH($A61,'Guest Log'!$L$4:$L$203,0)+3,"")</f>
        <v/>
      </c>
    </row>
    <row r="62" spans="1:17" ht="15" customHeight="1" x14ac:dyDescent="0.2">
      <c r="A62" s="12">
        <f>61</f>
        <v>61</v>
      </c>
      <c r="B62" s="12" t="str">
        <f>IF(C62="","",IF(C62="Match",INDEX('Match Log'!$A:$A,D62),IF(C62="Tournament",INDEX('Tournament Log'!$A:$A,E62),INDEX('Guest Log'!$A:$A,Q62))))</f>
        <v/>
      </c>
      <c r="C62" s="12" t="str">
        <f t="shared" si="0"/>
        <v/>
      </c>
      <c r="D62" s="31" t="str">
        <f>IFERROR(MATCH($A62,'Match Log'!$K$3:$K$501,0)+2,"")</f>
        <v/>
      </c>
      <c r="E62" s="31" t="str">
        <f>IFERROR(MATCH($A62,'Tournament Log'!$O$4:$O$203,0)+3,"")</f>
        <v/>
      </c>
      <c r="F62" s="12" t="str">
        <f>IF(C62="","",IF(C62="Match",INDEX('Match Log'!$B:$B,D62),IF(C62="Tournament",INDEX('Tournament Log'!$C:$C,E62),INDEX('Guest Log'!$B:$B,Q62))))</f>
        <v/>
      </c>
      <c r="G62" s="12" t="str">
        <f>IF(C62="","",IF(C62="Match",INDEX('Match Log'!$C:$C,D62),IF(C62="Tournament",INDEX('Tournament Log'!$B:$B,E62)&amp;" (Phantom)",INDEX('Guest Log'!$H:$H,Q62)&amp;" (Guest)")))</f>
        <v/>
      </c>
      <c r="H62" s="32" t="str">
        <f t="array" ref="H62">IF(C62="","",IFERROR(LOOKUP(2,1/(($F$1:F61=F62)+($G$1:G61=F62)),IF($F$1:F61=F62,$N$1:N61,$O$1:O61)),1000))</f>
        <v/>
      </c>
      <c r="I62" s="12" t="str">
        <f t="array" ref="I62">IF(C62="","",IF(C62="Tournament",INDEX('Tournament Log'!$J:$J,E62),IF(C62="Guest",IF(INDEX('Guest Log'!$I:$I,Q62)="",1000,INDEX('Guest Log'!$I:$I,Q62)),IFERROR(LOOKUP(2,1/(($F$1:F61=G62)+($G$1:G61=G62)),IF($F$1:F61=G62,$N$1:N61,$O$1:O61)),1000))))</f>
        <v/>
      </c>
      <c r="J62" s="12" t="str">
        <f t="shared" si="1"/>
        <v/>
      </c>
      <c r="K62" s="12" t="str">
        <f>IF(C62="","",IF(C62="Match",IF(INDEX('Match Log'!$D:$D,D62)="Win",1,IF(INDEX('Match Log'!$D:$D,D62)="Draw",0.5,0)),IF(C62="Tournament",INDEX('Tournament Log'!$K:$K,E62),IF(INDEX('Guest Log'!$C:$C,Q62)="Win",1,IF(INDEX('Guest Log'!$C:$C,Q62)="Draw",0.5,0)))))</f>
        <v/>
      </c>
      <c r="L62" s="12" t="str">
        <f>IF(C62="","",IF(C62="Match",32,IF(C62="Tournament",MIN(32*INDEX('Tournament Log'!$D:$D,E62),96),32)))</f>
        <v/>
      </c>
      <c r="M62" s="12" t="str">
        <f t="shared" si="2"/>
        <v/>
      </c>
      <c r="N62" s="12" t="str">
        <f t="shared" si="3"/>
        <v/>
      </c>
      <c r="O62" s="12" t="str">
        <f t="shared" si="4"/>
        <v/>
      </c>
      <c r="P62" s="12" t="str">
        <f>IF(C62="Tournament",INDEX('Tournament Log'!$B:$B,E62),IF(C62="Guest","Guest: "&amp;INDEX('Guest Log'!$H:$H,Q62),""))</f>
        <v/>
      </c>
      <c r="Q62" t="str">
        <f>IFERROR(MATCH($A62,'Guest Log'!$L$4:$L$203,0)+3,"")</f>
        <v/>
      </c>
    </row>
    <row r="63" spans="1:17" ht="15" customHeight="1" x14ac:dyDescent="0.2">
      <c r="A63" s="12">
        <f>62</f>
        <v>62</v>
      </c>
      <c r="B63" s="12" t="str">
        <f>IF(C63="","",IF(C63="Match",INDEX('Match Log'!$A:$A,D63),IF(C63="Tournament",INDEX('Tournament Log'!$A:$A,E63),INDEX('Guest Log'!$A:$A,Q63))))</f>
        <v/>
      </c>
      <c r="C63" s="12" t="str">
        <f t="shared" si="0"/>
        <v/>
      </c>
      <c r="D63" s="31" t="str">
        <f>IFERROR(MATCH($A63,'Match Log'!$K$3:$K$501,0)+2,"")</f>
        <v/>
      </c>
      <c r="E63" s="31" t="str">
        <f>IFERROR(MATCH($A63,'Tournament Log'!$O$4:$O$203,0)+3,"")</f>
        <v/>
      </c>
      <c r="F63" s="12" t="str">
        <f>IF(C63="","",IF(C63="Match",INDEX('Match Log'!$B:$B,D63),IF(C63="Tournament",INDEX('Tournament Log'!$C:$C,E63),INDEX('Guest Log'!$B:$B,Q63))))</f>
        <v/>
      </c>
      <c r="G63" s="12" t="str">
        <f>IF(C63="","",IF(C63="Match",INDEX('Match Log'!$C:$C,D63),IF(C63="Tournament",INDEX('Tournament Log'!$B:$B,E63)&amp;" (Phantom)",INDEX('Guest Log'!$H:$H,Q63)&amp;" (Guest)")))</f>
        <v/>
      </c>
      <c r="H63" s="32" t="str">
        <f t="array" ref="H63">IF(C63="","",IFERROR(LOOKUP(2,1/(($F$1:F62=F63)+($G$1:G62=F63)),IF($F$1:F62=F63,$N$1:N62,$O$1:O62)),1000))</f>
        <v/>
      </c>
      <c r="I63" s="12" t="str">
        <f t="array" ref="I63">IF(C63="","",IF(C63="Tournament",INDEX('Tournament Log'!$J:$J,E63),IF(C63="Guest",IF(INDEX('Guest Log'!$I:$I,Q63)="",1000,INDEX('Guest Log'!$I:$I,Q63)),IFERROR(LOOKUP(2,1/(($F$1:F62=G63)+($G$1:G62=G63)),IF($F$1:F62=G63,$N$1:N62,$O$1:O62)),1000))))</f>
        <v/>
      </c>
      <c r="J63" s="12" t="str">
        <f t="shared" si="1"/>
        <v/>
      </c>
      <c r="K63" s="12" t="str">
        <f>IF(C63="","",IF(C63="Match",IF(INDEX('Match Log'!$D:$D,D63)="Win",1,IF(INDEX('Match Log'!$D:$D,D63)="Draw",0.5,0)),IF(C63="Tournament",INDEX('Tournament Log'!$K:$K,E63),IF(INDEX('Guest Log'!$C:$C,Q63)="Win",1,IF(INDEX('Guest Log'!$C:$C,Q63)="Draw",0.5,0)))))</f>
        <v/>
      </c>
      <c r="L63" s="12" t="str">
        <f>IF(C63="","",IF(C63="Match",32,IF(C63="Tournament",MIN(32*INDEX('Tournament Log'!$D:$D,E63),96),32)))</f>
        <v/>
      </c>
      <c r="M63" s="12" t="str">
        <f t="shared" si="2"/>
        <v/>
      </c>
      <c r="N63" s="12" t="str">
        <f t="shared" si="3"/>
        <v/>
      </c>
      <c r="O63" s="12" t="str">
        <f t="shared" si="4"/>
        <v/>
      </c>
      <c r="P63" s="12" t="str">
        <f>IF(C63="Tournament",INDEX('Tournament Log'!$B:$B,E63),IF(C63="Guest","Guest: "&amp;INDEX('Guest Log'!$H:$H,Q63),""))</f>
        <v/>
      </c>
      <c r="Q63" t="str">
        <f>IFERROR(MATCH($A63,'Guest Log'!$L$4:$L$203,0)+3,"")</f>
        <v/>
      </c>
    </row>
    <row r="64" spans="1:17" ht="15" customHeight="1" x14ac:dyDescent="0.2">
      <c r="A64" s="12">
        <f>63</f>
        <v>63</v>
      </c>
      <c r="B64" s="12" t="str">
        <f>IF(C64="","",IF(C64="Match",INDEX('Match Log'!$A:$A,D64),IF(C64="Tournament",INDEX('Tournament Log'!$A:$A,E64),INDEX('Guest Log'!$A:$A,Q64))))</f>
        <v/>
      </c>
      <c r="C64" s="12" t="str">
        <f t="shared" si="0"/>
        <v/>
      </c>
      <c r="D64" s="31" t="str">
        <f>IFERROR(MATCH($A64,'Match Log'!$K$3:$K$501,0)+2,"")</f>
        <v/>
      </c>
      <c r="E64" s="31" t="str">
        <f>IFERROR(MATCH($A64,'Tournament Log'!$O$4:$O$203,0)+3,"")</f>
        <v/>
      </c>
      <c r="F64" s="12" t="str">
        <f>IF(C64="","",IF(C64="Match",INDEX('Match Log'!$B:$B,D64),IF(C64="Tournament",INDEX('Tournament Log'!$C:$C,E64),INDEX('Guest Log'!$B:$B,Q64))))</f>
        <v/>
      </c>
      <c r="G64" s="12" t="str">
        <f>IF(C64="","",IF(C64="Match",INDEX('Match Log'!$C:$C,D64),IF(C64="Tournament",INDEX('Tournament Log'!$B:$B,E64)&amp;" (Phantom)",INDEX('Guest Log'!$H:$H,Q64)&amp;" (Guest)")))</f>
        <v/>
      </c>
      <c r="H64" s="32" t="str">
        <f t="array" ref="H64">IF(C64="","",IFERROR(LOOKUP(2,1/(($F$1:F63=F64)+($G$1:G63=F64)),IF($F$1:F63=F64,$N$1:N63,$O$1:O63)),1000))</f>
        <v/>
      </c>
      <c r="I64" s="12" t="str">
        <f t="array" ref="I64">IF(C64="","",IF(C64="Tournament",INDEX('Tournament Log'!$J:$J,E64),IF(C64="Guest",IF(INDEX('Guest Log'!$I:$I,Q64)="",1000,INDEX('Guest Log'!$I:$I,Q64)),IFERROR(LOOKUP(2,1/(($F$1:F63=G64)+($G$1:G63=G64)),IF($F$1:F63=G64,$N$1:N63,$O$1:O63)),1000))))</f>
        <v/>
      </c>
      <c r="J64" s="12" t="str">
        <f t="shared" si="1"/>
        <v/>
      </c>
      <c r="K64" s="12" t="str">
        <f>IF(C64="","",IF(C64="Match",IF(INDEX('Match Log'!$D:$D,D64)="Win",1,IF(INDEX('Match Log'!$D:$D,D64)="Draw",0.5,0)),IF(C64="Tournament",INDEX('Tournament Log'!$K:$K,E64),IF(INDEX('Guest Log'!$C:$C,Q64)="Win",1,IF(INDEX('Guest Log'!$C:$C,Q64)="Draw",0.5,0)))))</f>
        <v/>
      </c>
      <c r="L64" s="12" t="str">
        <f>IF(C64="","",IF(C64="Match",32,IF(C64="Tournament",MIN(32*INDEX('Tournament Log'!$D:$D,E64),96),32)))</f>
        <v/>
      </c>
      <c r="M64" s="12" t="str">
        <f t="shared" si="2"/>
        <v/>
      </c>
      <c r="N64" s="12" t="str">
        <f t="shared" si="3"/>
        <v/>
      </c>
      <c r="O64" s="12" t="str">
        <f t="shared" si="4"/>
        <v/>
      </c>
      <c r="P64" s="12" t="str">
        <f>IF(C64="Tournament",INDEX('Tournament Log'!$B:$B,E64),IF(C64="Guest","Guest: "&amp;INDEX('Guest Log'!$H:$H,Q64),""))</f>
        <v/>
      </c>
      <c r="Q64" t="str">
        <f>IFERROR(MATCH($A64,'Guest Log'!$L$4:$L$203,0)+3,"")</f>
        <v/>
      </c>
    </row>
    <row r="65" spans="1:17" ht="15" customHeight="1" x14ac:dyDescent="0.2">
      <c r="A65" s="12">
        <f>64</f>
        <v>64</v>
      </c>
      <c r="B65" s="12" t="str">
        <f>IF(C65="","",IF(C65="Match",INDEX('Match Log'!$A:$A,D65),IF(C65="Tournament",INDEX('Tournament Log'!$A:$A,E65),INDEX('Guest Log'!$A:$A,Q65))))</f>
        <v/>
      </c>
      <c r="C65" s="12" t="str">
        <f t="shared" si="0"/>
        <v/>
      </c>
      <c r="D65" s="31" t="str">
        <f>IFERROR(MATCH($A65,'Match Log'!$K$3:$K$501,0)+2,"")</f>
        <v/>
      </c>
      <c r="E65" s="31" t="str">
        <f>IFERROR(MATCH($A65,'Tournament Log'!$O$4:$O$203,0)+3,"")</f>
        <v/>
      </c>
      <c r="F65" s="12" t="str">
        <f>IF(C65="","",IF(C65="Match",INDEX('Match Log'!$B:$B,D65),IF(C65="Tournament",INDEX('Tournament Log'!$C:$C,E65),INDEX('Guest Log'!$B:$B,Q65))))</f>
        <v/>
      </c>
      <c r="G65" s="12" t="str">
        <f>IF(C65="","",IF(C65="Match",INDEX('Match Log'!$C:$C,D65),IF(C65="Tournament",INDEX('Tournament Log'!$B:$B,E65)&amp;" (Phantom)",INDEX('Guest Log'!$H:$H,Q65)&amp;" (Guest)")))</f>
        <v/>
      </c>
      <c r="H65" s="32" t="str">
        <f t="array" ref="H65">IF(C65="","",IFERROR(LOOKUP(2,1/(($F$1:F64=F65)+($G$1:G64=F65)),IF($F$1:F64=F65,$N$1:N64,$O$1:O64)),1000))</f>
        <v/>
      </c>
      <c r="I65" s="12" t="str">
        <f t="array" ref="I65">IF(C65="","",IF(C65="Tournament",INDEX('Tournament Log'!$J:$J,E65),IF(C65="Guest",IF(INDEX('Guest Log'!$I:$I,Q65)="",1000,INDEX('Guest Log'!$I:$I,Q65)),IFERROR(LOOKUP(2,1/(($F$1:F64=G65)+($G$1:G64=G65)),IF($F$1:F64=G65,$N$1:N64,$O$1:O64)),1000))))</f>
        <v/>
      </c>
      <c r="J65" s="12" t="str">
        <f t="shared" si="1"/>
        <v/>
      </c>
      <c r="K65" s="12" t="str">
        <f>IF(C65="","",IF(C65="Match",IF(INDEX('Match Log'!$D:$D,D65)="Win",1,IF(INDEX('Match Log'!$D:$D,D65)="Draw",0.5,0)),IF(C65="Tournament",INDEX('Tournament Log'!$K:$K,E65),IF(INDEX('Guest Log'!$C:$C,Q65)="Win",1,IF(INDEX('Guest Log'!$C:$C,Q65)="Draw",0.5,0)))))</f>
        <v/>
      </c>
      <c r="L65" s="12" t="str">
        <f>IF(C65="","",IF(C65="Match",32,IF(C65="Tournament",MIN(32*INDEX('Tournament Log'!$D:$D,E65),96),32)))</f>
        <v/>
      </c>
      <c r="M65" s="12" t="str">
        <f t="shared" si="2"/>
        <v/>
      </c>
      <c r="N65" s="12" t="str">
        <f t="shared" si="3"/>
        <v/>
      </c>
      <c r="O65" s="12" t="str">
        <f t="shared" si="4"/>
        <v/>
      </c>
      <c r="P65" s="12" t="str">
        <f>IF(C65="Tournament",INDEX('Tournament Log'!$B:$B,E65),IF(C65="Guest","Guest: "&amp;INDEX('Guest Log'!$H:$H,Q65),""))</f>
        <v/>
      </c>
      <c r="Q65" t="str">
        <f>IFERROR(MATCH($A65,'Guest Log'!$L$4:$L$203,0)+3,"")</f>
        <v/>
      </c>
    </row>
    <row r="66" spans="1:17" ht="15" customHeight="1" x14ac:dyDescent="0.2">
      <c r="A66" s="12">
        <f>65</f>
        <v>65</v>
      </c>
      <c r="B66" s="12" t="str">
        <f>IF(C66="","",IF(C66="Match",INDEX('Match Log'!$A:$A,D66),IF(C66="Tournament",INDEX('Tournament Log'!$A:$A,E66),INDEX('Guest Log'!$A:$A,Q66))))</f>
        <v/>
      </c>
      <c r="C66" s="12" t="str">
        <f t="shared" ref="C66:C129" si="5">IF(D66&lt;&gt;"","Match",IF(E66&lt;&gt;"","Tournament",IF(Q66&lt;&gt;"","Guest","")))</f>
        <v/>
      </c>
      <c r="D66" s="31" t="str">
        <f>IFERROR(MATCH($A66,'Match Log'!$K$3:$K$501,0)+2,"")</f>
        <v/>
      </c>
      <c r="E66" s="31" t="str">
        <f>IFERROR(MATCH($A66,'Tournament Log'!$O$4:$O$203,0)+3,"")</f>
        <v/>
      </c>
      <c r="F66" s="12" t="str">
        <f>IF(C66="","",IF(C66="Match",INDEX('Match Log'!$B:$B,D66),IF(C66="Tournament",INDEX('Tournament Log'!$C:$C,E66),INDEX('Guest Log'!$B:$B,Q66))))</f>
        <v/>
      </c>
      <c r="G66" s="12" t="str">
        <f>IF(C66="","",IF(C66="Match",INDEX('Match Log'!$C:$C,D66),IF(C66="Tournament",INDEX('Tournament Log'!$B:$B,E66)&amp;" (Phantom)",INDEX('Guest Log'!$H:$H,Q66)&amp;" (Guest)")))</f>
        <v/>
      </c>
      <c r="H66" s="32" t="str">
        <f t="array" ref="H66">IF(C66="","",IFERROR(LOOKUP(2,1/(($F$1:F65=F66)+($G$1:G65=F66)),IF($F$1:F65=F66,$N$1:N65,$O$1:O65)),1000))</f>
        <v/>
      </c>
      <c r="I66" s="12" t="str">
        <f t="array" ref="I66">IF(C66="","",IF(C66="Tournament",INDEX('Tournament Log'!$J:$J,E66),IF(C66="Guest",IF(INDEX('Guest Log'!$I:$I,Q66)="",1000,INDEX('Guest Log'!$I:$I,Q66)),IFERROR(LOOKUP(2,1/(($F$1:F65=G66)+($G$1:G65=G66)),IF($F$1:F65=G66,$N$1:N65,$O$1:O65)),1000))))</f>
        <v/>
      </c>
      <c r="J66" s="12" t="str">
        <f t="shared" ref="J66:J129" si="6">IF(C66="","",1/(1+10^((I66-H66)/400)))</f>
        <v/>
      </c>
      <c r="K66" s="12" t="str">
        <f>IF(C66="","",IF(C66="Match",IF(INDEX('Match Log'!$D:$D,D66)="Win",1,IF(INDEX('Match Log'!$D:$D,D66)="Draw",0.5,0)),IF(C66="Tournament",INDEX('Tournament Log'!$K:$K,E66),IF(INDEX('Guest Log'!$C:$C,Q66)="Win",1,IF(INDEX('Guest Log'!$C:$C,Q66)="Draw",0.5,0)))))</f>
        <v/>
      </c>
      <c r="L66" s="12" t="str">
        <f>IF(C66="","",IF(C66="Match",32,IF(C66="Tournament",MIN(32*INDEX('Tournament Log'!$D:$D,E66),96),32)))</f>
        <v/>
      </c>
      <c r="M66" s="12" t="str">
        <f t="shared" ref="M66:M129" si="7">IF(C66="","",ROUND(L66*(K66-J66),0))</f>
        <v/>
      </c>
      <c r="N66" s="12" t="str">
        <f t="shared" ref="N66:N129" si="8">IF(C66="","",H66+M66)</f>
        <v/>
      </c>
      <c r="O66" s="12" t="str">
        <f t="shared" ref="O66:O129" si="9">IF(C66="","",IF(C66="Match",I66-M66,""))</f>
        <v/>
      </c>
      <c r="P66" s="12" t="str">
        <f>IF(C66="Tournament",INDEX('Tournament Log'!$B:$B,E66),IF(C66="Guest","Guest: "&amp;INDEX('Guest Log'!$H:$H,Q66),""))</f>
        <v/>
      </c>
      <c r="Q66" t="str">
        <f>IFERROR(MATCH($A66,'Guest Log'!$L$4:$L$203,0)+3,"")</f>
        <v/>
      </c>
    </row>
    <row r="67" spans="1:17" ht="15" customHeight="1" x14ac:dyDescent="0.2">
      <c r="A67" s="12">
        <f>66</f>
        <v>66</v>
      </c>
      <c r="B67" s="12" t="str">
        <f>IF(C67="","",IF(C67="Match",INDEX('Match Log'!$A:$A,D67),IF(C67="Tournament",INDEX('Tournament Log'!$A:$A,E67),INDEX('Guest Log'!$A:$A,Q67))))</f>
        <v/>
      </c>
      <c r="C67" s="12" t="str">
        <f t="shared" si="5"/>
        <v/>
      </c>
      <c r="D67" s="31" t="str">
        <f>IFERROR(MATCH($A67,'Match Log'!$K$3:$K$501,0)+2,"")</f>
        <v/>
      </c>
      <c r="E67" s="31" t="str">
        <f>IFERROR(MATCH($A67,'Tournament Log'!$O$4:$O$203,0)+3,"")</f>
        <v/>
      </c>
      <c r="F67" s="12" t="str">
        <f>IF(C67="","",IF(C67="Match",INDEX('Match Log'!$B:$B,D67),IF(C67="Tournament",INDEX('Tournament Log'!$C:$C,E67),INDEX('Guest Log'!$B:$B,Q67))))</f>
        <v/>
      </c>
      <c r="G67" s="12" t="str">
        <f>IF(C67="","",IF(C67="Match",INDEX('Match Log'!$C:$C,D67),IF(C67="Tournament",INDEX('Tournament Log'!$B:$B,E67)&amp;" (Phantom)",INDEX('Guest Log'!$H:$H,Q67)&amp;" (Guest)")))</f>
        <v/>
      </c>
      <c r="H67" s="32" t="str">
        <f t="array" ref="H67">IF(C67="","",IFERROR(LOOKUP(2,1/(($F$1:F66=F67)+($G$1:G66=F67)),IF($F$1:F66=F67,$N$1:N66,$O$1:O66)),1000))</f>
        <v/>
      </c>
      <c r="I67" s="12" t="str">
        <f t="array" ref="I67">IF(C67="","",IF(C67="Tournament",INDEX('Tournament Log'!$J:$J,E67),IF(C67="Guest",IF(INDEX('Guest Log'!$I:$I,Q67)="",1000,INDEX('Guest Log'!$I:$I,Q67)),IFERROR(LOOKUP(2,1/(($F$1:F66=G67)+($G$1:G66=G67)),IF($F$1:F66=G67,$N$1:N66,$O$1:O66)),1000))))</f>
        <v/>
      </c>
      <c r="J67" s="12" t="str">
        <f t="shared" si="6"/>
        <v/>
      </c>
      <c r="K67" s="12" t="str">
        <f>IF(C67="","",IF(C67="Match",IF(INDEX('Match Log'!$D:$D,D67)="Win",1,IF(INDEX('Match Log'!$D:$D,D67)="Draw",0.5,0)),IF(C67="Tournament",INDEX('Tournament Log'!$K:$K,E67),IF(INDEX('Guest Log'!$C:$C,Q67)="Win",1,IF(INDEX('Guest Log'!$C:$C,Q67)="Draw",0.5,0)))))</f>
        <v/>
      </c>
      <c r="L67" s="12" t="str">
        <f>IF(C67="","",IF(C67="Match",32,IF(C67="Tournament",MIN(32*INDEX('Tournament Log'!$D:$D,E67),96),32)))</f>
        <v/>
      </c>
      <c r="M67" s="12" t="str">
        <f t="shared" si="7"/>
        <v/>
      </c>
      <c r="N67" s="12" t="str">
        <f t="shared" si="8"/>
        <v/>
      </c>
      <c r="O67" s="12" t="str">
        <f t="shared" si="9"/>
        <v/>
      </c>
      <c r="P67" s="12" t="str">
        <f>IF(C67="Tournament",INDEX('Tournament Log'!$B:$B,E67),IF(C67="Guest","Guest: "&amp;INDEX('Guest Log'!$H:$H,Q67),""))</f>
        <v/>
      </c>
      <c r="Q67" t="str">
        <f>IFERROR(MATCH($A67,'Guest Log'!$L$4:$L$203,0)+3,"")</f>
        <v/>
      </c>
    </row>
    <row r="68" spans="1:17" ht="15" customHeight="1" x14ac:dyDescent="0.2">
      <c r="A68" s="12">
        <f>67</f>
        <v>67</v>
      </c>
      <c r="B68" s="12" t="str">
        <f>IF(C68="","",IF(C68="Match",INDEX('Match Log'!$A:$A,D68),IF(C68="Tournament",INDEX('Tournament Log'!$A:$A,E68),INDEX('Guest Log'!$A:$A,Q68))))</f>
        <v/>
      </c>
      <c r="C68" s="12" t="str">
        <f t="shared" si="5"/>
        <v/>
      </c>
      <c r="D68" s="31" t="str">
        <f>IFERROR(MATCH($A68,'Match Log'!$K$3:$K$501,0)+2,"")</f>
        <v/>
      </c>
      <c r="E68" s="31" t="str">
        <f>IFERROR(MATCH($A68,'Tournament Log'!$O$4:$O$203,0)+3,"")</f>
        <v/>
      </c>
      <c r="F68" s="12" t="str">
        <f>IF(C68="","",IF(C68="Match",INDEX('Match Log'!$B:$B,D68),IF(C68="Tournament",INDEX('Tournament Log'!$C:$C,E68),INDEX('Guest Log'!$B:$B,Q68))))</f>
        <v/>
      </c>
      <c r="G68" s="12" t="str">
        <f>IF(C68="","",IF(C68="Match",INDEX('Match Log'!$C:$C,D68),IF(C68="Tournament",INDEX('Tournament Log'!$B:$B,E68)&amp;" (Phantom)",INDEX('Guest Log'!$H:$H,Q68)&amp;" (Guest)")))</f>
        <v/>
      </c>
      <c r="H68" s="32" t="str">
        <f t="array" ref="H68">IF(C68="","",IFERROR(LOOKUP(2,1/(($F$1:F67=F68)+($G$1:G67=F68)),IF($F$1:F67=F68,$N$1:N67,$O$1:O67)),1000))</f>
        <v/>
      </c>
      <c r="I68" s="12" t="str">
        <f t="array" ref="I68">IF(C68="","",IF(C68="Tournament",INDEX('Tournament Log'!$J:$J,E68),IF(C68="Guest",IF(INDEX('Guest Log'!$I:$I,Q68)="",1000,INDEX('Guest Log'!$I:$I,Q68)),IFERROR(LOOKUP(2,1/(($F$1:F67=G68)+($G$1:G67=G68)),IF($F$1:F67=G68,$N$1:N67,$O$1:O67)),1000))))</f>
        <v/>
      </c>
      <c r="J68" s="12" t="str">
        <f t="shared" si="6"/>
        <v/>
      </c>
      <c r="K68" s="12" t="str">
        <f>IF(C68="","",IF(C68="Match",IF(INDEX('Match Log'!$D:$D,D68)="Win",1,IF(INDEX('Match Log'!$D:$D,D68)="Draw",0.5,0)),IF(C68="Tournament",INDEX('Tournament Log'!$K:$K,E68),IF(INDEX('Guest Log'!$C:$C,Q68)="Win",1,IF(INDEX('Guest Log'!$C:$C,Q68)="Draw",0.5,0)))))</f>
        <v/>
      </c>
      <c r="L68" s="12" t="str">
        <f>IF(C68="","",IF(C68="Match",32,IF(C68="Tournament",MIN(32*INDEX('Tournament Log'!$D:$D,E68),96),32)))</f>
        <v/>
      </c>
      <c r="M68" s="12" t="str">
        <f t="shared" si="7"/>
        <v/>
      </c>
      <c r="N68" s="12" t="str">
        <f t="shared" si="8"/>
        <v/>
      </c>
      <c r="O68" s="12" t="str">
        <f t="shared" si="9"/>
        <v/>
      </c>
      <c r="P68" s="12" t="str">
        <f>IF(C68="Tournament",INDEX('Tournament Log'!$B:$B,E68),IF(C68="Guest","Guest: "&amp;INDEX('Guest Log'!$H:$H,Q68),""))</f>
        <v/>
      </c>
      <c r="Q68" t="str">
        <f>IFERROR(MATCH($A68,'Guest Log'!$L$4:$L$203,0)+3,"")</f>
        <v/>
      </c>
    </row>
    <row r="69" spans="1:17" ht="15" customHeight="1" x14ac:dyDescent="0.2">
      <c r="A69" s="12">
        <f>68</f>
        <v>68</v>
      </c>
      <c r="B69" s="12" t="str">
        <f>IF(C69="","",IF(C69="Match",INDEX('Match Log'!$A:$A,D69),IF(C69="Tournament",INDEX('Tournament Log'!$A:$A,E69),INDEX('Guest Log'!$A:$A,Q69))))</f>
        <v/>
      </c>
      <c r="C69" s="12" t="str">
        <f t="shared" si="5"/>
        <v/>
      </c>
      <c r="D69" s="31" t="str">
        <f>IFERROR(MATCH($A69,'Match Log'!$K$3:$K$501,0)+2,"")</f>
        <v/>
      </c>
      <c r="E69" s="31" t="str">
        <f>IFERROR(MATCH($A69,'Tournament Log'!$O$4:$O$203,0)+3,"")</f>
        <v/>
      </c>
      <c r="F69" s="12" t="str">
        <f>IF(C69="","",IF(C69="Match",INDEX('Match Log'!$B:$B,D69),IF(C69="Tournament",INDEX('Tournament Log'!$C:$C,E69),INDEX('Guest Log'!$B:$B,Q69))))</f>
        <v/>
      </c>
      <c r="G69" s="12" t="str">
        <f>IF(C69="","",IF(C69="Match",INDEX('Match Log'!$C:$C,D69),IF(C69="Tournament",INDEX('Tournament Log'!$B:$B,E69)&amp;" (Phantom)",INDEX('Guest Log'!$H:$H,Q69)&amp;" (Guest)")))</f>
        <v/>
      </c>
      <c r="H69" s="32" t="str">
        <f t="array" ref="H69">IF(C69="","",IFERROR(LOOKUP(2,1/(($F$1:F68=F69)+($G$1:G68=F69)),IF($F$1:F68=F69,$N$1:N68,$O$1:O68)),1000))</f>
        <v/>
      </c>
      <c r="I69" s="12" t="str">
        <f t="array" ref="I69">IF(C69="","",IF(C69="Tournament",INDEX('Tournament Log'!$J:$J,E69),IF(C69="Guest",IF(INDEX('Guest Log'!$I:$I,Q69)="",1000,INDEX('Guest Log'!$I:$I,Q69)),IFERROR(LOOKUP(2,1/(($F$1:F68=G69)+($G$1:G68=G69)),IF($F$1:F68=G69,$N$1:N68,$O$1:O68)),1000))))</f>
        <v/>
      </c>
      <c r="J69" s="12" t="str">
        <f t="shared" si="6"/>
        <v/>
      </c>
      <c r="K69" s="12" t="str">
        <f>IF(C69="","",IF(C69="Match",IF(INDEX('Match Log'!$D:$D,D69)="Win",1,IF(INDEX('Match Log'!$D:$D,D69)="Draw",0.5,0)),IF(C69="Tournament",INDEX('Tournament Log'!$K:$K,E69),IF(INDEX('Guest Log'!$C:$C,Q69)="Win",1,IF(INDEX('Guest Log'!$C:$C,Q69)="Draw",0.5,0)))))</f>
        <v/>
      </c>
      <c r="L69" s="12" t="str">
        <f>IF(C69="","",IF(C69="Match",32,IF(C69="Tournament",MIN(32*INDEX('Tournament Log'!$D:$D,E69),96),32)))</f>
        <v/>
      </c>
      <c r="M69" s="12" t="str">
        <f t="shared" si="7"/>
        <v/>
      </c>
      <c r="N69" s="12" t="str">
        <f t="shared" si="8"/>
        <v/>
      </c>
      <c r="O69" s="12" t="str">
        <f t="shared" si="9"/>
        <v/>
      </c>
      <c r="P69" s="12" t="str">
        <f>IF(C69="Tournament",INDEX('Tournament Log'!$B:$B,E69),IF(C69="Guest","Guest: "&amp;INDEX('Guest Log'!$H:$H,Q69),""))</f>
        <v/>
      </c>
      <c r="Q69" t="str">
        <f>IFERROR(MATCH($A69,'Guest Log'!$L$4:$L$203,0)+3,"")</f>
        <v/>
      </c>
    </row>
    <row r="70" spans="1:17" ht="15" customHeight="1" x14ac:dyDescent="0.2">
      <c r="A70" s="12">
        <f>69</f>
        <v>69</v>
      </c>
      <c r="B70" s="12" t="str">
        <f>IF(C70="","",IF(C70="Match",INDEX('Match Log'!$A:$A,D70),IF(C70="Tournament",INDEX('Tournament Log'!$A:$A,E70),INDEX('Guest Log'!$A:$A,Q70))))</f>
        <v/>
      </c>
      <c r="C70" s="12" t="str">
        <f t="shared" si="5"/>
        <v/>
      </c>
      <c r="D70" s="31" t="str">
        <f>IFERROR(MATCH($A70,'Match Log'!$K$3:$K$501,0)+2,"")</f>
        <v/>
      </c>
      <c r="E70" s="31" t="str">
        <f>IFERROR(MATCH($A70,'Tournament Log'!$O$4:$O$203,0)+3,"")</f>
        <v/>
      </c>
      <c r="F70" s="12" t="str">
        <f>IF(C70="","",IF(C70="Match",INDEX('Match Log'!$B:$B,D70),IF(C70="Tournament",INDEX('Tournament Log'!$C:$C,E70),INDEX('Guest Log'!$B:$B,Q70))))</f>
        <v/>
      </c>
      <c r="G70" s="12" t="str">
        <f>IF(C70="","",IF(C70="Match",INDEX('Match Log'!$C:$C,D70),IF(C70="Tournament",INDEX('Tournament Log'!$B:$B,E70)&amp;" (Phantom)",INDEX('Guest Log'!$H:$H,Q70)&amp;" (Guest)")))</f>
        <v/>
      </c>
      <c r="H70" s="32" t="str">
        <f t="array" ref="H70">IF(C70="","",IFERROR(LOOKUP(2,1/(($F$1:F69=F70)+($G$1:G69=F70)),IF($F$1:F69=F70,$N$1:N69,$O$1:O69)),1000))</f>
        <v/>
      </c>
      <c r="I70" s="12" t="str">
        <f t="array" ref="I70">IF(C70="","",IF(C70="Tournament",INDEX('Tournament Log'!$J:$J,E70),IF(C70="Guest",IF(INDEX('Guest Log'!$I:$I,Q70)="",1000,INDEX('Guest Log'!$I:$I,Q70)),IFERROR(LOOKUP(2,1/(($F$1:F69=G70)+($G$1:G69=G70)),IF($F$1:F69=G70,$N$1:N69,$O$1:O69)),1000))))</f>
        <v/>
      </c>
      <c r="J70" s="12" t="str">
        <f t="shared" si="6"/>
        <v/>
      </c>
      <c r="K70" s="12" t="str">
        <f>IF(C70="","",IF(C70="Match",IF(INDEX('Match Log'!$D:$D,D70)="Win",1,IF(INDEX('Match Log'!$D:$D,D70)="Draw",0.5,0)),IF(C70="Tournament",INDEX('Tournament Log'!$K:$K,E70),IF(INDEX('Guest Log'!$C:$C,Q70)="Win",1,IF(INDEX('Guest Log'!$C:$C,Q70)="Draw",0.5,0)))))</f>
        <v/>
      </c>
      <c r="L70" s="12" t="str">
        <f>IF(C70="","",IF(C70="Match",32,IF(C70="Tournament",MIN(32*INDEX('Tournament Log'!$D:$D,E70),96),32)))</f>
        <v/>
      </c>
      <c r="M70" s="12" t="str">
        <f t="shared" si="7"/>
        <v/>
      </c>
      <c r="N70" s="12" t="str">
        <f t="shared" si="8"/>
        <v/>
      </c>
      <c r="O70" s="12" t="str">
        <f t="shared" si="9"/>
        <v/>
      </c>
      <c r="P70" s="12" t="str">
        <f>IF(C70="Tournament",INDEX('Tournament Log'!$B:$B,E70),IF(C70="Guest","Guest: "&amp;INDEX('Guest Log'!$H:$H,Q70),""))</f>
        <v/>
      </c>
      <c r="Q70" t="str">
        <f>IFERROR(MATCH($A70,'Guest Log'!$L$4:$L$203,0)+3,"")</f>
        <v/>
      </c>
    </row>
    <row r="71" spans="1:17" ht="15" customHeight="1" x14ac:dyDescent="0.2">
      <c r="A71" s="12">
        <f>70</f>
        <v>70</v>
      </c>
      <c r="B71" s="12" t="str">
        <f>IF(C71="","",IF(C71="Match",INDEX('Match Log'!$A:$A,D71),IF(C71="Tournament",INDEX('Tournament Log'!$A:$A,E71),INDEX('Guest Log'!$A:$A,Q71))))</f>
        <v/>
      </c>
      <c r="C71" s="12" t="str">
        <f t="shared" si="5"/>
        <v/>
      </c>
      <c r="D71" s="31" t="str">
        <f>IFERROR(MATCH($A71,'Match Log'!$K$3:$K$501,0)+2,"")</f>
        <v/>
      </c>
      <c r="E71" s="31" t="str">
        <f>IFERROR(MATCH($A71,'Tournament Log'!$O$4:$O$203,0)+3,"")</f>
        <v/>
      </c>
      <c r="F71" s="12" t="str">
        <f>IF(C71="","",IF(C71="Match",INDEX('Match Log'!$B:$B,D71),IF(C71="Tournament",INDEX('Tournament Log'!$C:$C,E71),INDEX('Guest Log'!$B:$B,Q71))))</f>
        <v/>
      </c>
      <c r="G71" s="12" t="str">
        <f>IF(C71="","",IF(C71="Match",INDEX('Match Log'!$C:$C,D71),IF(C71="Tournament",INDEX('Tournament Log'!$B:$B,E71)&amp;" (Phantom)",INDEX('Guest Log'!$H:$H,Q71)&amp;" (Guest)")))</f>
        <v/>
      </c>
      <c r="H71" s="32" t="str">
        <f t="array" ref="H71">IF(C71="","",IFERROR(LOOKUP(2,1/(($F$1:F70=F71)+($G$1:G70=F71)),IF($F$1:F70=F71,$N$1:N70,$O$1:O70)),1000))</f>
        <v/>
      </c>
      <c r="I71" s="12" t="str">
        <f t="array" ref="I71">IF(C71="","",IF(C71="Tournament",INDEX('Tournament Log'!$J:$J,E71),IF(C71="Guest",IF(INDEX('Guest Log'!$I:$I,Q71)="",1000,INDEX('Guest Log'!$I:$I,Q71)),IFERROR(LOOKUP(2,1/(($F$1:F70=G71)+($G$1:G70=G71)),IF($F$1:F70=G71,$N$1:N70,$O$1:O70)),1000))))</f>
        <v/>
      </c>
      <c r="J71" s="12" t="str">
        <f t="shared" si="6"/>
        <v/>
      </c>
      <c r="K71" s="12" t="str">
        <f>IF(C71="","",IF(C71="Match",IF(INDEX('Match Log'!$D:$D,D71)="Win",1,IF(INDEX('Match Log'!$D:$D,D71)="Draw",0.5,0)),IF(C71="Tournament",INDEX('Tournament Log'!$K:$K,E71),IF(INDEX('Guest Log'!$C:$C,Q71)="Win",1,IF(INDEX('Guest Log'!$C:$C,Q71)="Draw",0.5,0)))))</f>
        <v/>
      </c>
      <c r="L71" s="12" t="str">
        <f>IF(C71="","",IF(C71="Match",32,IF(C71="Tournament",MIN(32*INDEX('Tournament Log'!$D:$D,E71),96),32)))</f>
        <v/>
      </c>
      <c r="M71" s="12" t="str">
        <f t="shared" si="7"/>
        <v/>
      </c>
      <c r="N71" s="12" t="str">
        <f t="shared" si="8"/>
        <v/>
      </c>
      <c r="O71" s="12" t="str">
        <f t="shared" si="9"/>
        <v/>
      </c>
      <c r="P71" s="12" t="str">
        <f>IF(C71="Tournament",INDEX('Tournament Log'!$B:$B,E71),IF(C71="Guest","Guest: "&amp;INDEX('Guest Log'!$H:$H,Q71),""))</f>
        <v/>
      </c>
      <c r="Q71" t="str">
        <f>IFERROR(MATCH($A71,'Guest Log'!$L$4:$L$203,0)+3,"")</f>
        <v/>
      </c>
    </row>
    <row r="72" spans="1:17" ht="15" customHeight="1" x14ac:dyDescent="0.2">
      <c r="A72" s="12">
        <f>71</f>
        <v>71</v>
      </c>
      <c r="B72" s="12" t="str">
        <f>IF(C72="","",IF(C72="Match",INDEX('Match Log'!$A:$A,D72),IF(C72="Tournament",INDEX('Tournament Log'!$A:$A,E72),INDEX('Guest Log'!$A:$A,Q72))))</f>
        <v/>
      </c>
      <c r="C72" s="12" t="str">
        <f t="shared" si="5"/>
        <v/>
      </c>
      <c r="D72" s="31" t="str">
        <f>IFERROR(MATCH($A72,'Match Log'!$K$3:$K$501,0)+2,"")</f>
        <v/>
      </c>
      <c r="E72" s="31" t="str">
        <f>IFERROR(MATCH($A72,'Tournament Log'!$O$4:$O$203,0)+3,"")</f>
        <v/>
      </c>
      <c r="F72" s="12" t="str">
        <f>IF(C72="","",IF(C72="Match",INDEX('Match Log'!$B:$B,D72),IF(C72="Tournament",INDEX('Tournament Log'!$C:$C,E72),INDEX('Guest Log'!$B:$B,Q72))))</f>
        <v/>
      </c>
      <c r="G72" s="12" t="str">
        <f>IF(C72="","",IF(C72="Match",INDEX('Match Log'!$C:$C,D72),IF(C72="Tournament",INDEX('Tournament Log'!$B:$B,E72)&amp;" (Phantom)",INDEX('Guest Log'!$H:$H,Q72)&amp;" (Guest)")))</f>
        <v/>
      </c>
      <c r="H72" s="32" t="str">
        <f t="array" ref="H72">IF(C72="","",IFERROR(LOOKUP(2,1/(($F$1:F71=F72)+($G$1:G71=F72)),IF($F$1:F71=F72,$N$1:N71,$O$1:O71)),1000))</f>
        <v/>
      </c>
      <c r="I72" s="12" t="str">
        <f t="array" ref="I72">IF(C72="","",IF(C72="Tournament",INDEX('Tournament Log'!$J:$J,E72),IF(C72="Guest",IF(INDEX('Guest Log'!$I:$I,Q72)="",1000,INDEX('Guest Log'!$I:$I,Q72)),IFERROR(LOOKUP(2,1/(($F$1:F71=G72)+($G$1:G71=G72)),IF($F$1:F71=G72,$N$1:N71,$O$1:O71)),1000))))</f>
        <v/>
      </c>
      <c r="J72" s="12" t="str">
        <f t="shared" si="6"/>
        <v/>
      </c>
      <c r="K72" s="12" t="str">
        <f>IF(C72="","",IF(C72="Match",IF(INDEX('Match Log'!$D:$D,D72)="Win",1,IF(INDEX('Match Log'!$D:$D,D72)="Draw",0.5,0)),IF(C72="Tournament",INDEX('Tournament Log'!$K:$K,E72),IF(INDEX('Guest Log'!$C:$C,Q72)="Win",1,IF(INDEX('Guest Log'!$C:$C,Q72)="Draw",0.5,0)))))</f>
        <v/>
      </c>
      <c r="L72" s="12" t="str">
        <f>IF(C72="","",IF(C72="Match",32,IF(C72="Tournament",MIN(32*INDEX('Tournament Log'!$D:$D,E72),96),32)))</f>
        <v/>
      </c>
      <c r="M72" s="12" t="str">
        <f t="shared" si="7"/>
        <v/>
      </c>
      <c r="N72" s="12" t="str">
        <f t="shared" si="8"/>
        <v/>
      </c>
      <c r="O72" s="12" t="str">
        <f t="shared" si="9"/>
        <v/>
      </c>
      <c r="P72" s="12" t="str">
        <f>IF(C72="Tournament",INDEX('Tournament Log'!$B:$B,E72),IF(C72="Guest","Guest: "&amp;INDEX('Guest Log'!$H:$H,Q72),""))</f>
        <v/>
      </c>
      <c r="Q72" t="str">
        <f>IFERROR(MATCH($A72,'Guest Log'!$L$4:$L$203,0)+3,"")</f>
        <v/>
      </c>
    </row>
    <row r="73" spans="1:17" ht="15" customHeight="1" x14ac:dyDescent="0.2">
      <c r="A73" s="12">
        <f>72</f>
        <v>72</v>
      </c>
      <c r="B73" s="12" t="str">
        <f>IF(C73="","",IF(C73="Match",INDEX('Match Log'!$A:$A,D73),IF(C73="Tournament",INDEX('Tournament Log'!$A:$A,E73),INDEX('Guest Log'!$A:$A,Q73))))</f>
        <v/>
      </c>
      <c r="C73" s="12" t="str">
        <f t="shared" si="5"/>
        <v/>
      </c>
      <c r="D73" s="31" t="str">
        <f>IFERROR(MATCH($A73,'Match Log'!$K$3:$K$501,0)+2,"")</f>
        <v/>
      </c>
      <c r="E73" s="31" t="str">
        <f>IFERROR(MATCH($A73,'Tournament Log'!$O$4:$O$203,0)+3,"")</f>
        <v/>
      </c>
      <c r="F73" s="12" t="str">
        <f>IF(C73="","",IF(C73="Match",INDEX('Match Log'!$B:$B,D73),IF(C73="Tournament",INDEX('Tournament Log'!$C:$C,E73),INDEX('Guest Log'!$B:$B,Q73))))</f>
        <v/>
      </c>
      <c r="G73" s="12" t="str">
        <f>IF(C73="","",IF(C73="Match",INDEX('Match Log'!$C:$C,D73),IF(C73="Tournament",INDEX('Tournament Log'!$B:$B,E73)&amp;" (Phantom)",INDEX('Guest Log'!$H:$H,Q73)&amp;" (Guest)")))</f>
        <v/>
      </c>
      <c r="H73" s="32" t="str">
        <f t="array" ref="H73">IF(C73="","",IFERROR(LOOKUP(2,1/(($F$1:F72=F73)+($G$1:G72=F73)),IF($F$1:F72=F73,$N$1:N72,$O$1:O72)),1000))</f>
        <v/>
      </c>
      <c r="I73" s="12" t="str">
        <f t="array" ref="I73">IF(C73="","",IF(C73="Tournament",INDEX('Tournament Log'!$J:$J,E73),IF(C73="Guest",IF(INDEX('Guest Log'!$I:$I,Q73)="",1000,INDEX('Guest Log'!$I:$I,Q73)),IFERROR(LOOKUP(2,1/(($F$1:F72=G73)+($G$1:G72=G73)),IF($F$1:F72=G73,$N$1:N72,$O$1:O72)),1000))))</f>
        <v/>
      </c>
      <c r="J73" s="12" t="str">
        <f t="shared" si="6"/>
        <v/>
      </c>
      <c r="K73" s="12" t="str">
        <f>IF(C73="","",IF(C73="Match",IF(INDEX('Match Log'!$D:$D,D73)="Win",1,IF(INDEX('Match Log'!$D:$D,D73)="Draw",0.5,0)),IF(C73="Tournament",INDEX('Tournament Log'!$K:$K,E73),IF(INDEX('Guest Log'!$C:$C,Q73)="Win",1,IF(INDEX('Guest Log'!$C:$C,Q73)="Draw",0.5,0)))))</f>
        <v/>
      </c>
      <c r="L73" s="12" t="str">
        <f>IF(C73="","",IF(C73="Match",32,IF(C73="Tournament",MIN(32*INDEX('Tournament Log'!$D:$D,E73),96),32)))</f>
        <v/>
      </c>
      <c r="M73" s="12" t="str">
        <f t="shared" si="7"/>
        <v/>
      </c>
      <c r="N73" s="12" t="str">
        <f t="shared" si="8"/>
        <v/>
      </c>
      <c r="O73" s="12" t="str">
        <f t="shared" si="9"/>
        <v/>
      </c>
      <c r="P73" s="12" t="str">
        <f>IF(C73="Tournament",INDEX('Tournament Log'!$B:$B,E73),IF(C73="Guest","Guest: "&amp;INDEX('Guest Log'!$H:$H,Q73),""))</f>
        <v/>
      </c>
      <c r="Q73" t="str">
        <f>IFERROR(MATCH($A73,'Guest Log'!$L$4:$L$203,0)+3,"")</f>
        <v/>
      </c>
    </row>
    <row r="74" spans="1:17" ht="15" customHeight="1" x14ac:dyDescent="0.2">
      <c r="A74" s="12">
        <f>73</f>
        <v>73</v>
      </c>
      <c r="B74" s="12" t="str">
        <f>IF(C74="","",IF(C74="Match",INDEX('Match Log'!$A:$A,D74),IF(C74="Tournament",INDEX('Tournament Log'!$A:$A,E74),INDEX('Guest Log'!$A:$A,Q74))))</f>
        <v/>
      </c>
      <c r="C74" s="12" t="str">
        <f t="shared" si="5"/>
        <v/>
      </c>
      <c r="D74" s="31" t="str">
        <f>IFERROR(MATCH($A74,'Match Log'!$K$3:$K$501,0)+2,"")</f>
        <v/>
      </c>
      <c r="E74" s="31" t="str">
        <f>IFERROR(MATCH($A74,'Tournament Log'!$O$4:$O$203,0)+3,"")</f>
        <v/>
      </c>
      <c r="F74" s="12" t="str">
        <f>IF(C74="","",IF(C74="Match",INDEX('Match Log'!$B:$B,D74),IF(C74="Tournament",INDEX('Tournament Log'!$C:$C,E74),INDEX('Guest Log'!$B:$B,Q74))))</f>
        <v/>
      </c>
      <c r="G74" s="12" t="str">
        <f>IF(C74="","",IF(C74="Match",INDEX('Match Log'!$C:$C,D74),IF(C74="Tournament",INDEX('Tournament Log'!$B:$B,E74)&amp;" (Phantom)",INDEX('Guest Log'!$H:$H,Q74)&amp;" (Guest)")))</f>
        <v/>
      </c>
      <c r="H74" s="32" t="str">
        <f t="array" ref="H74">IF(C74="","",IFERROR(LOOKUP(2,1/(($F$1:F73=F74)+($G$1:G73=F74)),IF($F$1:F73=F74,$N$1:N73,$O$1:O73)),1000))</f>
        <v/>
      </c>
      <c r="I74" s="12" t="str">
        <f t="array" ref="I74">IF(C74="","",IF(C74="Tournament",INDEX('Tournament Log'!$J:$J,E74),IF(C74="Guest",IF(INDEX('Guest Log'!$I:$I,Q74)="",1000,INDEX('Guest Log'!$I:$I,Q74)),IFERROR(LOOKUP(2,1/(($F$1:F73=G74)+($G$1:G73=G74)),IF($F$1:F73=G74,$N$1:N73,$O$1:O73)),1000))))</f>
        <v/>
      </c>
      <c r="J74" s="12" t="str">
        <f t="shared" si="6"/>
        <v/>
      </c>
      <c r="K74" s="12" t="str">
        <f>IF(C74="","",IF(C74="Match",IF(INDEX('Match Log'!$D:$D,D74)="Win",1,IF(INDEX('Match Log'!$D:$D,D74)="Draw",0.5,0)),IF(C74="Tournament",INDEX('Tournament Log'!$K:$K,E74),IF(INDEX('Guest Log'!$C:$C,Q74)="Win",1,IF(INDEX('Guest Log'!$C:$C,Q74)="Draw",0.5,0)))))</f>
        <v/>
      </c>
      <c r="L74" s="12" t="str">
        <f>IF(C74="","",IF(C74="Match",32,IF(C74="Tournament",MIN(32*INDEX('Tournament Log'!$D:$D,E74),96),32)))</f>
        <v/>
      </c>
      <c r="M74" s="12" t="str">
        <f t="shared" si="7"/>
        <v/>
      </c>
      <c r="N74" s="12" t="str">
        <f t="shared" si="8"/>
        <v/>
      </c>
      <c r="O74" s="12" t="str">
        <f t="shared" si="9"/>
        <v/>
      </c>
      <c r="P74" s="12" t="str">
        <f>IF(C74="Tournament",INDEX('Tournament Log'!$B:$B,E74),IF(C74="Guest","Guest: "&amp;INDEX('Guest Log'!$H:$H,Q74),""))</f>
        <v/>
      </c>
      <c r="Q74" t="str">
        <f>IFERROR(MATCH($A74,'Guest Log'!$L$4:$L$203,0)+3,"")</f>
        <v/>
      </c>
    </row>
    <row r="75" spans="1:17" ht="15" customHeight="1" x14ac:dyDescent="0.2">
      <c r="A75" s="12">
        <f>74</f>
        <v>74</v>
      </c>
      <c r="B75" s="12" t="str">
        <f>IF(C75="","",IF(C75="Match",INDEX('Match Log'!$A:$A,D75),IF(C75="Tournament",INDEX('Tournament Log'!$A:$A,E75),INDEX('Guest Log'!$A:$A,Q75))))</f>
        <v/>
      </c>
      <c r="C75" s="12" t="str">
        <f t="shared" si="5"/>
        <v/>
      </c>
      <c r="D75" s="31" t="str">
        <f>IFERROR(MATCH($A75,'Match Log'!$K$3:$K$501,0)+2,"")</f>
        <v/>
      </c>
      <c r="E75" s="31" t="str">
        <f>IFERROR(MATCH($A75,'Tournament Log'!$O$4:$O$203,0)+3,"")</f>
        <v/>
      </c>
      <c r="F75" s="12" t="str">
        <f>IF(C75="","",IF(C75="Match",INDEX('Match Log'!$B:$B,D75),IF(C75="Tournament",INDEX('Tournament Log'!$C:$C,E75),INDEX('Guest Log'!$B:$B,Q75))))</f>
        <v/>
      </c>
      <c r="G75" s="12" t="str">
        <f>IF(C75="","",IF(C75="Match",INDEX('Match Log'!$C:$C,D75),IF(C75="Tournament",INDEX('Tournament Log'!$B:$B,E75)&amp;" (Phantom)",INDEX('Guest Log'!$H:$H,Q75)&amp;" (Guest)")))</f>
        <v/>
      </c>
      <c r="H75" s="32" t="str">
        <f t="array" ref="H75">IF(C75="","",IFERROR(LOOKUP(2,1/(($F$1:F74=F75)+($G$1:G74=F75)),IF($F$1:F74=F75,$N$1:N74,$O$1:O74)),1000))</f>
        <v/>
      </c>
      <c r="I75" s="12" t="str">
        <f t="array" ref="I75">IF(C75="","",IF(C75="Tournament",INDEX('Tournament Log'!$J:$J,E75),IF(C75="Guest",IF(INDEX('Guest Log'!$I:$I,Q75)="",1000,INDEX('Guest Log'!$I:$I,Q75)),IFERROR(LOOKUP(2,1/(($F$1:F74=G75)+($G$1:G74=G75)),IF($F$1:F74=G75,$N$1:N74,$O$1:O74)),1000))))</f>
        <v/>
      </c>
      <c r="J75" s="12" t="str">
        <f t="shared" si="6"/>
        <v/>
      </c>
      <c r="K75" s="12" t="str">
        <f>IF(C75="","",IF(C75="Match",IF(INDEX('Match Log'!$D:$D,D75)="Win",1,IF(INDEX('Match Log'!$D:$D,D75)="Draw",0.5,0)),IF(C75="Tournament",INDEX('Tournament Log'!$K:$K,E75),IF(INDEX('Guest Log'!$C:$C,Q75)="Win",1,IF(INDEX('Guest Log'!$C:$C,Q75)="Draw",0.5,0)))))</f>
        <v/>
      </c>
      <c r="L75" s="12" t="str">
        <f>IF(C75="","",IF(C75="Match",32,IF(C75="Tournament",MIN(32*INDEX('Tournament Log'!$D:$D,E75),96),32)))</f>
        <v/>
      </c>
      <c r="M75" s="12" t="str">
        <f t="shared" si="7"/>
        <v/>
      </c>
      <c r="N75" s="12" t="str">
        <f t="shared" si="8"/>
        <v/>
      </c>
      <c r="O75" s="12" t="str">
        <f t="shared" si="9"/>
        <v/>
      </c>
      <c r="P75" s="12" t="str">
        <f>IF(C75="Tournament",INDEX('Tournament Log'!$B:$B,E75),IF(C75="Guest","Guest: "&amp;INDEX('Guest Log'!$H:$H,Q75),""))</f>
        <v/>
      </c>
      <c r="Q75" t="str">
        <f>IFERROR(MATCH($A75,'Guest Log'!$L$4:$L$203,0)+3,"")</f>
        <v/>
      </c>
    </row>
    <row r="76" spans="1:17" ht="15" customHeight="1" x14ac:dyDescent="0.2">
      <c r="A76" s="12">
        <f>75</f>
        <v>75</v>
      </c>
      <c r="B76" s="12" t="str">
        <f>IF(C76="","",IF(C76="Match",INDEX('Match Log'!$A:$A,D76),IF(C76="Tournament",INDEX('Tournament Log'!$A:$A,E76),INDEX('Guest Log'!$A:$A,Q76))))</f>
        <v/>
      </c>
      <c r="C76" s="12" t="str">
        <f t="shared" si="5"/>
        <v/>
      </c>
      <c r="D76" s="31" t="str">
        <f>IFERROR(MATCH($A76,'Match Log'!$K$3:$K$501,0)+2,"")</f>
        <v/>
      </c>
      <c r="E76" s="31" t="str">
        <f>IFERROR(MATCH($A76,'Tournament Log'!$O$4:$O$203,0)+3,"")</f>
        <v/>
      </c>
      <c r="F76" s="12" t="str">
        <f>IF(C76="","",IF(C76="Match",INDEX('Match Log'!$B:$B,D76),IF(C76="Tournament",INDEX('Tournament Log'!$C:$C,E76),INDEX('Guest Log'!$B:$B,Q76))))</f>
        <v/>
      </c>
      <c r="G76" s="12" t="str">
        <f>IF(C76="","",IF(C76="Match",INDEX('Match Log'!$C:$C,D76),IF(C76="Tournament",INDEX('Tournament Log'!$B:$B,E76)&amp;" (Phantom)",INDEX('Guest Log'!$H:$H,Q76)&amp;" (Guest)")))</f>
        <v/>
      </c>
      <c r="H76" s="32" t="str">
        <f t="array" ref="H76">IF(C76="","",IFERROR(LOOKUP(2,1/(($F$1:F75=F76)+($G$1:G75=F76)),IF($F$1:F75=F76,$N$1:N75,$O$1:O75)),1000))</f>
        <v/>
      </c>
      <c r="I76" s="12" t="str">
        <f t="array" ref="I76">IF(C76="","",IF(C76="Tournament",INDEX('Tournament Log'!$J:$J,E76),IF(C76="Guest",IF(INDEX('Guest Log'!$I:$I,Q76)="",1000,INDEX('Guest Log'!$I:$I,Q76)),IFERROR(LOOKUP(2,1/(($F$1:F75=G76)+($G$1:G75=G76)),IF($F$1:F75=G76,$N$1:N75,$O$1:O75)),1000))))</f>
        <v/>
      </c>
      <c r="J76" s="12" t="str">
        <f t="shared" si="6"/>
        <v/>
      </c>
      <c r="K76" s="12" t="str">
        <f>IF(C76="","",IF(C76="Match",IF(INDEX('Match Log'!$D:$D,D76)="Win",1,IF(INDEX('Match Log'!$D:$D,D76)="Draw",0.5,0)),IF(C76="Tournament",INDEX('Tournament Log'!$K:$K,E76),IF(INDEX('Guest Log'!$C:$C,Q76)="Win",1,IF(INDEX('Guest Log'!$C:$C,Q76)="Draw",0.5,0)))))</f>
        <v/>
      </c>
      <c r="L76" s="12" t="str">
        <f>IF(C76="","",IF(C76="Match",32,IF(C76="Tournament",MIN(32*INDEX('Tournament Log'!$D:$D,E76),96),32)))</f>
        <v/>
      </c>
      <c r="M76" s="12" t="str">
        <f t="shared" si="7"/>
        <v/>
      </c>
      <c r="N76" s="12" t="str">
        <f t="shared" si="8"/>
        <v/>
      </c>
      <c r="O76" s="12" t="str">
        <f t="shared" si="9"/>
        <v/>
      </c>
      <c r="P76" s="12" t="str">
        <f>IF(C76="Tournament",INDEX('Tournament Log'!$B:$B,E76),IF(C76="Guest","Guest: "&amp;INDEX('Guest Log'!$H:$H,Q76),""))</f>
        <v/>
      </c>
      <c r="Q76" t="str">
        <f>IFERROR(MATCH($A76,'Guest Log'!$L$4:$L$203,0)+3,"")</f>
        <v/>
      </c>
    </row>
    <row r="77" spans="1:17" ht="15" customHeight="1" x14ac:dyDescent="0.2">
      <c r="A77" s="12">
        <f>76</f>
        <v>76</v>
      </c>
      <c r="B77" s="12" t="str">
        <f>IF(C77="","",IF(C77="Match",INDEX('Match Log'!$A:$A,D77),IF(C77="Tournament",INDEX('Tournament Log'!$A:$A,E77),INDEX('Guest Log'!$A:$A,Q77))))</f>
        <v/>
      </c>
      <c r="C77" s="12" t="str">
        <f t="shared" si="5"/>
        <v/>
      </c>
      <c r="D77" s="31" t="str">
        <f>IFERROR(MATCH($A77,'Match Log'!$K$3:$K$501,0)+2,"")</f>
        <v/>
      </c>
      <c r="E77" s="31" t="str">
        <f>IFERROR(MATCH($A77,'Tournament Log'!$O$4:$O$203,0)+3,"")</f>
        <v/>
      </c>
      <c r="F77" s="12" t="str">
        <f>IF(C77="","",IF(C77="Match",INDEX('Match Log'!$B:$B,D77),IF(C77="Tournament",INDEX('Tournament Log'!$C:$C,E77),INDEX('Guest Log'!$B:$B,Q77))))</f>
        <v/>
      </c>
      <c r="G77" s="12" t="str">
        <f>IF(C77="","",IF(C77="Match",INDEX('Match Log'!$C:$C,D77),IF(C77="Tournament",INDEX('Tournament Log'!$B:$B,E77)&amp;" (Phantom)",INDEX('Guest Log'!$H:$H,Q77)&amp;" (Guest)")))</f>
        <v/>
      </c>
      <c r="H77" s="32" t="str">
        <f t="array" ref="H77">IF(C77="","",IFERROR(LOOKUP(2,1/(($F$1:F76=F77)+($G$1:G76=F77)),IF($F$1:F76=F77,$N$1:N76,$O$1:O76)),1000))</f>
        <v/>
      </c>
      <c r="I77" s="12" t="str">
        <f t="array" ref="I77">IF(C77="","",IF(C77="Tournament",INDEX('Tournament Log'!$J:$J,E77),IF(C77="Guest",IF(INDEX('Guest Log'!$I:$I,Q77)="",1000,INDEX('Guest Log'!$I:$I,Q77)),IFERROR(LOOKUP(2,1/(($F$1:F76=G77)+($G$1:G76=G77)),IF($F$1:F76=G77,$N$1:N76,$O$1:O76)),1000))))</f>
        <v/>
      </c>
      <c r="J77" s="12" t="str">
        <f t="shared" si="6"/>
        <v/>
      </c>
      <c r="K77" s="12" t="str">
        <f>IF(C77="","",IF(C77="Match",IF(INDEX('Match Log'!$D:$D,D77)="Win",1,IF(INDEX('Match Log'!$D:$D,D77)="Draw",0.5,0)),IF(C77="Tournament",INDEX('Tournament Log'!$K:$K,E77),IF(INDEX('Guest Log'!$C:$C,Q77)="Win",1,IF(INDEX('Guest Log'!$C:$C,Q77)="Draw",0.5,0)))))</f>
        <v/>
      </c>
      <c r="L77" s="12" t="str">
        <f>IF(C77="","",IF(C77="Match",32,IF(C77="Tournament",MIN(32*INDEX('Tournament Log'!$D:$D,E77),96),32)))</f>
        <v/>
      </c>
      <c r="M77" s="12" t="str">
        <f t="shared" si="7"/>
        <v/>
      </c>
      <c r="N77" s="12" t="str">
        <f t="shared" si="8"/>
        <v/>
      </c>
      <c r="O77" s="12" t="str">
        <f t="shared" si="9"/>
        <v/>
      </c>
      <c r="P77" s="12" t="str">
        <f>IF(C77="Tournament",INDEX('Tournament Log'!$B:$B,E77),IF(C77="Guest","Guest: "&amp;INDEX('Guest Log'!$H:$H,Q77),""))</f>
        <v/>
      </c>
      <c r="Q77" t="str">
        <f>IFERROR(MATCH($A77,'Guest Log'!$L$4:$L$203,0)+3,"")</f>
        <v/>
      </c>
    </row>
    <row r="78" spans="1:17" ht="15" customHeight="1" x14ac:dyDescent="0.2">
      <c r="A78" s="12">
        <f>77</f>
        <v>77</v>
      </c>
      <c r="B78" s="12" t="str">
        <f>IF(C78="","",IF(C78="Match",INDEX('Match Log'!$A:$A,D78),IF(C78="Tournament",INDEX('Tournament Log'!$A:$A,E78),INDEX('Guest Log'!$A:$A,Q78))))</f>
        <v/>
      </c>
      <c r="C78" s="12" t="str">
        <f t="shared" si="5"/>
        <v/>
      </c>
      <c r="D78" s="31" t="str">
        <f>IFERROR(MATCH($A78,'Match Log'!$K$3:$K$501,0)+2,"")</f>
        <v/>
      </c>
      <c r="E78" s="31" t="str">
        <f>IFERROR(MATCH($A78,'Tournament Log'!$O$4:$O$203,0)+3,"")</f>
        <v/>
      </c>
      <c r="F78" s="12" t="str">
        <f>IF(C78="","",IF(C78="Match",INDEX('Match Log'!$B:$B,D78),IF(C78="Tournament",INDEX('Tournament Log'!$C:$C,E78),INDEX('Guest Log'!$B:$B,Q78))))</f>
        <v/>
      </c>
      <c r="G78" s="12" t="str">
        <f>IF(C78="","",IF(C78="Match",INDEX('Match Log'!$C:$C,D78),IF(C78="Tournament",INDEX('Tournament Log'!$B:$B,E78)&amp;" (Phantom)",INDEX('Guest Log'!$H:$H,Q78)&amp;" (Guest)")))</f>
        <v/>
      </c>
      <c r="H78" s="32" t="str">
        <f t="array" ref="H78">IF(C78="","",IFERROR(LOOKUP(2,1/(($F$1:F77=F78)+($G$1:G77=F78)),IF($F$1:F77=F78,$N$1:N77,$O$1:O77)),1000))</f>
        <v/>
      </c>
      <c r="I78" s="12" t="str">
        <f t="array" ref="I78">IF(C78="","",IF(C78="Tournament",INDEX('Tournament Log'!$J:$J,E78),IF(C78="Guest",IF(INDEX('Guest Log'!$I:$I,Q78)="",1000,INDEX('Guest Log'!$I:$I,Q78)),IFERROR(LOOKUP(2,1/(($F$1:F77=G78)+($G$1:G77=G78)),IF($F$1:F77=G78,$N$1:N77,$O$1:O77)),1000))))</f>
        <v/>
      </c>
      <c r="J78" s="12" t="str">
        <f t="shared" si="6"/>
        <v/>
      </c>
      <c r="K78" s="12" t="str">
        <f>IF(C78="","",IF(C78="Match",IF(INDEX('Match Log'!$D:$D,D78)="Win",1,IF(INDEX('Match Log'!$D:$D,D78)="Draw",0.5,0)),IF(C78="Tournament",INDEX('Tournament Log'!$K:$K,E78),IF(INDEX('Guest Log'!$C:$C,Q78)="Win",1,IF(INDEX('Guest Log'!$C:$C,Q78)="Draw",0.5,0)))))</f>
        <v/>
      </c>
      <c r="L78" s="12" t="str">
        <f>IF(C78="","",IF(C78="Match",32,IF(C78="Tournament",MIN(32*INDEX('Tournament Log'!$D:$D,E78),96),32)))</f>
        <v/>
      </c>
      <c r="M78" s="12" t="str">
        <f t="shared" si="7"/>
        <v/>
      </c>
      <c r="N78" s="12" t="str">
        <f t="shared" si="8"/>
        <v/>
      </c>
      <c r="O78" s="12" t="str">
        <f t="shared" si="9"/>
        <v/>
      </c>
      <c r="P78" s="12" t="str">
        <f>IF(C78="Tournament",INDEX('Tournament Log'!$B:$B,E78),IF(C78="Guest","Guest: "&amp;INDEX('Guest Log'!$H:$H,Q78),""))</f>
        <v/>
      </c>
      <c r="Q78" t="str">
        <f>IFERROR(MATCH($A78,'Guest Log'!$L$4:$L$203,0)+3,"")</f>
        <v/>
      </c>
    </row>
    <row r="79" spans="1:17" ht="15" customHeight="1" x14ac:dyDescent="0.2">
      <c r="A79" s="12">
        <f>78</f>
        <v>78</v>
      </c>
      <c r="B79" s="12" t="str">
        <f>IF(C79="","",IF(C79="Match",INDEX('Match Log'!$A:$A,D79),IF(C79="Tournament",INDEX('Tournament Log'!$A:$A,E79),INDEX('Guest Log'!$A:$A,Q79))))</f>
        <v/>
      </c>
      <c r="C79" s="12" t="str">
        <f t="shared" si="5"/>
        <v/>
      </c>
      <c r="D79" s="31" t="str">
        <f>IFERROR(MATCH($A79,'Match Log'!$K$3:$K$501,0)+2,"")</f>
        <v/>
      </c>
      <c r="E79" s="31" t="str">
        <f>IFERROR(MATCH($A79,'Tournament Log'!$O$4:$O$203,0)+3,"")</f>
        <v/>
      </c>
      <c r="F79" s="12" t="str">
        <f>IF(C79="","",IF(C79="Match",INDEX('Match Log'!$B:$B,D79),IF(C79="Tournament",INDEX('Tournament Log'!$C:$C,E79),INDEX('Guest Log'!$B:$B,Q79))))</f>
        <v/>
      </c>
      <c r="G79" s="12" t="str">
        <f>IF(C79="","",IF(C79="Match",INDEX('Match Log'!$C:$C,D79),IF(C79="Tournament",INDEX('Tournament Log'!$B:$B,E79)&amp;" (Phantom)",INDEX('Guest Log'!$H:$H,Q79)&amp;" (Guest)")))</f>
        <v/>
      </c>
      <c r="H79" s="32" t="str">
        <f t="array" ref="H79">IF(C79="","",IFERROR(LOOKUP(2,1/(($F$1:F78=F79)+($G$1:G78=F79)),IF($F$1:F78=F79,$N$1:N78,$O$1:O78)),1000))</f>
        <v/>
      </c>
      <c r="I79" s="12" t="str">
        <f t="array" ref="I79">IF(C79="","",IF(C79="Tournament",INDEX('Tournament Log'!$J:$J,E79),IF(C79="Guest",IF(INDEX('Guest Log'!$I:$I,Q79)="",1000,INDEX('Guest Log'!$I:$I,Q79)),IFERROR(LOOKUP(2,1/(($F$1:F78=G79)+($G$1:G78=G79)),IF($F$1:F78=G79,$N$1:N78,$O$1:O78)),1000))))</f>
        <v/>
      </c>
      <c r="J79" s="12" t="str">
        <f t="shared" si="6"/>
        <v/>
      </c>
      <c r="K79" s="12" t="str">
        <f>IF(C79="","",IF(C79="Match",IF(INDEX('Match Log'!$D:$D,D79)="Win",1,IF(INDEX('Match Log'!$D:$D,D79)="Draw",0.5,0)),IF(C79="Tournament",INDEX('Tournament Log'!$K:$K,E79),IF(INDEX('Guest Log'!$C:$C,Q79)="Win",1,IF(INDEX('Guest Log'!$C:$C,Q79)="Draw",0.5,0)))))</f>
        <v/>
      </c>
      <c r="L79" s="12" t="str">
        <f>IF(C79="","",IF(C79="Match",32,IF(C79="Tournament",MIN(32*INDEX('Tournament Log'!$D:$D,E79),96),32)))</f>
        <v/>
      </c>
      <c r="M79" s="12" t="str">
        <f t="shared" si="7"/>
        <v/>
      </c>
      <c r="N79" s="12" t="str">
        <f t="shared" si="8"/>
        <v/>
      </c>
      <c r="O79" s="12" t="str">
        <f t="shared" si="9"/>
        <v/>
      </c>
      <c r="P79" s="12" t="str">
        <f>IF(C79="Tournament",INDEX('Tournament Log'!$B:$B,E79),IF(C79="Guest","Guest: "&amp;INDEX('Guest Log'!$H:$H,Q79),""))</f>
        <v/>
      </c>
      <c r="Q79" t="str">
        <f>IFERROR(MATCH($A79,'Guest Log'!$L$4:$L$203,0)+3,"")</f>
        <v/>
      </c>
    </row>
    <row r="80" spans="1:17" ht="15" customHeight="1" x14ac:dyDescent="0.2">
      <c r="A80" s="12">
        <f>79</f>
        <v>79</v>
      </c>
      <c r="B80" s="12" t="str">
        <f>IF(C80="","",IF(C80="Match",INDEX('Match Log'!$A:$A,D80),IF(C80="Tournament",INDEX('Tournament Log'!$A:$A,E80),INDEX('Guest Log'!$A:$A,Q80))))</f>
        <v/>
      </c>
      <c r="C80" s="12" t="str">
        <f t="shared" si="5"/>
        <v/>
      </c>
      <c r="D80" s="31" t="str">
        <f>IFERROR(MATCH($A80,'Match Log'!$K$3:$K$501,0)+2,"")</f>
        <v/>
      </c>
      <c r="E80" s="31" t="str">
        <f>IFERROR(MATCH($A80,'Tournament Log'!$O$4:$O$203,0)+3,"")</f>
        <v/>
      </c>
      <c r="F80" s="12" t="str">
        <f>IF(C80="","",IF(C80="Match",INDEX('Match Log'!$B:$B,D80),IF(C80="Tournament",INDEX('Tournament Log'!$C:$C,E80),INDEX('Guest Log'!$B:$B,Q80))))</f>
        <v/>
      </c>
      <c r="G80" s="12" t="str">
        <f>IF(C80="","",IF(C80="Match",INDEX('Match Log'!$C:$C,D80),IF(C80="Tournament",INDEX('Tournament Log'!$B:$B,E80)&amp;" (Phantom)",INDEX('Guest Log'!$H:$H,Q80)&amp;" (Guest)")))</f>
        <v/>
      </c>
      <c r="H80" s="32" t="str">
        <f t="array" ref="H80">IF(C80="","",IFERROR(LOOKUP(2,1/(($F$1:F79=F80)+($G$1:G79=F80)),IF($F$1:F79=F80,$N$1:N79,$O$1:O79)),1000))</f>
        <v/>
      </c>
      <c r="I80" s="12" t="str">
        <f t="array" ref="I80">IF(C80="","",IF(C80="Tournament",INDEX('Tournament Log'!$J:$J,E80),IF(C80="Guest",IF(INDEX('Guest Log'!$I:$I,Q80)="",1000,INDEX('Guest Log'!$I:$I,Q80)),IFERROR(LOOKUP(2,1/(($F$1:F79=G80)+($G$1:G79=G80)),IF($F$1:F79=G80,$N$1:N79,$O$1:O79)),1000))))</f>
        <v/>
      </c>
      <c r="J80" s="12" t="str">
        <f t="shared" si="6"/>
        <v/>
      </c>
      <c r="K80" s="12" t="str">
        <f>IF(C80="","",IF(C80="Match",IF(INDEX('Match Log'!$D:$D,D80)="Win",1,IF(INDEX('Match Log'!$D:$D,D80)="Draw",0.5,0)),IF(C80="Tournament",INDEX('Tournament Log'!$K:$K,E80),IF(INDEX('Guest Log'!$C:$C,Q80)="Win",1,IF(INDEX('Guest Log'!$C:$C,Q80)="Draw",0.5,0)))))</f>
        <v/>
      </c>
      <c r="L80" s="12" t="str">
        <f>IF(C80="","",IF(C80="Match",32,IF(C80="Tournament",MIN(32*INDEX('Tournament Log'!$D:$D,E80),96),32)))</f>
        <v/>
      </c>
      <c r="M80" s="12" t="str">
        <f t="shared" si="7"/>
        <v/>
      </c>
      <c r="N80" s="12" t="str">
        <f t="shared" si="8"/>
        <v/>
      </c>
      <c r="O80" s="12" t="str">
        <f t="shared" si="9"/>
        <v/>
      </c>
      <c r="P80" s="12" t="str">
        <f>IF(C80="Tournament",INDEX('Tournament Log'!$B:$B,E80),IF(C80="Guest","Guest: "&amp;INDEX('Guest Log'!$H:$H,Q80),""))</f>
        <v/>
      </c>
      <c r="Q80" t="str">
        <f>IFERROR(MATCH($A80,'Guest Log'!$L$4:$L$203,0)+3,"")</f>
        <v/>
      </c>
    </row>
    <row r="81" spans="1:17" ht="15" customHeight="1" x14ac:dyDescent="0.2">
      <c r="A81" s="12">
        <f>80</f>
        <v>80</v>
      </c>
      <c r="B81" s="12" t="str">
        <f>IF(C81="","",IF(C81="Match",INDEX('Match Log'!$A:$A,D81),IF(C81="Tournament",INDEX('Tournament Log'!$A:$A,E81),INDEX('Guest Log'!$A:$A,Q81))))</f>
        <v/>
      </c>
      <c r="C81" s="12" t="str">
        <f t="shared" si="5"/>
        <v/>
      </c>
      <c r="D81" s="31" t="str">
        <f>IFERROR(MATCH($A81,'Match Log'!$K$3:$K$501,0)+2,"")</f>
        <v/>
      </c>
      <c r="E81" s="31" t="str">
        <f>IFERROR(MATCH($A81,'Tournament Log'!$O$4:$O$203,0)+3,"")</f>
        <v/>
      </c>
      <c r="F81" s="12" t="str">
        <f>IF(C81="","",IF(C81="Match",INDEX('Match Log'!$B:$B,D81),IF(C81="Tournament",INDEX('Tournament Log'!$C:$C,E81),INDEX('Guest Log'!$B:$B,Q81))))</f>
        <v/>
      </c>
      <c r="G81" s="12" t="str">
        <f>IF(C81="","",IF(C81="Match",INDEX('Match Log'!$C:$C,D81),IF(C81="Tournament",INDEX('Tournament Log'!$B:$B,E81)&amp;" (Phantom)",INDEX('Guest Log'!$H:$H,Q81)&amp;" (Guest)")))</f>
        <v/>
      </c>
      <c r="H81" s="32" t="str">
        <f t="array" ref="H81">IF(C81="","",IFERROR(LOOKUP(2,1/(($F$1:F80=F81)+($G$1:G80=F81)),IF($F$1:F80=F81,$N$1:N80,$O$1:O80)),1000))</f>
        <v/>
      </c>
      <c r="I81" s="12" t="str">
        <f t="array" ref="I81">IF(C81="","",IF(C81="Tournament",INDEX('Tournament Log'!$J:$J,E81),IF(C81="Guest",IF(INDEX('Guest Log'!$I:$I,Q81)="",1000,INDEX('Guest Log'!$I:$I,Q81)),IFERROR(LOOKUP(2,1/(($F$1:F80=G81)+($G$1:G80=G81)),IF($F$1:F80=G81,$N$1:N80,$O$1:O80)),1000))))</f>
        <v/>
      </c>
      <c r="J81" s="12" t="str">
        <f t="shared" si="6"/>
        <v/>
      </c>
      <c r="K81" s="12" t="str">
        <f>IF(C81="","",IF(C81="Match",IF(INDEX('Match Log'!$D:$D,D81)="Win",1,IF(INDEX('Match Log'!$D:$D,D81)="Draw",0.5,0)),IF(C81="Tournament",INDEX('Tournament Log'!$K:$K,E81),IF(INDEX('Guest Log'!$C:$C,Q81)="Win",1,IF(INDEX('Guest Log'!$C:$C,Q81)="Draw",0.5,0)))))</f>
        <v/>
      </c>
      <c r="L81" s="12" t="str">
        <f>IF(C81="","",IF(C81="Match",32,IF(C81="Tournament",MIN(32*INDEX('Tournament Log'!$D:$D,E81),96),32)))</f>
        <v/>
      </c>
      <c r="M81" s="12" t="str">
        <f t="shared" si="7"/>
        <v/>
      </c>
      <c r="N81" s="12" t="str">
        <f t="shared" si="8"/>
        <v/>
      </c>
      <c r="O81" s="12" t="str">
        <f t="shared" si="9"/>
        <v/>
      </c>
      <c r="P81" s="12" t="str">
        <f>IF(C81="Tournament",INDEX('Tournament Log'!$B:$B,E81),IF(C81="Guest","Guest: "&amp;INDEX('Guest Log'!$H:$H,Q81),""))</f>
        <v/>
      </c>
      <c r="Q81" t="str">
        <f>IFERROR(MATCH($A81,'Guest Log'!$L$4:$L$203,0)+3,"")</f>
        <v/>
      </c>
    </row>
    <row r="82" spans="1:17" ht="15" customHeight="1" x14ac:dyDescent="0.2">
      <c r="A82" s="12">
        <f>81</f>
        <v>81</v>
      </c>
      <c r="B82" s="12" t="str">
        <f>IF(C82="","",IF(C82="Match",INDEX('Match Log'!$A:$A,D82),IF(C82="Tournament",INDEX('Tournament Log'!$A:$A,E82),INDEX('Guest Log'!$A:$A,Q82))))</f>
        <v/>
      </c>
      <c r="C82" s="12" t="str">
        <f t="shared" si="5"/>
        <v/>
      </c>
      <c r="D82" s="31" t="str">
        <f>IFERROR(MATCH($A82,'Match Log'!$K$3:$K$501,0)+2,"")</f>
        <v/>
      </c>
      <c r="E82" s="31" t="str">
        <f>IFERROR(MATCH($A82,'Tournament Log'!$O$4:$O$203,0)+3,"")</f>
        <v/>
      </c>
      <c r="F82" s="12" t="str">
        <f>IF(C82="","",IF(C82="Match",INDEX('Match Log'!$B:$B,D82),IF(C82="Tournament",INDEX('Tournament Log'!$C:$C,E82),INDEX('Guest Log'!$B:$B,Q82))))</f>
        <v/>
      </c>
      <c r="G82" s="12" t="str">
        <f>IF(C82="","",IF(C82="Match",INDEX('Match Log'!$C:$C,D82),IF(C82="Tournament",INDEX('Tournament Log'!$B:$B,E82)&amp;" (Phantom)",INDEX('Guest Log'!$H:$H,Q82)&amp;" (Guest)")))</f>
        <v/>
      </c>
      <c r="H82" s="32" t="str">
        <f t="array" ref="H82">IF(C82="","",IFERROR(LOOKUP(2,1/(($F$1:F81=F82)+($G$1:G81=F82)),IF($F$1:F81=F82,$N$1:N81,$O$1:O81)),1000))</f>
        <v/>
      </c>
      <c r="I82" s="12" t="str">
        <f t="array" ref="I82">IF(C82="","",IF(C82="Tournament",INDEX('Tournament Log'!$J:$J,E82),IF(C82="Guest",IF(INDEX('Guest Log'!$I:$I,Q82)="",1000,INDEX('Guest Log'!$I:$I,Q82)),IFERROR(LOOKUP(2,1/(($F$1:F81=G82)+($G$1:G81=G82)),IF($F$1:F81=G82,$N$1:N81,$O$1:O81)),1000))))</f>
        <v/>
      </c>
      <c r="J82" s="12" t="str">
        <f t="shared" si="6"/>
        <v/>
      </c>
      <c r="K82" s="12" t="str">
        <f>IF(C82="","",IF(C82="Match",IF(INDEX('Match Log'!$D:$D,D82)="Win",1,IF(INDEX('Match Log'!$D:$D,D82)="Draw",0.5,0)),IF(C82="Tournament",INDEX('Tournament Log'!$K:$K,E82),IF(INDEX('Guest Log'!$C:$C,Q82)="Win",1,IF(INDEX('Guest Log'!$C:$C,Q82)="Draw",0.5,0)))))</f>
        <v/>
      </c>
      <c r="L82" s="12" t="str">
        <f>IF(C82="","",IF(C82="Match",32,IF(C82="Tournament",MIN(32*INDEX('Tournament Log'!$D:$D,E82),96),32)))</f>
        <v/>
      </c>
      <c r="M82" s="12" t="str">
        <f t="shared" si="7"/>
        <v/>
      </c>
      <c r="N82" s="12" t="str">
        <f t="shared" si="8"/>
        <v/>
      </c>
      <c r="O82" s="12" t="str">
        <f t="shared" si="9"/>
        <v/>
      </c>
      <c r="P82" s="12" t="str">
        <f>IF(C82="Tournament",INDEX('Tournament Log'!$B:$B,E82),IF(C82="Guest","Guest: "&amp;INDEX('Guest Log'!$H:$H,Q82),""))</f>
        <v/>
      </c>
      <c r="Q82" t="str">
        <f>IFERROR(MATCH($A82,'Guest Log'!$L$4:$L$203,0)+3,"")</f>
        <v/>
      </c>
    </row>
    <row r="83" spans="1:17" ht="15" customHeight="1" x14ac:dyDescent="0.2">
      <c r="A83" s="12">
        <f>82</f>
        <v>82</v>
      </c>
      <c r="B83" s="12" t="str">
        <f>IF(C83="","",IF(C83="Match",INDEX('Match Log'!$A:$A,D83),IF(C83="Tournament",INDEX('Tournament Log'!$A:$A,E83),INDEX('Guest Log'!$A:$A,Q83))))</f>
        <v/>
      </c>
      <c r="C83" s="12" t="str">
        <f t="shared" si="5"/>
        <v/>
      </c>
      <c r="D83" s="31" t="str">
        <f>IFERROR(MATCH($A83,'Match Log'!$K$3:$K$501,0)+2,"")</f>
        <v/>
      </c>
      <c r="E83" s="31" t="str">
        <f>IFERROR(MATCH($A83,'Tournament Log'!$O$4:$O$203,0)+3,"")</f>
        <v/>
      </c>
      <c r="F83" s="12" t="str">
        <f>IF(C83="","",IF(C83="Match",INDEX('Match Log'!$B:$B,D83),IF(C83="Tournament",INDEX('Tournament Log'!$C:$C,E83),INDEX('Guest Log'!$B:$B,Q83))))</f>
        <v/>
      </c>
      <c r="G83" s="12" t="str">
        <f>IF(C83="","",IF(C83="Match",INDEX('Match Log'!$C:$C,D83),IF(C83="Tournament",INDEX('Tournament Log'!$B:$B,E83)&amp;" (Phantom)",INDEX('Guest Log'!$H:$H,Q83)&amp;" (Guest)")))</f>
        <v/>
      </c>
      <c r="H83" s="32" t="str">
        <f t="array" ref="H83">IF(C83="","",IFERROR(LOOKUP(2,1/(($F$1:F82=F83)+($G$1:G82=F83)),IF($F$1:F82=F83,$N$1:N82,$O$1:O82)),1000))</f>
        <v/>
      </c>
      <c r="I83" s="12" t="str">
        <f t="array" ref="I83">IF(C83="","",IF(C83="Tournament",INDEX('Tournament Log'!$J:$J,E83),IF(C83="Guest",IF(INDEX('Guest Log'!$I:$I,Q83)="",1000,INDEX('Guest Log'!$I:$I,Q83)),IFERROR(LOOKUP(2,1/(($F$1:F82=G83)+($G$1:G82=G83)),IF($F$1:F82=G83,$N$1:N82,$O$1:O82)),1000))))</f>
        <v/>
      </c>
      <c r="J83" s="12" t="str">
        <f t="shared" si="6"/>
        <v/>
      </c>
      <c r="K83" s="12" t="str">
        <f>IF(C83="","",IF(C83="Match",IF(INDEX('Match Log'!$D:$D,D83)="Win",1,IF(INDEX('Match Log'!$D:$D,D83)="Draw",0.5,0)),IF(C83="Tournament",INDEX('Tournament Log'!$K:$K,E83),IF(INDEX('Guest Log'!$C:$C,Q83)="Win",1,IF(INDEX('Guest Log'!$C:$C,Q83)="Draw",0.5,0)))))</f>
        <v/>
      </c>
      <c r="L83" s="12" t="str">
        <f>IF(C83="","",IF(C83="Match",32,IF(C83="Tournament",MIN(32*INDEX('Tournament Log'!$D:$D,E83),96),32)))</f>
        <v/>
      </c>
      <c r="M83" s="12" t="str">
        <f t="shared" si="7"/>
        <v/>
      </c>
      <c r="N83" s="12" t="str">
        <f t="shared" si="8"/>
        <v/>
      </c>
      <c r="O83" s="12" t="str">
        <f t="shared" si="9"/>
        <v/>
      </c>
      <c r="P83" s="12" t="str">
        <f>IF(C83="Tournament",INDEX('Tournament Log'!$B:$B,E83),IF(C83="Guest","Guest: "&amp;INDEX('Guest Log'!$H:$H,Q83),""))</f>
        <v/>
      </c>
      <c r="Q83" t="str">
        <f>IFERROR(MATCH($A83,'Guest Log'!$L$4:$L$203,0)+3,"")</f>
        <v/>
      </c>
    </row>
    <row r="84" spans="1:17" ht="15" customHeight="1" x14ac:dyDescent="0.2">
      <c r="A84" s="12">
        <f>83</f>
        <v>83</v>
      </c>
      <c r="B84" s="12" t="str">
        <f>IF(C84="","",IF(C84="Match",INDEX('Match Log'!$A:$A,D84),IF(C84="Tournament",INDEX('Tournament Log'!$A:$A,E84),INDEX('Guest Log'!$A:$A,Q84))))</f>
        <v/>
      </c>
      <c r="C84" s="12" t="str">
        <f t="shared" si="5"/>
        <v/>
      </c>
      <c r="D84" s="31" t="str">
        <f>IFERROR(MATCH($A84,'Match Log'!$K$3:$K$501,0)+2,"")</f>
        <v/>
      </c>
      <c r="E84" s="31" t="str">
        <f>IFERROR(MATCH($A84,'Tournament Log'!$O$4:$O$203,0)+3,"")</f>
        <v/>
      </c>
      <c r="F84" s="12" t="str">
        <f>IF(C84="","",IF(C84="Match",INDEX('Match Log'!$B:$B,D84),IF(C84="Tournament",INDEX('Tournament Log'!$C:$C,E84),INDEX('Guest Log'!$B:$B,Q84))))</f>
        <v/>
      </c>
      <c r="G84" s="12" t="str">
        <f>IF(C84="","",IF(C84="Match",INDEX('Match Log'!$C:$C,D84),IF(C84="Tournament",INDEX('Tournament Log'!$B:$B,E84)&amp;" (Phantom)",INDEX('Guest Log'!$H:$H,Q84)&amp;" (Guest)")))</f>
        <v/>
      </c>
      <c r="H84" s="32" t="str">
        <f t="array" ref="H84">IF(C84="","",IFERROR(LOOKUP(2,1/(($F$1:F83=F84)+($G$1:G83=F84)),IF($F$1:F83=F84,$N$1:N83,$O$1:O83)),1000))</f>
        <v/>
      </c>
      <c r="I84" s="12" t="str">
        <f t="array" ref="I84">IF(C84="","",IF(C84="Tournament",INDEX('Tournament Log'!$J:$J,E84),IF(C84="Guest",IF(INDEX('Guest Log'!$I:$I,Q84)="",1000,INDEX('Guest Log'!$I:$I,Q84)),IFERROR(LOOKUP(2,1/(($F$1:F83=G84)+($G$1:G83=G84)),IF($F$1:F83=G84,$N$1:N83,$O$1:O83)),1000))))</f>
        <v/>
      </c>
      <c r="J84" s="12" t="str">
        <f t="shared" si="6"/>
        <v/>
      </c>
      <c r="K84" s="12" t="str">
        <f>IF(C84="","",IF(C84="Match",IF(INDEX('Match Log'!$D:$D,D84)="Win",1,IF(INDEX('Match Log'!$D:$D,D84)="Draw",0.5,0)),IF(C84="Tournament",INDEX('Tournament Log'!$K:$K,E84),IF(INDEX('Guest Log'!$C:$C,Q84)="Win",1,IF(INDEX('Guest Log'!$C:$C,Q84)="Draw",0.5,0)))))</f>
        <v/>
      </c>
      <c r="L84" s="12" t="str">
        <f>IF(C84="","",IF(C84="Match",32,IF(C84="Tournament",MIN(32*INDEX('Tournament Log'!$D:$D,E84),96),32)))</f>
        <v/>
      </c>
      <c r="M84" s="12" t="str">
        <f t="shared" si="7"/>
        <v/>
      </c>
      <c r="N84" s="12" t="str">
        <f t="shared" si="8"/>
        <v/>
      </c>
      <c r="O84" s="12" t="str">
        <f t="shared" si="9"/>
        <v/>
      </c>
      <c r="P84" s="12" t="str">
        <f>IF(C84="Tournament",INDEX('Tournament Log'!$B:$B,E84),IF(C84="Guest","Guest: "&amp;INDEX('Guest Log'!$H:$H,Q84),""))</f>
        <v/>
      </c>
      <c r="Q84" t="str">
        <f>IFERROR(MATCH($A84,'Guest Log'!$L$4:$L$203,0)+3,"")</f>
        <v/>
      </c>
    </row>
    <row r="85" spans="1:17" ht="15" customHeight="1" x14ac:dyDescent="0.2">
      <c r="A85" s="12">
        <f>84</f>
        <v>84</v>
      </c>
      <c r="B85" s="12" t="str">
        <f>IF(C85="","",IF(C85="Match",INDEX('Match Log'!$A:$A,D85),IF(C85="Tournament",INDEX('Tournament Log'!$A:$A,E85),INDEX('Guest Log'!$A:$A,Q85))))</f>
        <v/>
      </c>
      <c r="C85" s="12" t="str">
        <f t="shared" si="5"/>
        <v/>
      </c>
      <c r="D85" s="31" t="str">
        <f>IFERROR(MATCH($A85,'Match Log'!$K$3:$K$501,0)+2,"")</f>
        <v/>
      </c>
      <c r="E85" s="31" t="str">
        <f>IFERROR(MATCH($A85,'Tournament Log'!$O$4:$O$203,0)+3,"")</f>
        <v/>
      </c>
      <c r="F85" s="12" t="str">
        <f>IF(C85="","",IF(C85="Match",INDEX('Match Log'!$B:$B,D85),IF(C85="Tournament",INDEX('Tournament Log'!$C:$C,E85),INDEX('Guest Log'!$B:$B,Q85))))</f>
        <v/>
      </c>
      <c r="G85" s="12" t="str">
        <f>IF(C85="","",IF(C85="Match",INDEX('Match Log'!$C:$C,D85),IF(C85="Tournament",INDEX('Tournament Log'!$B:$B,E85)&amp;" (Phantom)",INDEX('Guest Log'!$H:$H,Q85)&amp;" (Guest)")))</f>
        <v/>
      </c>
      <c r="H85" s="32" t="str">
        <f t="array" ref="H85">IF(C85="","",IFERROR(LOOKUP(2,1/(($F$1:F84=F85)+($G$1:G84=F85)),IF($F$1:F84=F85,$N$1:N84,$O$1:O84)),1000))</f>
        <v/>
      </c>
      <c r="I85" s="12" t="str">
        <f t="array" ref="I85">IF(C85="","",IF(C85="Tournament",INDEX('Tournament Log'!$J:$J,E85),IF(C85="Guest",IF(INDEX('Guest Log'!$I:$I,Q85)="",1000,INDEX('Guest Log'!$I:$I,Q85)),IFERROR(LOOKUP(2,1/(($F$1:F84=G85)+($G$1:G84=G85)),IF($F$1:F84=G85,$N$1:N84,$O$1:O84)),1000))))</f>
        <v/>
      </c>
      <c r="J85" s="12" t="str">
        <f t="shared" si="6"/>
        <v/>
      </c>
      <c r="K85" s="12" t="str">
        <f>IF(C85="","",IF(C85="Match",IF(INDEX('Match Log'!$D:$D,D85)="Win",1,IF(INDEX('Match Log'!$D:$D,D85)="Draw",0.5,0)),IF(C85="Tournament",INDEX('Tournament Log'!$K:$K,E85),IF(INDEX('Guest Log'!$C:$C,Q85)="Win",1,IF(INDEX('Guest Log'!$C:$C,Q85)="Draw",0.5,0)))))</f>
        <v/>
      </c>
      <c r="L85" s="12" t="str">
        <f>IF(C85="","",IF(C85="Match",32,IF(C85="Tournament",MIN(32*INDEX('Tournament Log'!$D:$D,E85),96),32)))</f>
        <v/>
      </c>
      <c r="M85" s="12" t="str">
        <f t="shared" si="7"/>
        <v/>
      </c>
      <c r="N85" s="12" t="str">
        <f t="shared" si="8"/>
        <v/>
      </c>
      <c r="O85" s="12" t="str">
        <f t="shared" si="9"/>
        <v/>
      </c>
      <c r="P85" s="12" t="str">
        <f>IF(C85="Tournament",INDEX('Tournament Log'!$B:$B,E85),IF(C85="Guest","Guest: "&amp;INDEX('Guest Log'!$H:$H,Q85),""))</f>
        <v/>
      </c>
      <c r="Q85" t="str">
        <f>IFERROR(MATCH($A85,'Guest Log'!$L$4:$L$203,0)+3,"")</f>
        <v/>
      </c>
    </row>
    <row r="86" spans="1:17" ht="15" customHeight="1" x14ac:dyDescent="0.2">
      <c r="A86" s="12">
        <f>85</f>
        <v>85</v>
      </c>
      <c r="B86" s="12" t="str">
        <f>IF(C86="","",IF(C86="Match",INDEX('Match Log'!$A:$A,D86),IF(C86="Tournament",INDEX('Tournament Log'!$A:$A,E86),INDEX('Guest Log'!$A:$A,Q86))))</f>
        <v/>
      </c>
      <c r="C86" s="12" t="str">
        <f t="shared" si="5"/>
        <v/>
      </c>
      <c r="D86" s="31" t="str">
        <f>IFERROR(MATCH($A86,'Match Log'!$K$3:$K$501,0)+2,"")</f>
        <v/>
      </c>
      <c r="E86" s="31" t="str">
        <f>IFERROR(MATCH($A86,'Tournament Log'!$O$4:$O$203,0)+3,"")</f>
        <v/>
      </c>
      <c r="F86" s="12" t="str">
        <f>IF(C86="","",IF(C86="Match",INDEX('Match Log'!$B:$B,D86),IF(C86="Tournament",INDEX('Tournament Log'!$C:$C,E86),INDEX('Guest Log'!$B:$B,Q86))))</f>
        <v/>
      </c>
      <c r="G86" s="12" t="str">
        <f>IF(C86="","",IF(C86="Match",INDEX('Match Log'!$C:$C,D86),IF(C86="Tournament",INDEX('Tournament Log'!$B:$B,E86)&amp;" (Phantom)",INDEX('Guest Log'!$H:$H,Q86)&amp;" (Guest)")))</f>
        <v/>
      </c>
      <c r="H86" s="32" t="str">
        <f t="array" ref="H86">IF(C86="","",IFERROR(LOOKUP(2,1/(($F$1:F85=F86)+($G$1:G85=F86)),IF($F$1:F85=F86,$N$1:N85,$O$1:O85)),1000))</f>
        <v/>
      </c>
      <c r="I86" s="12" t="str">
        <f t="array" ref="I86">IF(C86="","",IF(C86="Tournament",INDEX('Tournament Log'!$J:$J,E86),IF(C86="Guest",IF(INDEX('Guest Log'!$I:$I,Q86)="",1000,INDEX('Guest Log'!$I:$I,Q86)),IFERROR(LOOKUP(2,1/(($F$1:F85=G86)+($G$1:G85=G86)),IF($F$1:F85=G86,$N$1:N85,$O$1:O85)),1000))))</f>
        <v/>
      </c>
      <c r="J86" s="12" t="str">
        <f t="shared" si="6"/>
        <v/>
      </c>
      <c r="K86" s="12" t="str">
        <f>IF(C86="","",IF(C86="Match",IF(INDEX('Match Log'!$D:$D,D86)="Win",1,IF(INDEX('Match Log'!$D:$D,D86)="Draw",0.5,0)),IF(C86="Tournament",INDEX('Tournament Log'!$K:$K,E86),IF(INDEX('Guest Log'!$C:$C,Q86)="Win",1,IF(INDEX('Guest Log'!$C:$C,Q86)="Draw",0.5,0)))))</f>
        <v/>
      </c>
      <c r="L86" s="12" t="str">
        <f>IF(C86="","",IF(C86="Match",32,IF(C86="Tournament",MIN(32*INDEX('Tournament Log'!$D:$D,E86),96),32)))</f>
        <v/>
      </c>
      <c r="M86" s="12" t="str">
        <f t="shared" si="7"/>
        <v/>
      </c>
      <c r="N86" s="12" t="str">
        <f t="shared" si="8"/>
        <v/>
      </c>
      <c r="O86" s="12" t="str">
        <f t="shared" si="9"/>
        <v/>
      </c>
      <c r="P86" s="12" t="str">
        <f>IF(C86="Tournament",INDEX('Tournament Log'!$B:$B,E86),IF(C86="Guest","Guest: "&amp;INDEX('Guest Log'!$H:$H,Q86),""))</f>
        <v/>
      </c>
      <c r="Q86" t="str">
        <f>IFERROR(MATCH($A86,'Guest Log'!$L$4:$L$203,0)+3,"")</f>
        <v/>
      </c>
    </row>
    <row r="87" spans="1:17" ht="15" customHeight="1" x14ac:dyDescent="0.2">
      <c r="A87" s="12">
        <f>86</f>
        <v>86</v>
      </c>
      <c r="B87" s="12" t="str">
        <f>IF(C87="","",IF(C87="Match",INDEX('Match Log'!$A:$A,D87),IF(C87="Tournament",INDEX('Tournament Log'!$A:$A,E87),INDEX('Guest Log'!$A:$A,Q87))))</f>
        <v/>
      </c>
      <c r="C87" s="12" t="str">
        <f t="shared" si="5"/>
        <v/>
      </c>
      <c r="D87" s="31" t="str">
        <f>IFERROR(MATCH($A87,'Match Log'!$K$3:$K$501,0)+2,"")</f>
        <v/>
      </c>
      <c r="E87" s="31" t="str">
        <f>IFERROR(MATCH($A87,'Tournament Log'!$O$4:$O$203,0)+3,"")</f>
        <v/>
      </c>
      <c r="F87" s="12" t="str">
        <f>IF(C87="","",IF(C87="Match",INDEX('Match Log'!$B:$B,D87),IF(C87="Tournament",INDEX('Tournament Log'!$C:$C,E87),INDEX('Guest Log'!$B:$B,Q87))))</f>
        <v/>
      </c>
      <c r="G87" s="12" t="str">
        <f>IF(C87="","",IF(C87="Match",INDEX('Match Log'!$C:$C,D87),IF(C87="Tournament",INDEX('Tournament Log'!$B:$B,E87)&amp;" (Phantom)",INDEX('Guest Log'!$H:$H,Q87)&amp;" (Guest)")))</f>
        <v/>
      </c>
      <c r="H87" s="32" t="str">
        <f t="array" ref="H87">IF(C87="","",IFERROR(LOOKUP(2,1/(($F$1:F86=F87)+($G$1:G86=F87)),IF($F$1:F86=F87,$N$1:N86,$O$1:O86)),1000))</f>
        <v/>
      </c>
      <c r="I87" s="12" t="str">
        <f t="array" ref="I87">IF(C87="","",IF(C87="Tournament",INDEX('Tournament Log'!$J:$J,E87),IF(C87="Guest",IF(INDEX('Guest Log'!$I:$I,Q87)="",1000,INDEX('Guest Log'!$I:$I,Q87)),IFERROR(LOOKUP(2,1/(($F$1:F86=G87)+($G$1:G86=G87)),IF($F$1:F86=G87,$N$1:N86,$O$1:O86)),1000))))</f>
        <v/>
      </c>
      <c r="J87" s="12" t="str">
        <f t="shared" si="6"/>
        <v/>
      </c>
      <c r="K87" s="12" t="str">
        <f>IF(C87="","",IF(C87="Match",IF(INDEX('Match Log'!$D:$D,D87)="Win",1,IF(INDEX('Match Log'!$D:$D,D87)="Draw",0.5,0)),IF(C87="Tournament",INDEX('Tournament Log'!$K:$K,E87),IF(INDEX('Guest Log'!$C:$C,Q87)="Win",1,IF(INDEX('Guest Log'!$C:$C,Q87)="Draw",0.5,0)))))</f>
        <v/>
      </c>
      <c r="L87" s="12" t="str">
        <f>IF(C87="","",IF(C87="Match",32,IF(C87="Tournament",MIN(32*INDEX('Tournament Log'!$D:$D,E87),96),32)))</f>
        <v/>
      </c>
      <c r="M87" s="12" t="str">
        <f t="shared" si="7"/>
        <v/>
      </c>
      <c r="N87" s="12" t="str">
        <f t="shared" si="8"/>
        <v/>
      </c>
      <c r="O87" s="12" t="str">
        <f t="shared" si="9"/>
        <v/>
      </c>
      <c r="P87" s="12" t="str">
        <f>IF(C87="Tournament",INDEX('Tournament Log'!$B:$B,E87),IF(C87="Guest","Guest: "&amp;INDEX('Guest Log'!$H:$H,Q87),""))</f>
        <v/>
      </c>
      <c r="Q87" t="str">
        <f>IFERROR(MATCH($A87,'Guest Log'!$L$4:$L$203,0)+3,"")</f>
        <v/>
      </c>
    </row>
    <row r="88" spans="1:17" ht="15" customHeight="1" x14ac:dyDescent="0.2">
      <c r="A88" s="12">
        <f>87</f>
        <v>87</v>
      </c>
      <c r="B88" s="12" t="str">
        <f>IF(C88="","",IF(C88="Match",INDEX('Match Log'!$A:$A,D88),IF(C88="Tournament",INDEX('Tournament Log'!$A:$A,E88),INDEX('Guest Log'!$A:$A,Q88))))</f>
        <v/>
      </c>
      <c r="C88" s="12" t="str">
        <f t="shared" si="5"/>
        <v/>
      </c>
      <c r="D88" s="31" t="str">
        <f>IFERROR(MATCH($A88,'Match Log'!$K$3:$K$501,0)+2,"")</f>
        <v/>
      </c>
      <c r="E88" s="31" t="str">
        <f>IFERROR(MATCH($A88,'Tournament Log'!$O$4:$O$203,0)+3,"")</f>
        <v/>
      </c>
      <c r="F88" s="12" t="str">
        <f>IF(C88="","",IF(C88="Match",INDEX('Match Log'!$B:$B,D88),IF(C88="Tournament",INDEX('Tournament Log'!$C:$C,E88),INDEX('Guest Log'!$B:$B,Q88))))</f>
        <v/>
      </c>
      <c r="G88" s="12" t="str">
        <f>IF(C88="","",IF(C88="Match",INDEX('Match Log'!$C:$C,D88),IF(C88="Tournament",INDEX('Tournament Log'!$B:$B,E88)&amp;" (Phantom)",INDEX('Guest Log'!$H:$H,Q88)&amp;" (Guest)")))</f>
        <v/>
      </c>
      <c r="H88" s="32" t="str">
        <f t="array" ref="H88">IF(C88="","",IFERROR(LOOKUP(2,1/(($F$1:F87=F88)+($G$1:G87=F88)),IF($F$1:F87=F88,$N$1:N87,$O$1:O87)),1000))</f>
        <v/>
      </c>
      <c r="I88" s="12" t="str">
        <f t="array" ref="I88">IF(C88="","",IF(C88="Tournament",INDEX('Tournament Log'!$J:$J,E88),IF(C88="Guest",IF(INDEX('Guest Log'!$I:$I,Q88)="",1000,INDEX('Guest Log'!$I:$I,Q88)),IFERROR(LOOKUP(2,1/(($F$1:F87=G88)+($G$1:G87=G88)),IF($F$1:F87=G88,$N$1:N87,$O$1:O87)),1000))))</f>
        <v/>
      </c>
      <c r="J88" s="12" t="str">
        <f t="shared" si="6"/>
        <v/>
      </c>
      <c r="K88" s="12" t="str">
        <f>IF(C88="","",IF(C88="Match",IF(INDEX('Match Log'!$D:$D,D88)="Win",1,IF(INDEX('Match Log'!$D:$D,D88)="Draw",0.5,0)),IF(C88="Tournament",INDEX('Tournament Log'!$K:$K,E88),IF(INDEX('Guest Log'!$C:$C,Q88)="Win",1,IF(INDEX('Guest Log'!$C:$C,Q88)="Draw",0.5,0)))))</f>
        <v/>
      </c>
      <c r="L88" s="12" t="str">
        <f>IF(C88="","",IF(C88="Match",32,IF(C88="Tournament",MIN(32*INDEX('Tournament Log'!$D:$D,E88),96),32)))</f>
        <v/>
      </c>
      <c r="M88" s="12" t="str">
        <f t="shared" si="7"/>
        <v/>
      </c>
      <c r="N88" s="12" t="str">
        <f t="shared" si="8"/>
        <v/>
      </c>
      <c r="O88" s="12" t="str">
        <f t="shared" si="9"/>
        <v/>
      </c>
      <c r="P88" s="12" t="str">
        <f>IF(C88="Tournament",INDEX('Tournament Log'!$B:$B,E88),IF(C88="Guest","Guest: "&amp;INDEX('Guest Log'!$H:$H,Q88),""))</f>
        <v/>
      </c>
      <c r="Q88" t="str">
        <f>IFERROR(MATCH($A88,'Guest Log'!$L$4:$L$203,0)+3,"")</f>
        <v/>
      </c>
    </row>
    <row r="89" spans="1:17" ht="15" customHeight="1" x14ac:dyDescent="0.2">
      <c r="A89" s="12">
        <f>88</f>
        <v>88</v>
      </c>
      <c r="B89" s="12" t="str">
        <f>IF(C89="","",IF(C89="Match",INDEX('Match Log'!$A:$A,D89),IF(C89="Tournament",INDEX('Tournament Log'!$A:$A,E89),INDEX('Guest Log'!$A:$A,Q89))))</f>
        <v/>
      </c>
      <c r="C89" s="12" t="str">
        <f t="shared" si="5"/>
        <v/>
      </c>
      <c r="D89" s="31" t="str">
        <f>IFERROR(MATCH($A89,'Match Log'!$K$3:$K$501,0)+2,"")</f>
        <v/>
      </c>
      <c r="E89" s="31" t="str">
        <f>IFERROR(MATCH($A89,'Tournament Log'!$O$4:$O$203,0)+3,"")</f>
        <v/>
      </c>
      <c r="F89" s="12" t="str">
        <f>IF(C89="","",IF(C89="Match",INDEX('Match Log'!$B:$B,D89),IF(C89="Tournament",INDEX('Tournament Log'!$C:$C,E89),INDEX('Guest Log'!$B:$B,Q89))))</f>
        <v/>
      </c>
      <c r="G89" s="12" t="str">
        <f>IF(C89="","",IF(C89="Match",INDEX('Match Log'!$C:$C,D89),IF(C89="Tournament",INDEX('Tournament Log'!$B:$B,E89)&amp;" (Phantom)",INDEX('Guest Log'!$H:$H,Q89)&amp;" (Guest)")))</f>
        <v/>
      </c>
      <c r="H89" s="32" t="str">
        <f t="array" ref="H89">IF(C89="","",IFERROR(LOOKUP(2,1/(($F$1:F88=F89)+($G$1:G88=F89)),IF($F$1:F88=F89,$N$1:N88,$O$1:O88)),1000))</f>
        <v/>
      </c>
      <c r="I89" s="12" t="str">
        <f t="array" ref="I89">IF(C89="","",IF(C89="Tournament",INDEX('Tournament Log'!$J:$J,E89),IF(C89="Guest",IF(INDEX('Guest Log'!$I:$I,Q89)="",1000,INDEX('Guest Log'!$I:$I,Q89)),IFERROR(LOOKUP(2,1/(($F$1:F88=G89)+($G$1:G88=G89)),IF($F$1:F88=G89,$N$1:N88,$O$1:O88)),1000))))</f>
        <v/>
      </c>
      <c r="J89" s="12" t="str">
        <f t="shared" si="6"/>
        <v/>
      </c>
      <c r="K89" s="12" t="str">
        <f>IF(C89="","",IF(C89="Match",IF(INDEX('Match Log'!$D:$D,D89)="Win",1,IF(INDEX('Match Log'!$D:$D,D89)="Draw",0.5,0)),IF(C89="Tournament",INDEX('Tournament Log'!$K:$K,E89),IF(INDEX('Guest Log'!$C:$C,Q89)="Win",1,IF(INDEX('Guest Log'!$C:$C,Q89)="Draw",0.5,0)))))</f>
        <v/>
      </c>
      <c r="L89" s="12" t="str">
        <f>IF(C89="","",IF(C89="Match",32,IF(C89="Tournament",MIN(32*INDEX('Tournament Log'!$D:$D,E89),96),32)))</f>
        <v/>
      </c>
      <c r="M89" s="12" t="str">
        <f t="shared" si="7"/>
        <v/>
      </c>
      <c r="N89" s="12" t="str">
        <f t="shared" si="8"/>
        <v/>
      </c>
      <c r="O89" s="12" t="str">
        <f t="shared" si="9"/>
        <v/>
      </c>
      <c r="P89" s="12" t="str">
        <f>IF(C89="Tournament",INDEX('Tournament Log'!$B:$B,E89),IF(C89="Guest","Guest: "&amp;INDEX('Guest Log'!$H:$H,Q89),""))</f>
        <v/>
      </c>
      <c r="Q89" t="str">
        <f>IFERROR(MATCH($A89,'Guest Log'!$L$4:$L$203,0)+3,"")</f>
        <v/>
      </c>
    </row>
    <row r="90" spans="1:17" ht="15" customHeight="1" x14ac:dyDescent="0.2">
      <c r="A90" s="12">
        <f>89</f>
        <v>89</v>
      </c>
      <c r="B90" s="12" t="str">
        <f>IF(C90="","",IF(C90="Match",INDEX('Match Log'!$A:$A,D90),IF(C90="Tournament",INDEX('Tournament Log'!$A:$A,E90),INDEX('Guest Log'!$A:$A,Q90))))</f>
        <v/>
      </c>
      <c r="C90" s="12" t="str">
        <f t="shared" si="5"/>
        <v/>
      </c>
      <c r="D90" s="31" t="str">
        <f>IFERROR(MATCH($A90,'Match Log'!$K$3:$K$501,0)+2,"")</f>
        <v/>
      </c>
      <c r="E90" s="31" t="str">
        <f>IFERROR(MATCH($A90,'Tournament Log'!$O$4:$O$203,0)+3,"")</f>
        <v/>
      </c>
      <c r="F90" s="12" t="str">
        <f>IF(C90="","",IF(C90="Match",INDEX('Match Log'!$B:$B,D90),IF(C90="Tournament",INDEX('Tournament Log'!$C:$C,E90),INDEX('Guest Log'!$B:$B,Q90))))</f>
        <v/>
      </c>
      <c r="G90" s="12" t="str">
        <f>IF(C90="","",IF(C90="Match",INDEX('Match Log'!$C:$C,D90),IF(C90="Tournament",INDEX('Tournament Log'!$B:$B,E90)&amp;" (Phantom)",INDEX('Guest Log'!$H:$H,Q90)&amp;" (Guest)")))</f>
        <v/>
      </c>
      <c r="H90" s="32" t="str">
        <f t="array" ref="H90">IF(C90="","",IFERROR(LOOKUP(2,1/(($F$1:F89=F90)+($G$1:G89=F90)),IF($F$1:F89=F90,$N$1:N89,$O$1:O89)),1000))</f>
        <v/>
      </c>
      <c r="I90" s="12" t="str">
        <f t="array" ref="I90">IF(C90="","",IF(C90="Tournament",INDEX('Tournament Log'!$J:$J,E90),IF(C90="Guest",IF(INDEX('Guest Log'!$I:$I,Q90)="",1000,INDEX('Guest Log'!$I:$I,Q90)),IFERROR(LOOKUP(2,1/(($F$1:F89=G90)+($G$1:G89=G90)),IF($F$1:F89=G90,$N$1:N89,$O$1:O89)),1000))))</f>
        <v/>
      </c>
      <c r="J90" s="12" t="str">
        <f t="shared" si="6"/>
        <v/>
      </c>
      <c r="K90" s="12" t="str">
        <f>IF(C90="","",IF(C90="Match",IF(INDEX('Match Log'!$D:$D,D90)="Win",1,IF(INDEX('Match Log'!$D:$D,D90)="Draw",0.5,0)),IF(C90="Tournament",INDEX('Tournament Log'!$K:$K,E90),IF(INDEX('Guest Log'!$C:$C,Q90)="Win",1,IF(INDEX('Guest Log'!$C:$C,Q90)="Draw",0.5,0)))))</f>
        <v/>
      </c>
      <c r="L90" s="12" t="str">
        <f>IF(C90="","",IF(C90="Match",32,IF(C90="Tournament",MIN(32*INDEX('Tournament Log'!$D:$D,E90),96),32)))</f>
        <v/>
      </c>
      <c r="M90" s="12" t="str">
        <f t="shared" si="7"/>
        <v/>
      </c>
      <c r="N90" s="12" t="str">
        <f t="shared" si="8"/>
        <v/>
      </c>
      <c r="O90" s="12" t="str">
        <f t="shared" si="9"/>
        <v/>
      </c>
      <c r="P90" s="12" t="str">
        <f>IF(C90="Tournament",INDEX('Tournament Log'!$B:$B,E90),IF(C90="Guest","Guest: "&amp;INDEX('Guest Log'!$H:$H,Q90),""))</f>
        <v/>
      </c>
      <c r="Q90" t="str">
        <f>IFERROR(MATCH($A90,'Guest Log'!$L$4:$L$203,0)+3,"")</f>
        <v/>
      </c>
    </row>
    <row r="91" spans="1:17" ht="15" customHeight="1" x14ac:dyDescent="0.2">
      <c r="A91" s="12">
        <f>90</f>
        <v>90</v>
      </c>
      <c r="B91" s="12" t="str">
        <f>IF(C91="","",IF(C91="Match",INDEX('Match Log'!$A:$A,D91),IF(C91="Tournament",INDEX('Tournament Log'!$A:$A,E91),INDEX('Guest Log'!$A:$A,Q91))))</f>
        <v/>
      </c>
      <c r="C91" s="12" t="str">
        <f t="shared" si="5"/>
        <v/>
      </c>
      <c r="D91" s="31" t="str">
        <f>IFERROR(MATCH($A91,'Match Log'!$K$3:$K$501,0)+2,"")</f>
        <v/>
      </c>
      <c r="E91" s="31" t="str">
        <f>IFERROR(MATCH($A91,'Tournament Log'!$O$4:$O$203,0)+3,"")</f>
        <v/>
      </c>
      <c r="F91" s="12" t="str">
        <f>IF(C91="","",IF(C91="Match",INDEX('Match Log'!$B:$B,D91),IF(C91="Tournament",INDEX('Tournament Log'!$C:$C,E91),INDEX('Guest Log'!$B:$B,Q91))))</f>
        <v/>
      </c>
      <c r="G91" s="12" t="str">
        <f>IF(C91="","",IF(C91="Match",INDEX('Match Log'!$C:$C,D91),IF(C91="Tournament",INDEX('Tournament Log'!$B:$B,E91)&amp;" (Phantom)",INDEX('Guest Log'!$H:$H,Q91)&amp;" (Guest)")))</f>
        <v/>
      </c>
      <c r="H91" s="32" t="str">
        <f t="array" ref="H91">IF(C91="","",IFERROR(LOOKUP(2,1/(($F$1:F90=F91)+($G$1:G90=F91)),IF($F$1:F90=F91,$N$1:N90,$O$1:O90)),1000))</f>
        <v/>
      </c>
      <c r="I91" s="12" t="str">
        <f t="array" ref="I91">IF(C91="","",IF(C91="Tournament",INDEX('Tournament Log'!$J:$J,E91),IF(C91="Guest",IF(INDEX('Guest Log'!$I:$I,Q91)="",1000,INDEX('Guest Log'!$I:$I,Q91)),IFERROR(LOOKUP(2,1/(($F$1:F90=G91)+($G$1:G90=G91)),IF($F$1:F90=G91,$N$1:N90,$O$1:O90)),1000))))</f>
        <v/>
      </c>
      <c r="J91" s="12" t="str">
        <f t="shared" si="6"/>
        <v/>
      </c>
      <c r="K91" s="12" t="str">
        <f>IF(C91="","",IF(C91="Match",IF(INDEX('Match Log'!$D:$D,D91)="Win",1,IF(INDEX('Match Log'!$D:$D,D91)="Draw",0.5,0)),IF(C91="Tournament",INDEX('Tournament Log'!$K:$K,E91),IF(INDEX('Guest Log'!$C:$C,Q91)="Win",1,IF(INDEX('Guest Log'!$C:$C,Q91)="Draw",0.5,0)))))</f>
        <v/>
      </c>
      <c r="L91" s="12" t="str">
        <f>IF(C91="","",IF(C91="Match",32,IF(C91="Tournament",MIN(32*INDEX('Tournament Log'!$D:$D,E91),96),32)))</f>
        <v/>
      </c>
      <c r="M91" s="12" t="str">
        <f t="shared" si="7"/>
        <v/>
      </c>
      <c r="N91" s="12" t="str">
        <f t="shared" si="8"/>
        <v/>
      </c>
      <c r="O91" s="12" t="str">
        <f t="shared" si="9"/>
        <v/>
      </c>
      <c r="P91" s="12" t="str">
        <f>IF(C91="Tournament",INDEX('Tournament Log'!$B:$B,E91),IF(C91="Guest","Guest: "&amp;INDEX('Guest Log'!$H:$H,Q91),""))</f>
        <v/>
      </c>
      <c r="Q91" t="str">
        <f>IFERROR(MATCH($A91,'Guest Log'!$L$4:$L$203,0)+3,"")</f>
        <v/>
      </c>
    </row>
    <row r="92" spans="1:17" ht="15" customHeight="1" x14ac:dyDescent="0.2">
      <c r="A92" s="12">
        <f>91</f>
        <v>91</v>
      </c>
      <c r="B92" s="12" t="str">
        <f>IF(C92="","",IF(C92="Match",INDEX('Match Log'!$A:$A,D92),IF(C92="Tournament",INDEX('Tournament Log'!$A:$A,E92),INDEX('Guest Log'!$A:$A,Q92))))</f>
        <v/>
      </c>
      <c r="C92" s="12" t="str">
        <f t="shared" si="5"/>
        <v/>
      </c>
      <c r="D92" s="31" t="str">
        <f>IFERROR(MATCH($A92,'Match Log'!$K$3:$K$501,0)+2,"")</f>
        <v/>
      </c>
      <c r="E92" s="31" t="str">
        <f>IFERROR(MATCH($A92,'Tournament Log'!$O$4:$O$203,0)+3,"")</f>
        <v/>
      </c>
      <c r="F92" s="12" t="str">
        <f>IF(C92="","",IF(C92="Match",INDEX('Match Log'!$B:$B,D92),IF(C92="Tournament",INDEX('Tournament Log'!$C:$C,E92),INDEX('Guest Log'!$B:$B,Q92))))</f>
        <v/>
      </c>
      <c r="G92" s="12" t="str">
        <f>IF(C92="","",IF(C92="Match",INDEX('Match Log'!$C:$C,D92),IF(C92="Tournament",INDEX('Tournament Log'!$B:$B,E92)&amp;" (Phantom)",INDEX('Guest Log'!$H:$H,Q92)&amp;" (Guest)")))</f>
        <v/>
      </c>
      <c r="H92" s="32" t="str">
        <f t="array" ref="H92">IF(C92="","",IFERROR(LOOKUP(2,1/(($F$1:F91=F92)+($G$1:G91=F92)),IF($F$1:F91=F92,$N$1:N91,$O$1:O91)),1000))</f>
        <v/>
      </c>
      <c r="I92" s="12" t="str">
        <f t="array" ref="I92">IF(C92="","",IF(C92="Tournament",INDEX('Tournament Log'!$J:$J,E92),IF(C92="Guest",IF(INDEX('Guest Log'!$I:$I,Q92)="",1000,INDEX('Guest Log'!$I:$I,Q92)),IFERROR(LOOKUP(2,1/(($F$1:F91=G92)+($G$1:G91=G92)),IF($F$1:F91=G92,$N$1:N91,$O$1:O91)),1000))))</f>
        <v/>
      </c>
      <c r="J92" s="12" t="str">
        <f t="shared" si="6"/>
        <v/>
      </c>
      <c r="K92" s="12" t="str">
        <f>IF(C92="","",IF(C92="Match",IF(INDEX('Match Log'!$D:$D,D92)="Win",1,IF(INDEX('Match Log'!$D:$D,D92)="Draw",0.5,0)),IF(C92="Tournament",INDEX('Tournament Log'!$K:$K,E92),IF(INDEX('Guest Log'!$C:$C,Q92)="Win",1,IF(INDEX('Guest Log'!$C:$C,Q92)="Draw",0.5,0)))))</f>
        <v/>
      </c>
      <c r="L92" s="12" t="str">
        <f>IF(C92="","",IF(C92="Match",32,IF(C92="Tournament",MIN(32*INDEX('Tournament Log'!$D:$D,E92),96),32)))</f>
        <v/>
      </c>
      <c r="M92" s="12" t="str">
        <f t="shared" si="7"/>
        <v/>
      </c>
      <c r="N92" s="12" t="str">
        <f t="shared" si="8"/>
        <v/>
      </c>
      <c r="O92" s="12" t="str">
        <f t="shared" si="9"/>
        <v/>
      </c>
      <c r="P92" s="12" t="str">
        <f>IF(C92="Tournament",INDEX('Tournament Log'!$B:$B,E92),IF(C92="Guest","Guest: "&amp;INDEX('Guest Log'!$H:$H,Q92),""))</f>
        <v/>
      </c>
      <c r="Q92" t="str">
        <f>IFERROR(MATCH($A92,'Guest Log'!$L$4:$L$203,0)+3,"")</f>
        <v/>
      </c>
    </row>
    <row r="93" spans="1:17" ht="15" customHeight="1" x14ac:dyDescent="0.2">
      <c r="A93" s="12">
        <f>92</f>
        <v>92</v>
      </c>
      <c r="B93" s="12" t="str">
        <f>IF(C93="","",IF(C93="Match",INDEX('Match Log'!$A:$A,D93),IF(C93="Tournament",INDEX('Tournament Log'!$A:$A,E93),INDEX('Guest Log'!$A:$A,Q93))))</f>
        <v/>
      </c>
      <c r="C93" s="12" t="str">
        <f t="shared" si="5"/>
        <v/>
      </c>
      <c r="D93" s="31" t="str">
        <f>IFERROR(MATCH($A93,'Match Log'!$K$3:$K$501,0)+2,"")</f>
        <v/>
      </c>
      <c r="E93" s="31" t="str">
        <f>IFERROR(MATCH($A93,'Tournament Log'!$O$4:$O$203,0)+3,"")</f>
        <v/>
      </c>
      <c r="F93" s="12" t="str">
        <f>IF(C93="","",IF(C93="Match",INDEX('Match Log'!$B:$B,D93),IF(C93="Tournament",INDEX('Tournament Log'!$C:$C,E93),INDEX('Guest Log'!$B:$B,Q93))))</f>
        <v/>
      </c>
      <c r="G93" s="12" t="str">
        <f>IF(C93="","",IF(C93="Match",INDEX('Match Log'!$C:$C,D93),IF(C93="Tournament",INDEX('Tournament Log'!$B:$B,E93)&amp;" (Phantom)",INDEX('Guest Log'!$H:$H,Q93)&amp;" (Guest)")))</f>
        <v/>
      </c>
      <c r="H93" s="32" t="str">
        <f t="array" ref="H93">IF(C93="","",IFERROR(LOOKUP(2,1/(($F$1:F92=F93)+($G$1:G92=F93)),IF($F$1:F92=F93,$N$1:N92,$O$1:O92)),1000))</f>
        <v/>
      </c>
      <c r="I93" s="12" t="str">
        <f t="array" ref="I93">IF(C93="","",IF(C93="Tournament",INDEX('Tournament Log'!$J:$J,E93),IF(C93="Guest",IF(INDEX('Guest Log'!$I:$I,Q93)="",1000,INDEX('Guest Log'!$I:$I,Q93)),IFERROR(LOOKUP(2,1/(($F$1:F92=G93)+($G$1:G92=G93)),IF($F$1:F92=G93,$N$1:N92,$O$1:O92)),1000))))</f>
        <v/>
      </c>
      <c r="J93" s="12" t="str">
        <f t="shared" si="6"/>
        <v/>
      </c>
      <c r="K93" s="12" t="str">
        <f>IF(C93="","",IF(C93="Match",IF(INDEX('Match Log'!$D:$D,D93)="Win",1,IF(INDEX('Match Log'!$D:$D,D93)="Draw",0.5,0)),IF(C93="Tournament",INDEX('Tournament Log'!$K:$K,E93),IF(INDEX('Guest Log'!$C:$C,Q93)="Win",1,IF(INDEX('Guest Log'!$C:$C,Q93)="Draw",0.5,0)))))</f>
        <v/>
      </c>
      <c r="L93" s="12" t="str">
        <f>IF(C93="","",IF(C93="Match",32,IF(C93="Tournament",MIN(32*INDEX('Tournament Log'!$D:$D,E93),96),32)))</f>
        <v/>
      </c>
      <c r="M93" s="12" t="str">
        <f t="shared" si="7"/>
        <v/>
      </c>
      <c r="N93" s="12" t="str">
        <f t="shared" si="8"/>
        <v/>
      </c>
      <c r="O93" s="12" t="str">
        <f t="shared" si="9"/>
        <v/>
      </c>
      <c r="P93" s="12" t="str">
        <f>IF(C93="Tournament",INDEX('Tournament Log'!$B:$B,E93),IF(C93="Guest","Guest: "&amp;INDEX('Guest Log'!$H:$H,Q93),""))</f>
        <v/>
      </c>
      <c r="Q93" t="str">
        <f>IFERROR(MATCH($A93,'Guest Log'!$L$4:$L$203,0)+3,"")</f>
        <v/>
      </c>
    </row>
    <row r="94" spans="1:17" ht="15" customHeight="1" x14ac:dyDescent="0.2">
      <c r="A94" s="12">
        <f>93</f>
        <v>93</v>
      </c>
      <c r="B94" s="12" t="str">
        <f>IF(C94="","",IF(C94="Match",INDEX('Match Log'!$A:$A,D94),IF(C94="Tournament",INDEX('Tournament Log'!$A:$A,E94),INDEX('Guest Log'!$A:$A,Q94))))</f>
        <v/>
      </c>
      <c r="C94" s="12" t="str">
        <f t="shared" si="5"/>
        <v/>
      </c>
      <c r="D94" s="31" t="str">
        <f>IFERROR(MATCH($A94,'Match Log'!$K$3:$K$501,0)+2,"")</f>
        <v/>
      </c>
      <c r="E94" s="31" t="str">
        <f>IFERROR(MATCH($A94,'Tournament Log'!$O$4:$O$203,0)+3,"")</f>
        <v/>
      </c>
      <c r="F94" s="12" t="str">
        <f>IF(C94="","",IF(C94="Match",INDEX('Match Log'!$B:$B,D94),IF(C94="Tournament",INDEX('Tournament Log'!$C:$C,E94),INDEX('Guest Log'!$B:$B,Q94))))</f>
        <v/>
      </c>
      <c r="G94" s="12" t="str">
        <f>IF(C94="","",IF(C94="Match",INDEX('Match Log'!$C:$C,D94),IF(C94="Tournament",INDEX('Tournament Log'!$B:$B,E94)&amp;" (Phantom)",INDEX('Guest Log'!$H:$H,Q94)&amp;" (Guest)")))</f>
        <v/>
      </c>
      <c r="H94" s="32" t="str">
        <f t="array" ref="H94">IF(C94="","",IFERROR(LOOKUP(2,1/(($F$1:F93=F94)+($G$1:G93=F94)),IF($F$1:F93=F94,$N$1:N93,$O$1:O93)),1000))</f>
        <v/>
      </c>
      <c r="I94" s="12" t="str">
        <f t="array" ref="I94">IF(C94="","",IF(C94="Tournament",INDEX('Tournament Log'!$J:$J,E94),IF(C94="Guest",IF(INDEX('Guest Log'!$I:$I,Q94)="",1000,INDEX('Guest Log'!$I:$I,Q94)),IFERROR(LOOKUP(2,1/(($F$1:F93=G94)+($G$1:G93=G94)),IF($F$1:F93=G94,$N$1:N93,$O$1:O93)),1000))))</f>
        <v/>
      </c>
      <c r="J94" s="12" t="str">
        <f t="shared" si="6"/>
        <v/>
      </c>
      <c r="K94" s="12" t="str">
        <f>IF(C94="","",IF(C94="Match",IF(INDEX('Match Log'!$D:$D,D94)="Win",1,IF(INDEX('Match Log'!$D:$D,D94)="Draw",0.5,0)),IF(C94="Tournament",INDEX('Tournament Log'!$K:$K,E94),IF(INDEX('Guest Log'!$C:$C,Q94)="Win",1,IF(INDEX('Guest Log'!$C:$C,Q94)="Draw",0.5,0)))))</f>
        <v/>
      </c>
      <c r="L94" s="12" t="str">
        <f>IF(C94="","",IF(C94="Match",32,IF(C94="Tournament",MIN(32*INDEX('Tournament Log'!$D:$D,E94),96),32)))</f>
        <v/>
      </c>
      <c r="M94" s="12" t="str">
        <f t="shared" si="7"/>
        <v/>
      </c>
      <c r="N94" s="12" t="str">
        <f t="shared" si="8"/>
        <v/>
      </c>
      <c r="O94" s="12" t="str">
        <f t="shared" si="9"/>
        <v/>
      </c>
      <c r="P94" s="12" t="str">
        <f>IF(C94="Tournament",INDEX('Tournament Log'!$B:$B,E94),IF(C94="Guest","Guest: "&amp;INDEX('Guest Log'!$H:$H,Q94),""))</f>
        <v/>
      </c>
      <c r="Q94" t="str">
        <f>IFERROR(MATCH($A94,'Guest Log'!$L$4:$L$203,0)+3,"")</f>
        <v/>
      </c>
    </row>
    <row r="95" spans="1:17" ht="15" customHeight="1" x14ac:dyDescent="0.2">
      <c r="A95" s="12">
        <f>94</f>
        <v>94</v>
      </c>
      <c r="B95" s="12" t="str">
        <f>IF(C95="","",IF(C95="Match",INDEX('Match Log'!$A:$A,D95),IF(C95="Tournament",INDEX('Tournament Log'!$A:$A,E95),INDEX('Guest Log'!$A:$A,Q95))))</f>
        <v/>
      </c>
      <c r="C95" s="12" t="str">
        <f t="shared" si="5"/>
        <v/>
      </c>
      <c r="D95" s="31" t="str">
        <f>IFERROR(MATCH($A95,'Match Log'!$K$3:$K$501,0)+2,"")</f>
        <v/>
      </c>
      <c r="E95" s="31" t="str">
        <f>IFERROR(MATCH($A95,'Tournament Log'!$O$4:$O$203,0)+3,"")</f>
        <v/>
      </c>
      <c r="F95" s="12" t="str">
        <f>IF(C95="","",IF(C95="Match",INDEX('Match Log'!$B:$B,D95),IF(C95="Tournament",INDEX('Tournament Log'!$C:$C,E95),INDEX('Guest Log'!$B:$B,Q95))))</f>
        <v/>
      </c>
      <c r="G95" s="12" t="str">
        <f>IF(C95="","",IF(C95="Match",INDEX('Match Log'!$C:$C,D95),IF(C95="Tournament",INDEX('Tournament Log'!$B:$B,E95)&amp;" (Phantom)",INDEX('Guest Log'!$H:$H,Q95)&amp;" (Guest)")))</f>
        <v/>
      </c>
      <c r="H95" s="32" t="str">
        <f t="array" ref="H95">IF(C95="","",IFERROR(LOOKUP(2,1/(($F$1:F94=F95)+($G$1:G94=F95)),IF($F$1:F94=F95,$N$1:N94,$O$1:O94)),1000))</f>
        <v/>
      </c>
      <c r="I95" s="12" t="str">
        <f t="array" ref="I95">IF(C95="","",IF(C95="Tournament",INDEX('Tournament Log'!$J:$J,E95),IF(C95="Guest",IF(INDEX('Guest Log'!$I:$I,Q95)="",1000,INDEX('Guest Log'!$I:$I,Q95)),IFERROR(LOOKUP(2,1/(($F$1:F94=G95)+($G$1:G94=G95)),IF($F$1:F94=G95,$N$1:N94,$O$1:O94)),1000))))</f>
        <v/>
      </c>
      <c r="J95" s="12" t="str">
        <f t="shared" si="6"/>
        <v/>
      </c>
      <c r="K95" s="12" t="str">
        <f>IF(C95="","",IF(C95="Match",IF(INDEX('Match Log'!$D:$D,D95)="Win",1,IF(INDEX('Match Log'!$D:$D,D95)="Draw",0.5,0)),IF(C95="Tournament",INDEX('Tournament Log'!$K:$K,E95),IF(INDEX('Guest Log'!$C:$C,Q95)="Win",1,IF(INDEX('Guest Log'!$C:$C,Q95)="Draw",0.5,0)))))</f>
        <v/>
      </c>
      <c r="L95" s="12" t="str">
        <f>IF(C95="","",IF(C95="Match",32,IF(C95="Tournament",MIN(32*INDEX('Tournament Log'!$D:$D,E95),96),32)))</f>
        <v/>
      </c>
      <c r="M95" s="12" t="str">
        <f t="shared" si="7"/>
        <v/>
      </c>
      <c r="N95" s="12" t="str">
        <f t="shared" si="8"/>
        <v/>
      </c>
      <c r="O95" s="12" t="str">
        <f t="shared" si="9"/>
        <v/>
      </c>
      <c r="P95" s="12" t="str">
        <f>IF(C95="Tournament",INDEX('Tournament Log'!$B:$B,E95),IF(C95="Guest","Guest: "&amp;INDEX('Guest Log'!$H:$H,Q95),""))</f>
        <v/>
      </c>
      <c r="Q95" t="str">
        <f>IFERROR(MATCH($A95,'Guest Log'!$L$4:$L$203,0)+3,"")</f>
        <v/>
      </c>
    </row>
    <row r="96" spans="1:17" ht="15" customHeight="1" x14ac:dyDescent="0.2">
      <c r="A96" s="12">
        <f>95</f>
        <v>95</v>
      </c>
      <c r="B96" s="12" t="str">
        <f>IF(C96="","",IF(C96="Match",INDEX('Match Log'!$A:$A,D96),IF(C96="Tournament",INDEX('Tournament Log'!$A:$A,E96),INDEX('Guest Log'!$A:$A,Q96))))</f>
        <v/>
      </c>
      <c r="C96" s="12" t="str">
        <f t="shared" si="5"/>
        <v/>
      </c>
      <c r="D96" s="31" t="str">
        <f>IFERROR(MATCH($A96,'Match Log'!$K$3:$K$501,0)+2,"")</f>
        <v/>
      </c>
      <c r="E96" s="31" t="str">
        <f>IFERROR(MATCH($A96,'Tournament Log'!$O$4:$O$203,0)+3,"")</f>
        <v/>
      </c>
      <c r="F96" s="12" t="str">
        <f>IF(C96="","",IF(C96="Match",INDEX('Match Log'!$B:$B,D96),IF(C96="Tournament",INDEX('Tournament Log'!$C:$C,E96),INDEX('Guest Log'!$B:$B,Q96))))</f>
        <v/>
      </c>
      <c r="G96" s="12" t="str">
        <f>IF(C96="","",IF(C96="Match",INDEX('Match Log'!$C:$C,D96),IF(C96="Tournament",INDEX('Tournament Log'!$B:$B,E96)&amp;" (Phantom)",INDEX('Guest Log'!$H:$H,Q96)&amp;" (Guest)")))</f>
        <v/>
      </c>
      <c r="H96" s="32" t="str">
        <f t="array" ref="H96">IF(C96="","",IFERROR(LOOKUP(2,1/(($F$1:F95=F96)+($G$1:G95=F96)),IF($F$1:F95=F96,$N$1:N95,$O$1:O95)),1000))</f>
        <v/>
      </c>
      <c r="I96" s="12" t="str">
        <f t="array" ref="I96">IF(C96="","",IF(C96="Tournament",INDEX('Tournament Log'!$J:$J,E96),IF(C96="Guest",IF(INDEX('Guest Log'!$I:$I,Q96)="",1000,INDEX('Guest Log'!$I:$I,Q96)),IFERROR(LOOKUP(2,1/(($F$1:F95=G96)+($G$1:G95=G96)),IF($F$1:F95=G96,$N$1:N95,$O$1:O95)),1000))))</f>
        <v/>
      </c>
      <c r="J96" s="12" t="str">
        <f t="shared" si="6"/>
        <v/>
      </c>
      <c r="K96" s="12" t="str">
        <f>IF(C96="","",IF(C96="Match",IF(INDEX('Match Log'!$D:$D,D96)="Win",1,IF(INDEX('Match Log'!$D:$D,D96)="Draw",0.5,0)),IF(C96="Tournament",INDEX('Tournament Log'!$K:$K,E96),IF(INDEX('Guest Log'!$C:$C,Q96)="Win",1,IF(INDEX('Guest Log'!$C:$C,Q96)="Draw",0.5,0)))))</f>
        <v/>
      </c>
      <c r="L96" s="12" t="str">
        <f>IF(C96="","",IF(C96="Match",32,IF(C96="Tournament",MIN(32*INDEX('Tournament Log'!$D:$D,E96),96),32)))</f>
        <v/>
      </c>
      <c r="M96" s="12" t="str">
        <f t="shared" si="7"/>
        <v/>
      </c>
      <c r="N96" s="12" t="str">
        <f t="shared" si="8"/>
        <v/>
      </c>
      <c r="O96" s="12" t="str">
        <f t="shared" si="9"/>
        <v/>
      </c>
      <c r="P96" s="12" t="str">
        <f>IF(C96="Tournament",INDEX('Tournament Log'!$B:$B,E96),IF(C96="Guest","Guest: "&amp;INDEX('Guest Log'!$H:$H,Q96),""))</f>
        <v/>
      </c>
      <c r="Q96" t="str">
        <f>IFERROR(MATCH($A96,'Guest Log'!$L$4:$L$203,0)+3,"")</f>
        <v/>
      </c>
    </row>
    <row r="97" spans="1:17" ht="15" customHeight="1" x14ac:dyDescent="0.2">
      <c r="A97" s="12">
        <f>96</f>
        <v>96</v>
      </c>
      <c r="B97" s="12" t="str">
        <f>IF(C97="","",IF(C97="Match",INDEX('Match Log'!$A:$A,D97),IF(C97="Tournament",INDEX('Tournament Log'!$A:$A,E97),INDEX('Guest Log'!$A:$A,Q97))))</f>
        <v/>
      </c>
      <c r="C97" s="12" t="str">
        <f t="shared" si="5"/>
        <v/>
      </c>
      <c r="D97" s="31" t="str">
        <f>IFERROR(MATCH($A97,'Match Log'!$K$3:$K$501,0)+2,"")</f>
        <v/>
      </c>
      <c r="E97" s="31" t="str">
        <f>IFERROR(MATCH($A97,'Tournament Log'!$O$4:$O$203,0)+3,"")</f>
        <v/>
      </c>
      <c r="F97" s="12" t="str">
        <f>IF(C97="","",IF(C97="Match",INDEX('Match Log'!$B:$B,D97),IF(C97="Tournament",INDEX('Tournament Log'!$C:$C,E97),INDEX('Guest Log'!$B:$B,Q97))))</f>
        <v/>
      </c>
      <c r="G97" s="12" t="str">
        <f>IF(C97="","",IF(C97="Match",INDEX('Match Log'!$C:$C,D97),IF(C97="Tournament",INDEX('Tournament Log'!$B:$B,E97)&amp;" (Phantom)",INDEX('Guest Log'!$H:$H,Q97)&amp;" (Guest)")))</f>
        <v/>
      </c>
      <c r="H97" s="32" t="str">
        <f t="array" ref="H97">IF(C97="","",IFERROR(LOOKUP(2,1/(($F$1:F96=F97)+($G$1:G96=F97)),IF($F$1:F96=F97,$N$1:N96,$O$1:O96)),1000))</f>
        <v/>
      </c>
      <c r="I97" s="12" t="str">
        <f t="array" ref="I97">IF(C97="","",IF(C97="Tournament",INDEX('Tournament Log'!$J:$J,E97),IF(C97="Guest",IF(INDEX('Guest Log'!$I:$I,Q97)="",1000,INDEX('Guest Log'!$I:$I,Q97)),IFERROR(LOOKUP(2,1/(($F$1:F96=G97)+($G$1:G96=G97)),IF($F$1:F96=G97,$N$1:N96,$O$1:O96)),1000))))</f>
        <v/>
      </c>
      <c r="J97" s="12" t="str">
        <f t="shared" si="6"/>
        <v/>
      </c>
      <c r="K97" s="12" t="str">
        <f>IF(C97="","",IF(C97="Match",IF(INDEX('Match Log'!$D:$D,D97)="Win",1,IF(INDEX('Match Log'!$D:$D,D97)="Draw",0.5,0)),IF(C97="Tournament",INDEX('Tournament Log'!$K:$K,E97),IF(INDEX('Guest Log'!$C:$C,Q97)="Win",1,IF(INDEX('Guest Log'!$C:$C,Q97)="Draw",0.5,0)))))</f>
        <v/>
      </c>
      <c r="L97" s="12" t="str">
        <f>IF(C97="","",IF(C97="Match",32,IF(C97="Tournament",MIN(32*INDEX('Tournament Log'!$D:$D,E97),96),32)))</f>
        <v/>
      </c>
      <c r="M97" s="12" t="str">
        <f t="shared" si="7"/>
        <v/>
      </c>
      <c r="N97" s="12" t="str">
        <f t="shared" si="8"/>
        <v/>
      </c>
      <c r="O97" s="12" t="str">
        <f t="shared" si="9"/>
        <v/>
      </c>
      <c r="P97" s="12" t="str">
        <f>IF(C97="Tournament",INDEX('Tournament Log'!$B:$B,E97),IF(C97="Guest","Guest: "&amp;INDEX('Guest Log'!$H:$H,Q97),""))</f>
        <v/>
      </c>
      <c r="Q97" t="str">
        <f>IFERROR(MATCH($A97,'Guest Log'!$L$4:$L$203,0)+3,"")</f>
        <v/>
      </c>
    </row>
    <row r="98" spans="1:17" ht="15" customHeight="1" x14ac:dyDescent="0.2">
      <c r="A98" s="12">
        <f>97</f>
        <v>97</v>
      </c>
      <c r="B98" s="12" t="str">
        <f>IF(C98="","",IF(C98="Match",INDEX('Match Log'!$A:$A,D98),IF(C98="Tournament",INDEX('Tournament Log'!$A:$A,E98),INDEX('Guest Log'!$A:$A,Q98))))</f>
        <v/>
      </c>
      <c r="C98" s="12" t="str">
        <f t="shared" si="5"/>
        <v/>
      </c>
      <c r="D98" s="31" t="str">
        <f>IFERROR(MATCH($A98,'Match Log'!$K$3:$K$501,0)+2,"")</f>
        <v/>
      </c>
      <c r="E98" s="31" t="str">
        <f>IFERROR(MATCH($A98,'Tournament Log'!$O$4:$O$203,0)+3,"")</f>
        <v/>
      </c>
      <c r="F98" s="12" t="str">
        <f>IF(C98="","",IF(C98="Match",INDEX('Match Log'!$B:$B,D98),IF(C98="Tournament",INDEX('Tournament Log'!$C:$C,E98),INDEX('Guest Log'!$B:$B,Q98))))</f>
        <v/>
      </c>
      <c r="G98" s="12" t="str">
        <f>IF(C98="","",IF(C98="Match",INDEX('Match Log'!$C:$C,D98),IF(C98="Tournament",INDEX('Tournament Log'!$B:$B,E98)&amp;" (Phantom)",INDEX('Guest Log'!$H:$H,Q98)&amp;" (Guest)")))</f>
        <v/>
      </c>
      <c r="H98" s="32" t="str">
        <f t="array" ref="H98">IF(C98="","",IFERROR(LOOKUP(2,1/(($F$1:F97=F98)+($G$1:G97=F98)),IF($F$1:F97=F98,$N$1:N97,$O$1:O97)),1000))</f>
        <v/>
      </c>
      <c r="I98" s="12" t="str">
        <f t="array" ref="I98">IF(C98="","",IF(C98="Tournament",INDEX('Tournament Log'!$J:$J,E98),IF(C98="Guest",IF(INDEX('Guest Log'!$I:$I,Q98)="",1000,INDEX('Guest Log'!$I:$I,Q98)),IFERROR(LOOKUP(2,1/(($F$1:F97=G98)+($G$1:G97=G98)),IF($F$1:F97=G98,$N$1:N97,$O$1:O97)),1000))))</f>
        <v/>
      </c>
      <c r="J98" s="12" t="str">
        <f t="shared" si="6"/>
        <v/>
      </c>
      <c r="K98" s="12" t="str">
        <f>IF(C98="","",IF(C98="Match",IF(INDEX('Match Log'!$D:$D,D98)="Win",1,IF(INDEX('Match Log'!$D:$D,D98)="Draw",0.5,0)),IF(C98="Tournament",INDEX('Tournament Log'!$K:$K,E98),IF(INDEX('Guest Log'!$C:$C,Q98)="Win",1,IF(INDEX('Guest Log'!$C:$C,Q98)="Draw",0.5,0)))))</f>
        <v/>
      </c>
      <c r="L98" s="12" t="str">
        <f>IF(C98="","",IF(C98="Match",32,IF(C98="Tournament",MIN(32*INDEX('Tournament Log'!$D:$D,E98),96),32)))</f>
        <v/>
      </c>
      <c r="M98" s="12" t="str">
        <f t="shared" si="7"/>
        <v/>
      </c>
      <c r="N98" s="12" t="str">
        <f t="shared" si="8"/>
        <v/>
      </c>
      <c r="O98" s="12" t="str">
        <f t="shared" si="9"/>
        <v/>
      </c>
      <c r="P98" s="12" t="str">
        <f>IF(C98="Tournament",INDEX('Tournament Log'!$B:$B,E98),IF(C98="Guest","Guest: "&amp;INDEX('Guest Log'!$H:$H,Q98),""))</f>
        <v/>
      </c>
      <c r="Q98" t="str">
        <f>IFERROR(MATCH($A98,'Guest Log'!$L$4:$L$203,0)+3,"")</f>
        <v/>
      </c>
    </row>
    <row r="99" spans="1:17" ht="15" customHeight="1" x14ac:dyDescent="0.2">
      <c r="A99" s="12">
        <f>98</f>
        <v>98</v>
      </c>
      <c r="B99" s="12" t="str">
        <f>IF(C99="","",IF(C99="Match",INDEX('Match Log'!$A:$A,D99),IF(C99="Tournament",INDEX('Tournament Log'!$A:$A,E99),INDEX('Guest Log'!$A:$A,Q99))))</f>
        <v/>
      </c>
      <c r="C99" s="12" t="str">
        <f t="shared" si="5"/>
        <v/>
      </c>
      <c r="D99" s="31" t="str">
        <f>IFERROR(MATCH($A99,'Match Log'!$K$3:$K$501,0)+2,"")</f>
        <v/>
      </c>
      <c r="E99" s="31" t="str">
        <f>IFERROR(MATCH($A99,'Tournament Log'!$O$4:$O$203,0)+3,"")</f>
        <v/>
      </c>
      <c r="F99" s="12" t="str">
        <f>IF(C99="","",IF(C99="Match",INDEX('Match Log'!$B:$B,D99),IF(C99="Tournament",INDEX('Tournament Log'!$C:$C,E99),INDEX('Guest Log'!$B:$B,Q99))))</f>
        <v/>
      </c>
      <c r="G99" s="12" t="str">
        <f>IF(C99="","",IF(C99="Match",INDEX('Match Log'!$C:$C,D99),IF(C99="Tournament",INDEX('Tournament Log'!$B:$B,E99)&amp;" (Phantom)",INDEX('Guest Log'!$H:$H,Q99)&amp;" (Guest)")))</f>
        <v/>
      </c>
      <c r="H99" s="32" t="str">
        <f t="array" ref="H99">IF(C99="","",IFERROR(LOOKUP(2,1/(($F$1:F98=F99)+($G$1:G98=F99)),IF($F$1:F98=F99,$N$1:N98,$O$1:O98)),1000))</f>
        <v/>
      </c>
      <c r="I99" s="12" t="str">
        <f t="array" ref="I99">IF(C99="","",IF(C99="Tournament",INDEX('Tournament Log'!$J:$J,E99),IF(C99="Guest",IF(INDEX('Guest Log'!$I:$I,Q99)="",1000,INDEX('Guest Log'!$I:$I,Q99)),IFERROR(LOOKUP(2,1/(($F$1:F98=G99)+($G$1:G98=G99)),IF($F$1:F98=G99,$N$1:N98,$O$1:O98)),1000))))</f>
        <v/>
      </c>
      <c r="J99" s="12" t="str">
        <f t="shared" si="6"/>
        <v/>
      </c>
      <c r="K99" s="12" t="str">
        <f>IF(C99="","",IF(C99="Match",IF(INDEX('Match Log'!$D:$D,D99)="Win",1,IF(INDEX('Match Log'!$D:$D,D99)="Draw",0.5,0)),IF(C99="Tournament",INDEX('Tournament Log'!$K:$K,E99),IF(INDEX('Guest Log'!$C:$C,Q99)="Win",1,IF(INDEX('Guest Log'!$C:$C,Q99)="Draw",0.5,0)))))</f>
        <v/>
      </c>
      <c r="L99" s="12" t="str">
        <f>IF(C99="","",IF(C99="Match",32,IF(C99="Tournament",MIN(32*INDEX('Tournament Log'!$D:$D,E99),96),32)))</f>
        <v/>
      </c>
      <c r="M99" s="12" t="str">
        <f t="shared" si="7"/>
        <v/>
      </c>
      <c r="N99" s="12" t="str">
        <f t="shared" si="8"/>
        <v/>
      </c>
      <c r="O99" s="12" t="str">
        <f t="shared" si="9"/>
        <v/>
      </c>
      <c r="P99" s="12" t="str">
        <f>IF(C99="Tournament",INDEX('Tournament Log'!$B:$B,E99),IF(C99="Guest","Guest: "&amp;INDEX('Guest Log'!$H:$H,Q99),""))</f>
        <v/>
      </c>
      <c r="Q99" t="str">
        <f>IFERROR(MATCH($A99,'Guest Log'!$L$4:$L$203,0)+3,"")</f>
        <v/>
      </c>
    </row>
    <row r="100" spans="1:17" ht="15" customHeight="1" x14ac:dyDescent="0.2">
      <c r="A100" s="12">
        <f>99</f>
        <v>99</v>
      </c>
      <c r="B100" s="12" t="str">
        <f>IF(C100="","",IF(C100="Match",INDEX('Match Log'!$A:$A,D100),IF(C100="Tournament",INDEX('Tournament Log'!$A:$A,E100),INDEX('Guest Log'!$A:$A,Q100))))</f>
        <v/>
      </c>
      <c r="C100" s="12" t="str">
        <f t="shared" si="5"/>
        <v/>
      </c>
      <c r="D100" s="31" t="str">
        <f>IFERROR(MATCH($A100,'Match Log'!$K$3:$K$501,0)+2,"")</f>
        <v/>
      </c>
      <c r="E100" s="31" t="str">
        <f>IFERROR(MATCH($A100,'Tournament Log'!$O$4:$O$203,0)+3,"")</f>
        <v/>
      </c>
      <c r="F100" s="12" t="str">
        <f>IF(C100="","",IF(C100="Match",INDEX('Match Log'!$B:$B,D100),IF(C100="Tournament",INDEX('Tournament Log'!$C:$C,E100),INDEX('Guest Log'!$B:$B,Q100))))</f>
        <v/>
      </c>
      <c r="G100" s="12" t="str">
        <f>IF(C100="","",IF(C100="Match",INDEX('Match Log'!$C:$C,D100),IF(C100="Tournament",INDEX('Tournament Log'!$B:$B,E100)&amp;" (Phantom)",INDEX('Guest Log'!$H:$H,Q100)&amp;" (Guest)")))</f>
        <v/>
      </c>
      <c r="H100" s="32" t="str">
        <f t="array" ref="H100">IF(C100="","",IFERROR(LOOKUP(2,1/(($F$1:F99=F100)+($G$1:G99=F100)),IF($F$1:F99=F100,$N$1:N99,$O$1:O99)),1000))</f>
        <v/>
      </c>
      <c r="I100" s="12" t="str">
        <f t="array" ref="I100">IF(C100="","",IF(C100="Tournament",INDEX('Tournament Log'!$J:$J,E100),IF(C100="Guest",IF(INDEX('Guest Log'!$I:$I,Q100)="",1000,INDEX('Guest Log'!$I:$I,Q100)),IFERROR(LOOKUP(2,1/(($F$1:F99=G100)+($G$1:G99=G100)),IF($F$1:F99=G100,$N$1:N99,$O$1:O99)),1000))))</f>
        <v/>
      </c>
      <c r="J100" s="12" t="str">
        <f t="shared" si="6"/>
        <v/>
      </c>
      <c r="K100" s="12" t="str">
        <f>IF(C100="","",IF(C100="Match",IF(INDEX('Match Log'!$D:$D,D100)="Win",1,IF(INDEX('Match Log'!$D:$D,D100)="Draw",0.5,0)),IF(C100="Tournament",INDEX('Tournament Log'!$K:$K,E100),IF(INDEX('Guest Log'!$C:$C,Q100)="Win",1,IF(INDEX('Guest Log'!$C:$C,Q100)="Draw",0.5,0)))))</f>
        <v/>
      </c>
      <c r="L100" s="12" t="str">
        <f>IF(C100="","",IF(C100="Match",32,IF(C100="Tournament",MIN(32*INDEX('Tournament Log'!$D:$D,E100),96),32)))</f>
        <v/>
      </c>
      <c r="M100" s="12" t="str">
        <f t="shared" si="7"/>
        <v/>
      </c>
      <c r="N100" s="12" t="str">
        <f t="shared" si="8"/>
        <v/>
      </c>
      <c r="O100" s="12" t="str">
        <f t="shared" si="9"/>
        <v/>
      </c>
      <c r="P100" s="12" t="str">
        <f>IF(C100="Tournament",INDEX('Tournament Log'!$B:$B,E100),IF(C100="Guest","Guest: "&amp;INDEX('Guest Log'!$H:$H,Q100),""))</f>
        <v/>
      </c>
      <c r="Q100" t="str">
        <f>IFERROR(MATCH($A100,'Guest Log'!$L$4:$L$203,0)+3,"")</f>
        <v/>
      </c>
    </row>
    <row r="101" spans="1:17" ht="15" customHeight="1" x14ac:dyDescent="0.2">
      <c r="A101" s="12">
        <f>100</f>
        <v>100</v>
      </c>
      <c r="B101" s="12" t="str">
        <f>IF(C101="","",IF(C101="Match",INDEX('Match Log'!$A:$A,D101),IF(C101="Tournament",INDEX('Tournament Log'!$A:$A,E101),INDEX('Guest Log'!$A:$A,Q101))))</f>
        <v/>
      </c>
      <c r="C101" s="12" t="str">
        <f t="shared" si="5"/>
        <v/>
      </c>
      <c r="D101" s="31" t="str">
        <f>IFERROR(MATCH($A101,'Match Log'!$K$3:$K$501,0)+2,"")</f>
        <v/>
      </c>
      <c r="E101" s="31" t="str">
        <f>IFERROR(MATCH($A101,'Tournament Log'!$O$4:$O$203,0)+3,"")</f>
        <v/>
      </c>
      <c r="F101" s="12" t="str">
        <f>IF(C101="","",IF(C101="Match",INDEX('Match Log'!$B:$B,D101),IF(C101="Tournament",INDEX('Tournament Log'!$C:$C,E101),INDEX('Guest Log'!$B:$B,Q101))))</f>
        <v/>
      </c>
      <c r="G101" s="12" t="str">
        <f>IF(C101="","",IF(C101="Match",INDEX('Match Log'!$C:$C,D101),IF(C101="Tournament",INDEX('Tournament Log'!$B:$B,E101)&amp;" (Phantom)",INDEX('Guest Log'!$H:$H,Q101)&amp;" (Guest)")))</f>
        <v/>
      </c>
      <c r="H101" s="32" t="str">
        <f t="array" ref="H101">IF(C101="","",IFERROR(LOOKUP(2,1/(($F$1:F100=F101)+($G$1:G100=F101)),IF($F$1:F100=F101,$N$1:N100,$O$1:O100)),1000))</f>
        <v/>
      </c>
      <c r="I101" s="12" t="str">
        <f t="array" ref="I101">IF(C101="","",IF(C101="Tournament",INDEX('Tournament Log'!$J:$J,E101),IF(C101="Guest",IF(INDEX('Guest Log'!$I:$I,Q101)="",1000,INDEX('Guest Log'!$I:$I,Q101)),IFERROR(LOOKUP(2,1/(($F$1:F100=G101)+($G$1:G100=G101)),IF($F$1:F100=G101,$N$1:N100,$O$1:O100)),1000))))</f>
        <v/>
      </c>
      <c r="J101" s="12" t="str">
        <f t="shared" si="6"/>
        <v/>
      </c>
      <c r="K101" s="12" t="str">
        <f>IF(C101="","",IF(C101="Match",IF(INDEX('Match Log'!$D:$D,D101)="Win",1,IF(INDEX('Match Log'!$D:$D,D101)="Draw",0.5,0)),IF(C101="Tournament",INDEX('Tournament Log'!$K:$K,E101),IF(INDEX('Guest Log'!$C:$C,Q101)="Win",1,IF(INDEX('Guest Log'!$C:$C,Q101)="Draw",0.5,0)))))</f>
        <v/>
      </c>
      <c r="L101" s="12" t="str">
        <f>IF(C101="","",IF(C101="Match",32,IF(C101="Tournament",MIN(32*INDEX('Tournament Log'!$D:$D,E101),96),32)))</f>
        <v/>
      </c>
      <c r="M101" s="12" t="str">
        <f t="shared" si="7"/>
        <v/>
      </c>
      <c r="N101" s="12" t="str">
        <f t="shared" si="8"/>
        <v/>
      </c>
      <c r="O101" s="12" t="str">
        <f t="shared" si="9"/>
        <v/>
      </c>
      <c r="P101" s="12" t="str">
        <f>IF(C101="Tournament",INDEX('Tournament Log'!$B:$B,E101),IF(C101="Guest","Guest: "&amp;INDEX('Guest Log'!$H:$H,Q101),""))</f>
        <v/>
      </c>
      <c r="Q101" t="str">
        <f>IFERROR(MATCH($A101,'Guest Log'!$L$4:$L$203,0)+3,"")</f>
        <v/>
      </c>
    </row>
    <row r="102" spans="1:17" ht="15" customHeight="1" x14ac:dyDescent="0.2">
      <c r="A102" s="12">
        <f>101</f>
        <v>101</v>
      </c>
      <c r="B102" s="12" t="str">
        <f>IF(C102="","",IF(C102="Match",INDEX('Match Log'!$A:$A,D102),IF(C102="Tournament",INDEX('Tournament Log'!$A:$A,E102),INDEX('Guest Log'!$A:$A,Q102))))</f>
        <v/>
      </c>
      <c r="C102" s="12" t="str">
        <f t="shared" si="5"/>
        <v/>
      </c>
      <c r="D102" s="31" t="str">
        <f>IFERROR(MATCH($A102,'Match Log'!$K$3:$K$501,0)+2,"")</f>
        <v/>
      </c>
      <c r="E102" s="31" t="str">
        <f>IFERROR(MATCH($A102,'Tournament Log'!$O$4:$O$203,0)+3,"")</f>
        <v/>
      </c>
      <c r="F102" s="12" t="str">
        <f>IF(C102="","",IF(C102="Match",INDEX('Match Log'!$B:$B,D102),IF(C102="Tournament",INDEX('Tournament Log'!$C:$C,E102),INDEX('Guest Log'!$B:$B,Q102))))</f>
        <v/>
      </c>
      <c r="G102" s="12" t="str">
        <f>IF(C102="","",IF(C102="Match",INDEX('Match Log'!$C:$C,D102),IF(C102="Tournament",INDEX('Tournament Log'!$B:$B,E102)&amp;" (Phantom)",INDEX('Guest Log'!$H:$H,Q102)&amp;" (Guest)")))</f>
        <v/>
      </c>
      <c r="H102" s="32" t="str">
        <f t="array" ref="H102">IF(C102="","",IFERROR(LOOKUP(2,1/(($F$1:F101=F102)+($G$1:G101=F102)),IF($F$1:F101=F102,$N$1:N101,$O$1:O101)),1000))</f>
        <v/>
      </c>
      <c r="I102" s="12" t="str">
        <f t="array" ref="I102">IF(C102="","",IF(C102="Tournament",INDEX('Tournament Log'!$J:$J,E102),IF(C102="Guest",IF(INDEX('Guest Log'!$I:$I,Q102)="",1000,INDEX('Guest Log'!$I:$I,Q102)),IFERROR(LOOKUP(2,1/(($F$1:F101=G102)+($G$1:G101=G102)),IF($F$1:F101=G102,$N$1:N101,$O$1:O101)),1000))))</f>
        <v/>
      </c>
      <c r="J102" s="12" t="str">
        <f t="shared" si="6"/>
        <v/>
      </c>
      <c r="K102" s="12" t="str">
        <f>IF(C102="","",IF(C102="Match",IF(INDEX('Match Log'!$D:$D,D102)="Win",1,IF(INDEX('Match Log'!$D:$D,D102)="Draw",0.5,0)),IF(C102="Tournament",INDEX('Tournament Log'!$K:$K,E102),IF(INDEX('Guest Log'!$C:$C,Q102)="Win",1,IF(INDEX('Guest Log'!$C:$C,Q102)="Draw",0.5,0)))))</f>
        <v/>
      </c>
      <c r="L102" s="12" t="str">
        <f>IF(C102="","",IF(C102="Match",32,IF(C102="Tournament",MIN(32*INDEX('Tournament Log'!$D:$D,E102),96),32)))</f>
        <v/>
      </c>
      <c r="M102" s="12" t="str">
        <f t="shared" si="7"/>
        <v/>
      </c>
      <c r="N102" s="12" t="str">
        <f t="shared" si="8"/>
        <v/>
      </c>
      <c r="O102" s="12" t="str">
        <f t="shared" si="9"/>
        <v/>
      </c>
      <c r="P102" s="12" t="str">
        <f>IF(C102="Tournament",INDEX('Tournament Log'!$B:$B,E102),IF(C102="Guest","Guest: "&amp;INDEX('Guest Log'!$H:$H,Q102),""))</f>
        <v/>
      </c>
      <c r="Q102" t="str">
        <f>IFERROR(MATCH($A102,'Guest Log'!$L$4:$L$203,0)+3,"")</f>
        <v/>
      </c>
    </row>
    <row r="103" spans="1:17" ht="15" customHeight="1" x14ac:dyDescent="0.2">
      <c r="A103" s="12">
        <f>102</f>
        <v>102</v>
      </c>
      <c r="B103" s="12" t="str">
        <f>IF(C103="","",IF(C103="Match",INDEX('Match Log'!$A:$A,D103),IF(C103="Tournament",INDEX('Tournament Log'!$A:$A,E103),INDEX('Guest Log'!$A:$A,Q103))))</f>
        <v/>
      </c>
      <c r="C103" s="12" t="str">
        <f t="shared" si="5"/>
        <v/>
      </c>
      <c r="D103" s="31" t="str">
        <f>IFERROR(MATCH($A103,'Match Log'!$K$3:$K$501,0)+2,"")</f>
        <v/>
      </c>
      <c r="E103" s="31" t="str">
        <f>IFERROR(MATCH($A103,'Tournament Log'!$O$4:$O$203,0)+3,"")</f>
        <v/>
      </c>
      <c r="F103" s="12" t="str">
        <f>IF(C103="","",IF(C103="Match",INDEX('Match Log'!$B:$B,D103),IF(C103="Tournament",INDEX('Tournament Log'!$C:$C,E103),INDEX('Guest Log'!$B:$B,Q103))))</f>
        <v/>
      </c>
      <c r="G103" s="12" t="str">
        <f>IF(C103="","",IF(C103="Match",INDEX('Match Log'!$C:$C,D103),IF(C103="Tournament",INDEX('Tournament Log'!$B:$B,E103)&amp;" (Phantom)",INDEX('Guest Log'!$H:$H,Q103)&amp;" (Guest)")))</f>
        <v/>
      </c>
      <c r="H103" s="32" t="str">
        <f t="array" ref="H103">IF(C103="","",IFERROR(LOOKUP(2,1/(($F$1:F102=F103)+($G$1:G102=F103)),IF($F$1:F102=F103,$N$1:N102,$O$1:O102)),1000))</f>
        <v/>
      </c>
      <c r="I103" s="12" t="str">
        <f t="array" ref="I103">IF(C103="","",IF(C103="Tournament",INDEX('Tournament Log'!$J:$J,E103),IF(C103="Guest",IF(INDEX('Guest Log'!$I:$I,Q103)="",1000,INDEX('Guest Log'!$I:$I,Q103)),IFERROR(LOOKUP(2,1/(($F$1:F102=G103)+($G$1:G102=G103)),IF($F$1:F102=G103,$N$1:N102,$O$1:O102)),1000))))</f>
        <v/>
      </c>
      <c r="J103" s="12" t="str">
        <f t="shared" si="6"/>
        <v/>
      </c>
      <c r="K103" s="12" t="str">
        <f>IF(C103="","",IF(C103="Match",IF(INDEX('Match Log'!$D:$D,D103)="Win",1,IF(INDEX('Match Log'!$D:$D,D103)="Draw",0.5,0)),IF(C103="Tournament",INDEX('Tournament Log'!$K:$K,E103),IF(INDEX('Guest Log'!$C:$C,Q103)="Win",1,IF(INDEX('Guest Log'!$C:$C,Q103)="Draw",0.5,0)))))</f>
        <v/>
      </c>
      <c r="L103" s="12" t="str">
        <f>IF(C103="","",IF(C103="Match",32,IF(C103="Tournament",MIN(32*INDEX('Tournament Log'!$D:$D,E103),96),32)))</f>
        <v/>
      </c>
      <c r="M103" s="12" t="str">
        <f t="shared" si="7"/>
        <v/>
      </c>
      <c r="N103" s="12" t="str">
        <f t="shared" si="8"/>
        <v/>
      </c>
      <c r="O103" s="12" t="str">
        <f t="shared" si="9"/>
        <v/>
      </c>
      <c r="P103" s="12" t="str">
        <f>IF(C103="Tournament",INDEX('Tournament Log'!$B:$B,E103),IF(C103="Guest","Guest: "&amp;INDEX('Guest Log'!$H:$H,Q103),""))</f>
        <v/>
      </c>
      <c r="Q103" t="str">
        <f>IFERROR(MATCH($A103,'Guest Log'!$L$4:$L$203,0)+3,"")</f>
        <v/>
      </c>
    </row>
    <row r="104" spans="1:17" ht="15" customHeight="1" x14ac:dyDescent="0.2">
      <c r="A104" s="12">
        <f>103</f>
        <v>103</v>
      </c>
      <c r="B104" s="12" t="str">
        <f>IF(C104="","",IF(C104="Match",INDEX('Match Log'!$A:$A,D104),IF(C104="Tournament",INDEX('Tournament Log'!$A:$A,E104),INDEX('Guest Log'!$A:$A,Q104))))</f>
        <v/>
      </c>
      <c r="C104" s="12" t="str">
        <f t="shared" si="5"/>
        <v/>
      </c>
      <c r="D104" s="31" t="str">
        <f>IFERROR(MATCH($A104,'Match Log'!$K$3:$K$501,0)+2,"")</f>
        <v/>
      </c>
      <c r="E104" s="31" t="str">
        <f>IFERROR(MATCH($A104,'Tournament Log'!$O$4:$O$203,0)+3,"")</f>
        <v/>
      </c>
      <c r="F104" s="12" t="str">
        <f>IF(C104="","",IF(C104="Match",INDEX('Match Log'!$B:$B,D104),IF(C104="Tournament",INDEX('Tournament Log'!$C:$C,E104),INDEX('Guest Log'!$B:$B,Q104))))</f>
        <v/>
      </c>
      <c r="G104" s="12" t="str">
        <f>IF(C104="","",IF(C104="Match",INDEX('Match Log'!$C:$C,D104),IF(C104="Tournament",INDEX('Tournament Log'!$B:$B,E104)&amp;" (Phantom)",INDEX('Guest Log'!$H:$H,Q104)&amp;" (Guest)")))</f>
        <v/>
      </c>
      <c r="H104" s="32" t="str">
        <f t="array" ref="H104">IF(C104="","",IFERROR(LOOKUP(2,1/(($F$1:F103=F104)+($G$1:G103=F104)),IF($F$1:F103=F104,$N$1:N103,$O$1:O103)),1000))</f>
        <v/>
      </c>
      <c r="I104" s="12" t="str">
        <f t="array" ref="I104">IF(C104="","",IF(C104="Tournament",INDEX('Tournament Log'!$J:$J,E104),IF(C104="Guest",IF(INDEX('Guest Log'!$I:$I,Q104)="",1000,INDEX('Guest Log'!$I:$I,Q104)),IFERROR(LOOKUP(2,1/(($F$1:F103=G104)+($G$1:G103=G104)),IF($F$1:F103=G104,$N$1:N103,$O$1:O103)),1000))))</f>
        <v/>
      </c>
      <c r="J104" s="12" t="str">
        <f t="shared" si="6"/>
        <v/>
      </c>
      <c r="K104" s="12" t="str">
        <f>IF(C104="","",IF(C104="Match",IF(INDEX('Match Log'!$D:$D,D104)="Win",1,IF(INDEX('Match Log'!$D:$D,D104)="Draw",0.5,0)),IF(C104="Tournament",INDEX('Tournament Log'!$K:$K,E104),IF(INDEX('Guest Log'!$C:$C,Q104)="Win",1,IF(INDEX('Guest Log'!$C:$C,Q104)="Draw",0.5,0)))))</f>
        <v/>
      </c>
      <c r="L104" s="12" t="str">
        <f>IF(C104="","",IF(C104="Match",32,IF(C104="Tournament",MIN(32*INDEX('Tournament Log'!$D:$D,E104),96),32)))</f>
        <v/>
      </c>
      <c r="M104" s="12" t="str">
        <f t="shared" si="7"/>
        <v/>
      </c>
      <c r="N104" s="12" t="str">
        <f t="shared" si="8"/>
        <v/>
      </c>
      <c r="O104" s="12" t="str">
        <f t="shared" si="9"/>
        <v/>
      </c>
      <c r="P104" s="12" t="str">
        <f>IF(C104="Tournament",INDEX('Tournament Log'!$B:$B,E104),IF(C104="Guest","Guest: "&amp;INDEX('Guest Log'!$H:$H,Q104),""))</f>
        <v/>
      </c>
      <c r="Q104" t="str">
        <f>IFERROR(MATCH($A104,'Guest Log'!$L$4:$L$203,0)+3,"")</f>
        <v/>
      </c>
    </row>
    <row r="105" spans="1:17" ht="15" customHeight="1" x14ac:dyDescent="0.2">
      <c r="A105" s="12">
        <f>104</f>
        <v>104</v>
      </c>
      <c r="B105" s="12" t="str">
        <f>IF(C105="","",IF(C105="Match",INDEX('Match Log'!$A:$A,D105),IF(C105="Tournament",INDEX('Tournament Log'!$A:$A,E105),INDEX('Guest Log'!$A:$A,Q105))))</f>
        <v/>
      </c>
      <c r="C105" s="12" t="str">
        <f t="shared" si="5"/>
        <v/>
      </c>
      <c r="D105" s="31" t="str">
        <f>IFERROR(MATCH($A105,'Match Log'!$K$3:$K$501,0)+2,"")</f>
        <v/>
      </c>
      <c r="E105" s="31" t="str">
        <f>IFERROR(MATCH($A105,'Tournament Log'!$O$4:$O$203,0)+3,"")</f>
        <v/>
      </c>
      <c r="F105" s="12" t="str">
        <f>IF(C105="","",IF(C105="Match",INDEX('Match Log'!$B:$B,D105),IF(C105="Tournament",INDEX('Tournament Log'!$C:$C,E105),INDEX('Guest Log'!$B:$B,Q105))))</f>
        <v/>
      </c>
      <c r="G105" s="12" t="str">
        <f>IF(C105="","",IF(C105="Match",INDEX('Match Log'!$C:$C,D105),IF(C105="Tournament",INDEX('Tournament Log'!$B:$B,E105)&amp;" (Phantom)",INDEX('Guest Log'!$H:$H,Q105)&amp;" (Guest)")))</f>
        <v/>
      </c>
      <c r="H105" s="32" t="str">
        <f t="array" ref="H105">IF(C105="","",IFERROR(LOOKUP(2,1/(($F$1:F104=F105)+($G$1:G104=F105)),IF($F$1:F104=F105,$N$1:N104,$O$1:O104)),1000))</f>
        <v/>
      </c>
      <c r="I105" s="12" t="str">
        <f t="array" ref="I105">IF(C105="","",IF(C105="Tournament",INDEX('Tournament Log'!$J:$J,E105),IF(C105="Guest",IF(INDEX('Guest Log'!$I:$I,Q105)="",1000,INDEX('Guest Log'!$I:$I,Q105)),IFERROR(LOOKUP(2,1/(($F$1:F104=G105)+($G$1:G104=G105)),IF($F$1:F104=G105,$N$1:N104,$O$1:O104)),1000))))</f>
        <v/>
      </c>
      <c r="J105" s="12" t="str">
        <f t="shared" si="6"/>
        <v/>
      </c>
      <c r="K105" s="12" t="str">
        <f>IF(C105="","",IF(C105="Match",IF(INDEX('Match Log'!$D:$D,D105)="Win",1,IF(INDEX('Match Log'!$D:$D,D105)="Draw",0.5,0)),IF(C105="Tournament",INDEX('Tournament Log'!$K:$K,E105),IF(INDEX('Guest Log'!$C:$C,Q105)="Win",1,IF(INDEX('Guest Log'!$C:$C,Q105)="Draw",0.5,0)))))</f>
        <v/>
      </c>
      <c r="L105" s="12" t="str">
        <f>IF(C105="","",IF(C105="Match",32,IF(C105="Tournament",MIN(32*INDEX('Tournament Log'!$D:$D,E105),96),32)))</f>
        <v/>
      </c>
      <c r="M105" s="12" t="str">
        <f t="shared" si="7"/>
        <v/>
      </c>
      <c r="N105" s="12" t="str">
        <f t="shared" si="8"/>
        <v/>
      </c>
      <c r="O105" s="12" t="str">
        <f t="shared" si="9"/>
        <v/>
      </c>
      <c r="P105" s="12" t="str">
        <f>IF(C105="Tournament",INDEX('Tournament Log'!$B:$B,E105),IF(C105="Guest","Guest: "&amp;INDEX('Guest Log'!$H:$H,Q105),""))</f>
        <v/>
      </c>
      <c r="Q105" t="str">
        <f>IFERROR(MATCH($A105,'Guest Log'!$L$4:$L$203,0)+3,"")</f>
        <v/>
      </c>
    </row>
    <row r="106" spans="1:17" ht="15" customHeight="1" x14ac:dyDescent="0.2">
      <c r="A106" s="12">
        <f>105</f>
        <v>105</v>
      </c>
      <c r="B106" s="12" t="str">
        <f>IF(C106="","",IF(C106="Match",INDEX('Match Log'!$A:$A,D106),IF(C106="Tournament",INDEX('Tournament Log'!$A:$A,E106),INDEX('Guest Log'!$A:$A,Q106))))</f>
        <v/>
      </c>
      <c r="C106" s="12" t="str">
        <f t="shared" si="5"/>
        <v/>
      </c>
      <c r="D106" s="31" t="str">
        <f>IFERROR(MATCH($A106,'Match Log'!$K$3:$K$501,0)+2,"")</f>
        <v/>
      </c>
      <c r="E106" s="31" t="str">
        <f>IFERROR(MATCH($A106,'Tournament Log'!$O$4:$O$203,0)+3,"")</f>
        <v/>
      </c>
      <c r="F106" s="12" t="str">
        <f>IF(C106="","",IF(C106="Match",INDEX('Match Log'!$B:$B,D106),IF(C106="Tournament",INDEX('Tournament Log'!$C:$C,E106),INDEX('Guest Log'!$B:$B,Q106))))</f>
        <v/>
      </c>
      <c r="G106" s="12" t="str">
        <f>IF(C106="","",IF(C106="Match",INDEX('Match Log'!$C:$C,D106),IF(C106="Tournament",INDEX('Tournament Log'!$B:$B,E106)&amp;" (Phantom)",INDEX('Guest Log'!$H:$H,Q106)&amp;" (Guest)")))</f>
        <v/>
      </c>
      <c r="H106" s="32" t="str">
        <f t="array" ref="H106">IF(C106="","",IFERROR(LOOKUP(2,1/(($F$1:F105=F106)+($G$1:G105=F106)),IF($F$1:F105=F106,$N$1:N105,$O$1:O105)),1000))</f>
        <v/>
      </c>
      <c r="I106" s="12" t="str">
        <f t="array" ref="I106">IF(C106="","",IF(C106="Tournament",INDEX('Tournament Log'!$J:$J,E106),IF(C106="Guest",IF(INDEX('Guest Log'!$I:$I,Q106)="",1000,INDEX('Guest Log'!$I:$I,Q106)),IFERROR(LOOKUP(2,1/(($F$1:F105=G106)+($G$1:G105=G106)),IF($F$1:F105=G106,$N$1:N105,$O$1:O105)),1000))))</f>
        <v/>
      </c>
      <c r="J106" s="12" t="str">
        <f t="shared" si="6"/>
        <v/>
      </c>
      <c r="K106" s="12" t="str">
        <f>IF(C106="","",IF(C106="Match",IF(INDEX('Match Log'!$D:$D,D106)="Win",1,IF(INDEX('Match Log'!$D:$D,D106)="Draw",0.5,0)),IF(C106="Tournament",INDEX('Tournament Log'!$K:$K,E106),IF(INDEX('Guest Log'!$C:$C,Q106)="Win",1,IF(INDEX('Guest Log'!$C:$C,Q106)="Draw",0.5,0)))))</f>
        <v/>
      </c>
      <c r="L106" s="12" t="str">
        <f>IF(C106="","",IF(C106="Match",32,IF(C106="Tournament",MIN(32*INDEX('Tournament Log'!$D:$D,E106),96),32)))</f>
        <v/>
      </c>
      <c r="M106" s="12" t="str">
        <f t="shared" si="7"/>
        <v/>
      </c>
      <c r="N106" s="12" t="str">
        <f t="shared" si="8"/>
        <v/>
      </c>
      <c r="O106" s="12" t="str">
        <f t="shared" si="9"/>
        <v/>
      </c>
      <c r="P106" s="12" t="str">
        <f>IF(C106="Tournament",INDEX('Tournament Log'!$B:$B,E106),IF(C106="Guest","Guest: "&amp;INDEX('Guest Log'!$H:$H,Q106),""))</f>
        <v/>
      </c>
      <c r="Q106" t="str">
        <f>IFERROR(MATCH($A106,'Guest Log'!$L$4:$L$203,0)+3,"")</f>
        <v/>
      </c>
    </row>
    <row r="107" spans="1:17" ht="15" customHeight="1" x14ac:dyDescent="0.2">
      <c r="A107" s="12">
        <f>106</f>
        <v>106</v>
      </c>
      <c r="B107" s="12" t="str">
        <f>IF(C107="","",IF(C107="Match",INDEX('Match Log'!$A:$A,D107),IF(C107="Tournament",INDEX('Tournament Log'!$A:$A,E107),INDEX('Guest Log'!$A:$A,Q107))))</f>
        <v/>
      </c>
      <c r="C107" s="12" t="str">
        <f t="shared" si="5"/>
        <v/>
      </c>
      <c r="D107" s="31" t="str">
        <f>IFERROR(MATCH($A107,'Match Log'!$K$3:$K$501,0)+2,"")</f>
        <v/>
      </c>
      <c r="E107" s="31" t="str">
        <f>IFERROR(MATCH($A107,'Tournament Log'!$O$4:$O$203,0)+3,"")</f>
        <v/>
      </c>
      <c r="F107" s="12" t="str">
        <f>IF(C107="","",IF(C107="Match",INDEX('Match Log'!$B:$B,D107),IF(C107="Tournament",INDEX('Tournament Log'!$C:$C,E107),INDEX('Guest Log'!$B:$B,Q107))))</f>
        <v/>
      </c>
      <c r="G107" s="12" t="str">
        <f>IF(C107="","",IF(C107="Match",INDEX('Match Log'!$C:$C,D107),IF(C107="Tournament",INDEX('Tournament Log'!$B:$B,E107)&amp;" (Phantom)",INDEX('Guest Log'!$H:$H,Q107)&amp;" (Guest)")))</f>
        <v/>
      </c>
      <c r="H107" s="32" t="str">
        <f t="array" ref="H107">IF(C107="","",IFERROR(LOOKUP(2,1/(($F$1:F106=F107)+($G$1:G106=F107)),IF($F$1:F106=F107,$N$1:N106,$O$1:O106)),1000))</f>
        <v/>
      </c>
      <c r="I107" s="12" t="str">
        <f t="array" ref="I107">IF(C107="","",IF(C107="Tournament",INDEX('Tournament Log'!$J:$J,E107),IF(C107="Guest",IF(INDEX('Guest Log'!$I:$I,Q107)="",1000,INDEX('Guest Log'!$I:$I,Q107)),IFERROR(LOOKUP(2,1/(($F$1:F106=G107)+($G$1:G106=G107)),IF($F$1:F106=G107,$N$1:N106,$O$1:O106)),1000))))</f>
        <v/>
      </c>
      <c r="J107" s="12" t="str">
        <f t="shared" si="6"/>
        <v/>
      </c>
      <c r="K107" s="12" t="str">
        <f>IF(C107="","",IF(C107="Match",IF(INDEX('Match Log'!$D:$D,D107)="Win",1,IF(INDEX('Match Log'!$D:$D,D107)="Draw",0.5,0)),IF(C107="Tournament",INDEX('Tournament Log'!$K:$K,E107),IF(INDEX('Guest Log'!$C:$C,Q107)="Win",1,IF(INDEX('Guest Log'!$C:$C,Q107)="Draw",0.5,0)))))</f>
        <v/>
      </c>
      <c r="L107" s="12" t="str">
        <f>IF(C107="","",IF(C107="Match",32,IF(C107="Tournament",MIN(32*INDEX('Tournament Log'!$D:$D,E107),96),32)))</f>
        <v/>
      </c>
      <c r="M107" s="12" t="str">
        <f t="shared" si="7"/>
        <v/>
      </c>
      <c r="N107" s="12" t="str">
        <f t="shared" si="8"/>
        <v/>
      </c>
      <c r="O107" s="12" t="str">
        <f t="shared" si="9"/>
        <v/>
      </c>
      <c r="P107" s="12" t="str">
        <f>IF(C107="Tournament",INDEX('Tournament Log'!$B:$B,E107),IF(C107="Guest","Guest: "&amp;INDEX('Guest Log'!$H:$H,Q107),""))</f>
        <v/>
      </c>
      <c r="Q107" t="str">
        <f>IFERROR(MATCH($A107,'Guest Log'!$L$4:$L$203,0)+3,"")</f>
        <v/>
      </c>
    </row>
    <row r="108" spans="1:17" ht="15" customHeight="1" x14ac:dyDescent="0.2">
      <c r="A108" s="12">
        <f>107</f>
        <v>107</v>
      </c>
      <c r="B108" s="12" t="str">
        <f>IF(C108="","",IF(C108="Match",INDEX('Match Log'!$A:$A,D108),IF(C108="Tournament",INDEX('Tournament Log'!$A:$A,E108),INDEX('Guest Log'!$A:$A,Q108))))</f>
        <v/>
      </c>
      <c r="C108" s="12" t="str">
        <f t="shared" si="5"/>
        <v/>
      </c>
      <c r="D108" s="31" t="str">
        <f>IFERROR(MATCH($A108,'Match Log'!$K$3:$K$501,0)+2,"")</f>
        <v/>
      </c>
      <c r="E108" s="31" t="str">
        <f>IFERROR(MATCH($A108,'Tournament Log'!$O$4:$O$203,0)+3,"")</f>
        <v/>
      </c>
      <c r="F108" s="12" t="str">
        <f>IF(C108="","",IF(C108="Match",INDEX('Match Log'!$B:$B,D108),IF(C108="Tournament",INDEX('Tournament Log'!$C:$C,E108),INDEX('Guest Log'!$B:$B,Q108))))</f>
        <v/>
      </c>
      <c r="G108" s="12" t="str">
        <f>IF(C108="","",IF(C108="Match",INDEX('Match Log'!$C:$C,D108),IF(C108="Tournament",INDEX('Tournament Log'!$B:$B,E108)&amp;" (Phantom)",INDEX('Guest Log'!$H:$H,Q108)&amp;" (Guest)")))</f>
        <v/>
      </c>
      <c r="H108" s="32" t="str">
        <f t="array" ref="H108">IF(C108="","",IFERROR(LOOKUP(2,1/(($F$1:F107=F108)+($G$1:G107=F108)),IF($F$1:F107=F108,$N$1:N107,$O$1:O107)),1000))</f>
        <v/>
      </c>
      <c r="I108" s="12" t="str">
        <f t="array" ref="I108">IF(C108="","",IF(C108="Tournament",INDEX('Tournament Log'!$J:$J,E108),IF(C108="Guest",IF(INDEX('Guest Log'!$I:$I,Q108)="",1000,INDEX('Guest Log'!$I:$I,Q108)),IFERROR(LOOKUP(2,1/(($F$1:F107=G108)+($G$1:G107=G108)),IF($F$1:F107=G108,$N$1:N107,$O$1:O107)),1000))))</f>
        <v/>
      </c>
      <c r="J108" s="12" t="str">
        <f t="shared" si="6"/>
        <v/>
      </c>
      <c r="K108" s="12" t="str">
        <f>IF(C108="","",IF(C108="Match",IF(INDEX('Match Log'!$D:$D,D108)="Win",1,IF(INDEX('Match Log'!$D:$D,D108)="Draw",0.5,0)),IF(C108="Tournament",INDEX('Tournament Log'!$K:$K,E108),IF(INDEX('Guest Log'!$C:$C,Q108)="Win",1,IF(INDEX('Guest Log'!$C:$C,Q108)="Draw",0.5,0)))))</f>
        <v/>
      </c>
      <c r="L108" s="12" t="str">
        <f>IF(C108="","",IF(C108="Match",32,IF(C108="Tournament",MIN(32*INDEX('Tournament Log'!$D:$D,E108),96),32)))</f>
        <v/>
      </c>
      <c r="M108" s="12" t="str">
        <f t="shared" si="7"/>
        <v/>
      </c>
      <c r="N108" s="12" t="str">
        <f t="shared" si="8"/>
        <v/>
      </c>
      <c r="O108" s="12" t="str">
        <f t="shared" si="9"/>
        <v/>
      </c>
      <c r="P108" s="12" t="str">
        <f>IF(C108="Tournament",INDEX('Tournament Log'!$B:$B,E108),IF(C108="Guest","Guest: "&amp;INDEX('Guest Log'!$H:$H,Q108),""))</f>
        <v/>
      </c>
      <c r="Q108" t="str">
        <f>IFERROR(MATCH($A108,'Guest Log'!$L$4:$L$203,0)+3,"")</f>
        <v/>
      </c>
    </row>
    <row r="109" spans="1:17" ht="15" customHeight="1" x14ac:dyDescent="0.2">
      <c r="A109" s="12">
        <f>108</f>
        <v>108</v>
      </c>
      <c r="B109" s="12" t="str">
        <f>IF(C109="","",IF(C109="Match",INDEX('Match Log'!$A:$A,D109),IF(C109="Tournament",INDEX('Tournament Log'!$A:$A,E109),INDEX('Guest Log'!$A:$A,Q109))))</f>
        <v/>
      </c>
      <c r="C109" s="12" t="str">
        <f t="shared" si="5"/>
        <v/>
      </c>
      <c r="D109" s="31" t="str">
        <f>IFERROR(MATCH($A109,'Match Log'!$K$3:$K$501,0)+2,"")</f>
        <v/>
      </c>
      <c r="E109" s="31" t="str">
        <f>IFERROR(MATCH($A109,'Tournament Log'!$O$4:$O$203,0)+3,"")</f>
        <v/>
      </c>
      <c r="F109" s="12" t="str">
        <f>IF(C109="","",IF(C109="Match",INDEX('Match Log'!$B:$B,D109),IF(C109="Tournament",INDEX('Tournament Log'!$C:$C,E109),INDEX('Guest Log'!$B:$B,Q109))))</f>
        <v/>
      </c>
      <c r="G109" s="12" t="str">
        <f>IF(C109="","",IF(C109="Match",INDEX('Match Log'!$C:$C,D109),IF(C109="Tournament",INDEX('Tournament Log'!$B:$B,E109)&amp;" (Phantom)",INDEX('Guest Log'!$H:$H,Q109)&amp;" (Guest)")))</f>
        <v/>
      </c>
      <c r="H109" s="32" t="str">
        <f t="array" ref="H109">IF(C109="","",IFERROR(LOOKUP(2,1/(($F$1:F108=F109)+($G$1:G108=F109)),IF($F$1:F108=F109,$N$1:N108,$O$1:O108)),1000))</f>
        <v/>
      </c>
      <c r="I109" s="12" t="str">
        <f t="array" ref="I109">IF(C109="","",IF(C109="Tournament",INDEX('Tournament Log'!$J:$J,E109),IF(C109="Guest",IF(INDEX('Guest Log'!$I:$I,Q109)="",1000,INDEX('Guest Log'!$I:$I,Q109)),IFERROR(LOOKUP(2,1/(($F$1:F108=G109)+($G$1:G108=G109)),IF($F$1:F108=G109,$N$1:N108,$O$1:O108)),1000))))</f>
        <v/>
      </c>
      <c r="J109" s="12" t="str">
        <f t="shared" si="6"/>
        <v/>
      </c>
      <c r="K109" s="12" t="str">
        <f>IF(C109="","",IF(C109="Match",IF(INDEX('Match Log'!$D:$D,D109)="Win",1,IF(INDEX('Match Log'!$D:$D,D109)="Draw",0.5,0)),IF(C109="Tournament",INDEX('Tournament Log'!$K:$K,E109),IF(INDEX('Guest Log'!$C:$C,Q109)="Win",1,IF(INDEX('Guest Log'!$C:$C,Q109)="Draw",0.5,0)))))</f>
        <v/>
      </c>
      <c r="L109" s="12" t="str">
        <f>IF(C109="","",IF(C109="Match",32,IF(C109="Tournament",MIN(32*INDEX('Tournament Log'!$D:$D,E109),96),32)))</f>
        <v/>
      </c>
      <c r="M109" s="12" t="str">
        <f t="shared" si="7"/>
        <v/>
      </c>
      <c r="N109" s="12" t="str">
        <f t="shared" si="8"/>
        <v/>
      </c>
      <c r="O109" s="12" t="str">
        <f t="shared" si="9"/>
        <v/>
      </c>
      <c r="P109" s="12" t="str">
        <f>IF(C109="Tournament",INDEX('Tournament Log'!$B:$B,E109),IF(C109="Guest","Guest: "&amp;INDEX('Guest Log'!$H:$H,Q109),""))</f>
        <v/>
      </c>
      <c r="Q109" t="str">
        <f>IFERROR(MATCH($A109,'Guest Log'!$L$4:$L$203,0)+3,"")</f>
        <v/>
      </c>
    </row>
    <row r="110" spans="1:17" ht="15" customHeight="1" x14ac:dyDescent="0.2">
      <c r="A110" s="12">
        <f>109</f>
        <v>109</v>
      </c>
      <c r="B110" s="12" t="str">
        <f>IF(C110="","",IF(C110="Match",INDEX('Match Log'!$A:$A,D110),IF(C110="Tournament",INDEX('Tournament Log'!$A:$A,E110),INDEX('Guest Log'!$A:$A,Q110))))</f>
        <v/>
      </c>
      <c r="C110" s="12" t="str">
        <f t="shared" si="5"/>
        <v/>
      </c>
      <c r="D110" s="31" t="str">
        <f>IFERROR(MATCH($A110,'Match Log'!$K$3:$K$501,0)+2,"")</f>
        <v/>
      </c>
      <c r="E110" s="31" t="str">
        <f>IFERROR(MATCH($A110,'Tournament Log'!$O$4:$O$203,0)+3,"")</f>
        <v/>
      </c>
      <c r="F110" s="12" t="str">
        <f>IF(C110="","",IF(C110="Match",INDEX('Match Log'!$B:$B,D110),IF(C110="Tournament",INDEX('Tournament Log'!$C:$C,E110),INDEX('Guest Log'!$B:$B,Q110))))</f>
        <v/>
      </c>
      <c r="G110" s="12" t="str">
        <f>IF(C110="","",IF(C110="Match",INDEX('Match Log'!$C:$C,D110),IF(C110="Tournament",INDEX('Tournament Log'!$B:$B,E110)&amp;" (Phantom)",INDEX('Guest Log'!$H:$H,Q110)&amp;" (Guest)")))</f>
        <v/>
      </c>
      <c r="H110" s="32" t="str">
        <f t="array" ref="H110">IF(C110="","",IFERROR(LOOKUP(2,1/(($F$1:F109=F110)+($G$1:G109=F110)),IF($F$1:F109=F110,$N$1:N109,$O$1:O109)),1000))</f>
        <v/>
      </c>
      <c r="I110" s="12" t="str">
        <f t="array" ref="I110">IF(C110="","",IF(C110="Tournament",INDEX('Tournament Log'!$J:$J,E110),IF(C110="Guest",IF(INDEX('Guest Log'!$I:$I,Q110)="",1000,INDEX('Guest Log'!$I:$I,Q110)),IFERROR(LOOKUP(2,1/(($F$1:F109=G110)+($G$1:G109=G110)),IF($F$1:F109=G110,$N$1:N109,$O$1:O109)),1000))))</f>
        <v/>
      </c>
      <c r="J110" s="12" t="str">
        <f t="shared" si="6"/>
        <v/>
      </c>
      <c r="K110" s="12" t="str">
        <f>IF(C110="","",IF(C110="Match",IF(INDEX('Match Log'!$D:$D,D110)="Win",1,IF(INDEX('Match Log'!$D:$D,D110)="Draw",0.5,0)),IF(C110="Tournament",INDEX('Tournament Log'!$K:$K,E110),IF(INDEX('Guest Log'!$C:$C,Q110)="Win",1,IF(INDEX('Guest Log'!$C:$C,Q110)="Draw",0.5,0)))))</f>
        <v/>
      </c>
      <c r="L110" s="12" t="str">
        <f>IF(C110="","",IF(C110="Match",32,IF(C110="Tournament",MIN(32*INDEX('Tournament Log'!$D:$D,E110),96),32)))</f>
        <v/>
      </c>
      <c r="M110" s="12" t="str">
        <f t="shared" si="7"/>
        <v/>
      </c>
      <c r="N110" s="12" t="str">
        <f t="shared" si="8"/>
        <v/>
      </c>
      <c r="O110" s="12" t="str">
        <f t="shared" si="9"/>
        <v/>
      </c>
      <c r="P110" s="12" t="str">
        <f>IF(C110="Tournament",INDEX('Tournament Log'!$B:$B,E110),IF(C110="Guest","Guest: "&amp;INDEX('Guest Log'!$H:$H,Q110),""))</f>
        <v/>
      </c>
      <c r="Q110" t="str">
        <f>IFERROR(MATCH($A110,'Guest Log'!$L$4:$L$203,0)+3,"")</f>
        <v/>
      </c>
    </row>
    <row r="111" spans="1:17" ht="15" customHeight="1" x14ac:dyDescent="0.2">
      <c r="A111" s="12">
        <f>110</f>
        <v>110</v>
      </c>
      <c r="B111" s="12" t="str">
        <f>IF(C111="","",IF(C111="Match",INDEX('Match Log'!$A:$A,D111),IF(C111="Tournament",INDEX('Tournament Log'!$A:$A,E111),INDEX('Guest Log'!$A:$A,Q111))))</f>
        <v/>
      </c>
      <c r="C111" s="12" t="str">
        <f t="shared" si="5"/>
        <v/>
      </c>
      <c r="D111" s="31" t="str">
        <f>IFERROR(MATCH($A111,'Match Log'!$K$3:$K$501,0)+2,"")</f>
        <v/>
      </c>
      <c r="E111" s="31" t="str">
        <f>IFERROR(MATCH($A111,'Tournament Log'!$O$4:$O$203,0)+3,"")</f>
        <v/>
      </c>
      <c r="F111" s="12" t="str">
        <f>IF(C111="","",IF(C111="Match",INDEX('Match Log'!$B:$B,D111),IF(C111="Tournament",INDEX('Tournament Log'!$C:$C,E111),INDEX('Guest Log'!$B:$B,Q111))))</f>
        <v/>
      </c>
      <c r="G111" s="12" t="str">
        <f>IF(C111="","",IF(C111="Match",INDEX('Match Log'!$C:$C,D111),IF(C111="Tournament",INDEX('Tournament Log'!$B:$B,E111)&amp;" (Phantom)",INDEX('Guest Log'!$H:$H,Q111)&amp;" (Guest)")))</f>
        <v/>
      </c>
      <c r="H111" s="32" t="str">
        <f t="array" ref="H111">IF(C111="","",IFERROR(LOOKUP(2,1/(($F$1:F110=F111)+($G$1:G110=F111)),IF($F$1:F110=F111,$N$1:N110,$O$1:O110)),1000))</f>
        <v/>
      </c>
      <c r="I111" s="12" t="str">
        <f t="array" ref="I111">IF(C111="","",IF(C111="Tournament",INDEX('Tournament Log'!$J:$J,E111),IF(C111="Guest",IF(INDEX('Guest Log'!$I:$I,Q111)="",1000,INDEX('Guest Log'!$I:$I,Q111)),IFERROR(LOOKUP(2,1/(($F$1:F110=G111)+($G$1:G110=G111)),IF($F$1:F110=G111,$N$1:N110,$O$1:O110)),1000))))</f>
        <v/>
      </c>
      <c r="J111" s="12" t="str">
        <f t="shared" si="6"/>
        <v/>
      </c>
      <c r="K111" s="12" t="str">
        <f>IF(C111="","",IF(C111="Match",IF(INDEX('Match Log'!$D:$D,D111)="Win",1,IF(INDEX('Match Log'!$D:$D,D111)="Draw",0.5,0)),IF(C111="Tournament",INDEX('Tournament Log'!$K:$K,E111),IF(INDEX('Guest Log'!$C:$C,Q111)="Win",1,IF(INDEX('Guest Log'!$C:$C,Q111)="Draw",0.5,0)))))</f>
        <v/>
      </c>
      <c r="L111" s="12" t="str">
        <f>IF(C111="","",IF(C111="Match",32,IF(C111="Tournament",MIN(32*INDEX('Tournament Log'!$D:$D,E111),96),32)))</f>
        <v/>
      </c>
      <c r="M111" s="12" t="str">
        <f t="shared" si="7"/>
        <v/>
      </c>
      <c r="N111" s="12" t="str">
        <f t="shared" si="8"/>
        <v/>
      </c>
      <c r="O111" s="12" t="str">
        <f t="shared" si="9"/>
        <v/>
      </c>
      <c r="P111" s="12" t="str">
        <f>IF(C111="Tournament",INDEX('Tournament Log'!$B:$B,E111),IF(C111="Guest","Guest: "&amp;INDEX('Guest Log'!$H:$H,Q111),""))</f>
        <v/>
      </c>
      <c r="Q111" t="str">
        <f>IFERROR(MATCH($A111,'Guest Log'!$L$4:$L$203,0)+3,"")</f>
        <v/>
      </c>
    </row>
    <row r="112" spans="1:17" ht="15" customHeight="1" x14ac:dyDescent="0.2">
      <c r="A112" s="12">
        <f>111</f>
        <v>111</v>
      </c>
      <c r="B112" s="12" t="str">
        <f>IF(C112="","",IF(C112="Match",INDEX('Match Log'!$A:$A,D112),IF(C112="Tournament",INDEX('Tournament Log'!$A:$A,E112),INDEX('Guest Log'!$A:$A,Q112))))</f>
        <v/>
      </c>
      <c r="C112" s="12" t="str">
        <f t="shared" si="5"/>
        <v/>
      </c>
      <c r="D112" s="31" t="str">
        <f>IFERROR(MATCH($A112,'Match Log'!$K$3:$K$501,0)+2,"")</f>
        <v/>
      </c>
      <c r="E112" s="31" t="str">
        <f>IFERROR(MATCH($A112,'Tournament Log'!$O$4:$O$203,0)+3,"")</f>
        <v/>
      </c>
      <c r="F112" s="12" t="str">
        <f>IF(C112="","",IF(C112="Match",INDEX('Match Log'!$B:$B,D112),IF(C112="Tournament",INDEX('Tournament Log'!$C:$C,E112),INDEX('Guest Log'!$B:$B,Q112))))</f>
        <v/>
      </c>
      <c r="G112" s="12" t="str">
        <f>IF(C112="","",IF(C112="Match",INDEX('Match Log'!$C:$C,D112),IF(C112="Tournament",INDEX('Tournament Log'!$B:$B,E112)&amp;" (Phantom)",INDEX('Guest Log'!$H:$H,Q112)&amp;" (Guest)")))</f>
        <v/>
      </c>
      <c r="H112" s="32" t="str">
        <f t="array" ref="H112">IF(C112="","",IFERROR(LOOKUP(2,1/(($F$1:F111=F112)+($G$1:G111=F112)),IF($F$1:F111=F112,$N$1:N111,$O$1:O111)),1000))</f>
        <v/>
      </c>
      <c r="I112" s="12" t="str">
        <f t="array" ref="I112">IF(C112="","",IF(C112="Tournament",INDEX('Tournament Log'!$J:$J,E112),IF(C112="Guest",IF(INDEX('Guest Log'!$I:$I,Q112)="",1000,INDEX('Guest Log'!$I:$I,Q112)),IFERROR(LOOKUP(2,1/(($F$1:F111=G112)+($G$1:G111=G112)),IF($F$1:F111=G112,$N$1:N111,$O$1:O111)),1000))))</f>
        <v/>
      </c>
      <c r="J112" s="12" t="str">
        <f t="shared" si="6"/>
        <v/>
      </c>
      <c r="K112" s="12" t="str">
        <f>IF(C112="","",IF(C112="Match",IF(INDEX('Match Log'!$D:$D,D112)="Win",1,IF(INDEX('Match Log'!$D:$D,D112)="Draw",0.5,0)),IF(C112="Tournament",INDEX('Tournament Log'!$K:$K,E112),IF(INDEX('Guest Log'!$C:$C,Q112)="Win",1,IF(INDEX('Guest Log'!$C:$C,Q112)="Draw",0.5,0)))))</f>
        <v/>
      </c>
      <c r="L112" s="12" t="str">
        <f>IF(C112="","",IF(C112="Match",32,IF(C112="Tournament",MIN(32*INDEX('Tournament Log'!$D:$D,E112),96),32)))</f>
        <v/>
      </c>
      <c r="M112" s="12" t="str">
        <f t="shared" si="7"/>
        <v/>
      </c>
      <c r="N112" s="12" t="str">
        <f t="shared" si="8"/>
        <v/>
      </c>
      <c r="O112" s="12" t="str">
        <f t="shared" si="9"/>
        <v/>
      </c>
      <c r="P112" s="12" t="str">
        <f>IF(C112="Tournament",INDEX('Tournament Log'!$B:$B,E112),IF(C112="Guest","Guest: "&amp;INDEX('Guest Log'!$H:$H,Q112),""))</f>
        <v/>
      </c>
      <c r="Q112" t="str">
        <f>IFERROR(MATCH($A112,'Guest Log'!$L$4:$L$203,0)+3,"")</f>
        <v/>
      </c>
    </row>
    <row r="113" spans="1:17" ht="15" customHeight="1" x14ac:dyDescent="0.2">
      <c r="A113" s="12">
        <f>112</f>
        <v>112</v>
      </c>
      <c r="B113" s="12" t="str">
        <f>IF(C113="","",IF(C113="Match",INDEX('Match Log'!$A:$A,D113),IF(C113="Tournament",INDEX('Tournament Log'!$A:$A,E113),INDEX('Guest Log'!$A:$A,Q113))))</f>
        <v/>
      </c>
      <c r="C113" s="12" t="str">
        <f t="shared" si="5"/>
        <v/>
      </c>
      <c r="D113" s="31" t="str">
        <f>IFERROR(MATCH($A113,'Match Log'!$K$3:$K$501,0)+2,"")</f>
        <v/>
      </c>
      <c r="E113" s="31" t="str">
        <f>IFERROR(MATCH($A113,'Tournament Log'!$O$4:$O$203,0)+3,"")</f>
        <v/>
      </c>
      <c r="F113" s="12" t="str">
        <f>IF(C113="","",IF(C113="Match",INDEX('Match Log'!$B:$B,D113),IF(C113="Tournament",INDEX('Tournament Log'!$C:$C,E113),INDEX('Guest Log'!$B:$B,Q113))))</f>
        <v/>
      </c>
      <c r="G113" s="12" t="str">
        <f>IF(C113="","",IF(C113="Match",INDEX('Match Log'!$C:$C,D113),IF(C113="Tournament",INDEX('Tournament Log'!$B:$B,E113)&amp;" (Phantom)",INDEX('Guest Log'!$H:$H,Q113)&amp;" (Guest)")))</f>
        <v/>
      </c>
      <c r="H113" s="32" t="str">
        <f t="array" ref="H113">IF(C113="","",IFERROR(LOOKUP(2,1/(($F$1:F112=F113)+($G$1:G112=F113)),IF($F$1:F112=F113,$N$1:N112,$O$1:O112)),1000))</f>
        <v/>
      </c>
      <c r="I113" s="12" t="str">
        <f t="array" ref="I113">IF(C113="","",IF(C113="Tournament",INDEX('Tournament Log'!$J:$J,E113),IF(C113="Guest",IF(INDEX('Guest Log'!$I:$I,Q113)="",1000,INDEX('Guest Log'!$I:$I,Q113)),IFERROR(LOOKUP(2,1/(($F$1:F112=G113)+($G$1:G112=G113)),IF($F$1:F112=G113,$N$1:N112,$O$1:O112)),1000))))</f>
        <v/>
      </c>
      <c r="J113" s="12" t="str">
        <f t="shared" si="6"/>
        <v/>
      </c>
      <c r="K113" s="12" t="str">
        <f>IF(C113="","",IF(C113="Match",IF(INDEX('Match Log'!$D:$D,D113)="Win",1,IF(INDEX('Match Log'!$D:$D,D113)="Draw",0.5,0)),IF(C113="Tournament",INDEX('Tournament Log'!$K:$K,E113),IF(INDEX('Guest Log'!$C:$C,Q113)="Win",1,IF(INDEX('Guest Log'!$C:$C,Q113)="Draw",0.5,0)))))</f>
        <v/>
      </c>
      <c r="L113" s="12" t="str">
        <f>IF(C113="","",IF(C113="Match",32,IF(C113="Tournament",MIN(32*INDEX('Tournament Log'!$D:$D,E113),96),32)))</f>
        <v/>
      </c>
      <c r="M113" s="12" t="str">
        <f t="shared" si="7"/>
        <v/>
      </c>
      <c r="N113" s="12" t="str">
        <f t="shared" si="8"/>
        <v/>
      </c>
      <c r="O113" s="12" t="str">
        <f t="shared" si="9"/>
        <v/>
      </c>
      <c r="P113" s="12" t="str">
        <f>IF(C113="Tournament",INDEX('Tournament Log'!$B:$B,E113),IF(C113="Guest","Guest: "&amp;INDEX('Guest Log'!$H:$H,Q113),""))</f>
        <v/>
      </c>
      <c r="Q113" t="str">
        <f>IFERROR(MATCH($A113,'Guest Log'!$L$4:$L$203,0)+3,"")</f>
        <v/>
      </c>
    </row>
    <row r="114" spans="1:17" ht="15" customHeight="1" x14ac:dyDescent="0.2">
      <c r="A114" s="12">
        <f>113</f>
        <v>113</v>
      </c>
      <c r="B114" s="12" t="str">
        <f>IF(C114="","",IF(C114="Match",INDEX('Match Log'!$A:$A,D114),IF(C114="Tournament",INDEX('Tournament Log'!$A:$A,E114),INDEX('Guest Log'!$A:$A,Q114))))</f>
        <v/>
      </c>
      <c r="C114" s="12" t="str">
        <f t="shared" si="5"/>
        <v/>
      </c>
      <c r="D114" s="31" t="str">
        <f>IFERROR(MATCH($A114,'Match Log'!$K$3:$K$501,0)+2,"")</f>
        <v/>
      </c>
      <c r="E114" s="31" t="str">
        <f>IFERROR(MATCH($A114,'Tournament Log'!$O$4:$O$203,0)+3,"")</f>
        <v/>
      </c>
      <c r="F114" s="12" t="str">
        <f>IF(C114="","",IF(C114="Match",INDEX('Match Log'!$B:$B,D114),IF(C114="Tournament",INDEX('Tournament Log'!$C:$C,E114),INDEX('Guest Log'!$B:$B,Q114))))</f>
        <v/>
      </c>
      <c r="G114" s="12" t="str">
        <f>IF(C114="","",IF(C114="Match",INDEX('Match Log'!$C:$C,D114),IF(C114="Tournament",INDEX('Tournament Log'!$B:$B,E114)&amp;" (Phantom)",INDEX('Guest Log'!$H:$H,Q114)&amp;" (Guest)")))</f>
        <v/>
      </c>
      <c r="H114" s="32" t="str">
        <f t="array" ref="H114">IF(C114="","",IFERROR(LOOKUP(2,1/(($F$1:F113=F114)+($G$1:G113=F114)),IF($F$1:F113=F114,$N$1:N113,$O$1:O113)),1000))</f>
        <v/>
      </c>
      <c r="I114" s="12" t="str">
        <f t="array" ref="I114">IF(C114="","",IF(C114="Tournament",INDEX('Tournament Log'!$J:$J,E114),IF(C114="Guest",IF(INDEX('Guest Log'!$I:$I,Q114)="",1000,INDEX('Guest Log'!$I:$I,Q114)),IFERROR(LOOKUP(2,1/(($F$1:F113=G114)+($G$1:G113=G114)),IF($F$1:F113=G114,$N$1:N113,$O$1:O113)),1000))))</f>
        <v/>
      </c>
      <c r="J114" s="12" t="str">
        <f t="shared" si="6"/>
        <v/>
      </c>
      <c r="K114" s="12" t="str">
        <f>IF(C114="","",IF(C114="Match",IF(INDEX('Match Log'!$D:$D,D114)="Win",1,IF(INDEX('Match Log'!$D:$D,D114)="Draw",0.5,0)),IF(C114="Tournament",INDEX('Tournament Log'!$K:$K,E114),IF(INDEX('Guest Log'!$C:$C,Q114)="Win",1,IF(INDEX('Guest Log'!$C:$C,Q114)="Draw",0.5,0)))))</f>
        <v/>
      </c>
      <c r="L114" s="12" t="str">
        <f>IF(C114="","",IF(C114="Match",32,IF(C114="Tournament",MIN(32*INDEX('Tournament Log'!$D:$D,E114),96),32)))</f>
        <v/>
      </c>
      <c r="M114" s="12" t="str">
        <f t="shared" si="7"/>
        <v/>
      </c>
      <c r="N114" s="12" t="str">
        <f t="shared" si="8"/>
        <v/>
      </c>
      <c r="O114" s="12" t="str">
        <f t="shared" si="9"/>
        <v/>
      </c>
      <c r="P114" s="12" t="str">
        <f>IF(C114="Tournament",INDEX('Tournament Log'!$B:$B,E114),IF(C114="Guest","Guest: "&amp;INDEX('Guest Log'!$H:$H,Q114),""))</f>
        <v/>
      </c>
      <c r="Q114" t="str">
        <f>IFERROR(MATCH($A114,'Guest Log'!$L$4:$L$203,0)+3,"")</f>
        <v/>
      </c>
    </row>
    <row r="115" spans="1:17" ht="15" customHeight="1" x14ac:dyDescent="0.2">
      <c r="A115" s="12">
        <f>114</f>
        <v>114</v>
      </c>
      <c r="B115" s="12" t="str">
        <f>IF(C115="","",IF(C115="Match",INDEX('Match Log'!$A:$A,D115),IF(C115="Tournament",INDEX('Tournament Log'!$A:$A,E115),INDEX('Guest Log'!$A:$A,Q115))))</f>
        <v/>
      </c>
      <c r="C115" s="12" t="str">
        <f t="shared" si="5"/>
        <v/>
      </c>
      <c r="D115" s="31" t="str">
        <f>IFERROR(MATCH($A115,'Match Log'!$K$3:$K$501,0)+2,"")</f>
        <v/>
      </c>
      <c r="E115" s="31" t="str">
        <f>IFERROR(MATCH($A115,'Tournament Log'!$O$4:$O$203,0)+3,"")</f>
        <v/>
      </c>
      <c r="F115" s="12" t="str">
        <f>IF(C115="","",IF(C115="Match",INDEX('Match Log'!$B:$B,D115),IF(C115="Tournament",INDEX('Tournament Log'!$C:$C,E115),INDEX('Guest Log'!$B:$B,Q115))))</f>
        <v/>
      </c>
      <c r="G115" s="12" t="str">
        <f>IF(C115="","",IF(C115="Match",INDEX('Match Log'!$C:$C,D115),IF(C115="Tournament",INDEX('Tournament Log'!$B:$B,E115)&amp;" (Phantom)",INDEX('Guest Log'!$H:$H,Q115)&amp;" (Guest)")))</f>
        <v/>
      </c>
      <c r="H115" s="32" t="str">
        <f t="array" ref="H115">IF(C115="","",IFERROR(LOOKUP(2,1/(($F$1:F114=F115)+($G$1:G114=F115)),IF($F$1:F114=F115,$N$1:N114,$O$1:O114)),1000))</f>
        <v/>
      </c>
      <c r="I115" s="12" t="str">
        <f t="array" ref="I115">IF(C115="","",IF(C115="Tournament",INDEX('Tournament Log'!$J:$J,E115),IF(C115="Guest",IF(INDEX('Guest Log'!$I:$I,Q115)="",1000,INDEX('Guest Log'!$I:$I,Q115)),IFERROR(LOOKUP(2,1/(($F$1:F114=G115)+($G$1:G114=G115)),IF($F$1:F114=G115,$N$1:N114,$O$1:O114)),1000))))</f>
        <v/>
      </c>
      <c r="J115" s="12" t="str">
        <f t="shared" si="6"/>
        <v/>
      </c>
      <c r="K115" s="12" t="str">
        <f>IF(C115="","",IF(C115="Match",IF(INDEX('Match Log'!$D:$D,D115)="Win",1,IF(INDEX('Match Log'!$D:$D,D115)="Draw",0.5,0)),IF(C115="Tournament",INDEX('Tournament Log'!$K:$K,E115),IF(INDEX('Guest Log'!$C:$C,Q115)="Win",1,IF(INDEX('Guest Log'!$C:$C,Q115)="Draw",0.5,0)))))</f>
        <v/>
      </c>
      <c r="L115" s="12" t="str">
        <f>IF(C115="","",IF(C115="Match",32,IF(C115="Tournament",MIN(32*INDEX('Tournament Log'!$D:$D,E115),96),32)))</f>
        <v/>
      </c>
      <c r="M115" s="12" t="str">
        <f t="shared" si="7"/>
        <v/>
      </c>
      <c r="N115" s="12" t="str">
        <f t="shared" si="8"/>
        <v/>
      </c>
      <c r="O115" s="12" t="str">
        <f t="shared" si="9"/>
        <v/>
      </c>
      <c r="P115" s="12" t="str">
        <f>IF(C115="Tournament",INDEX('Tournament Log'!$B:$B,E115),IF(C115="Guest","Guest: "&amp;INDEX('Guest Log'!$H:$H,Q115),""))</f>
        <v/>
      </c>
      <c r="Q115" t="str">
        <f>IFERROR(MATCH($A115,'Guest Log'!$L$4:$L$203,0)+3,"")</f>
        <v/>
      </c>
    </row>
    <row r="116" spans="1:17" ht="15" customHeight="1" x14ac:dyDescent="0.2">
      <c r="A116" s="12">
        <f>115</f>
        <v>115</v>
      </c>
      <c r="B116" s="12" t="str">
        <f>IF(C116="","",IF(C116="Match",INDEX('Match Log'!$A:$A,D116),IF(C116="Tournament",INDEX('Tournament Log'!$A:$A,E116),INDEX('Guest Log'!$A:$A,Q116))))</f>
        <v/>
      </c>
      <c r="C116" s="12" t="str">
        <f t="shared" si="5"/>
        <v/>
      </c>
      <c r="D116" s="31" t="str">
        <f>IFERROR(MATCH($A116,'Match Log'!$K$3:$K$501,0)+2,"")</f>
        <v/>
      </c>
      <c r="E116" s="31" t="str">
        <f>IFERROR(MATCH($A116,'Tournament Log'!$O$4:$O$203,0)+3,"")</f>
        <v/>
      </c>
      <c r="F116" s="12" t="str">
        <f>IF(C116="","",IF(C116="Match",INDEX('Match Log'!$B:$B,D116),IF(C116="Tournament",INDEX('Tournament Log'!$C:$C,E116),INDEX('Guest Log'!$B:$B,Q116))))</f>
        <v/>
      </c>
      <c r="G116" s="12" t="str">
        <f>IF(C116="","",IF(C116="Match",INDEX('Match Log'!$C:$C,D116),IF(C116="Tournament",INDEX('Tournament Log'!$B:$B,E116)&amp;" (Phantom)",INDEX('Guest Log'!$H:$H,Q116)&amp;" (Guest)")))</f>
        <v/>
      </c>
      <c r="H116" s="32" t="str">
        <f t="array" ref="H116">IF(C116="","",IFERROR(LOOKUP(2,1/(($F$1:F115=F116)+($G$1:G115=F116)),IF($F$1:F115=F116,$N$1:N115,$O$1:O115)),1000))</f>
        <v/>
      </c>
      <c r="I116" s="12" t="str">
        <f t="array" ref="I116">IF(C116="","",IF(C116="Tournament",INDEX('Tournament Log'!$J:$J,E116),IF(C116="Guest",IF(INDEX('Guest Log'!$I:$I,Q116)="",1000,INDEX('Guest Log'!$I:$I,Q116)),IFERROR(LOOKUP(2,1/(($F$1:F115=G116)+($G$1:G115=G116)),IF($F$1:F115=G116,$N$1:N115,$O$1:O115)),1000))))</f>
        <v/>
      </c>
      <c r="J116" s="12" t="str">
        <f t="shared" si="6"/>
        <v/>
      </c>
      <c r="K116" s="12" t="str">
        <f>IF(C116="","",IF(C116="Match",IF(INDEX('Match Log'!$D:$D,D116)="Win",1,IF(INDEX('Match Log'!$D:$D,D116)="Draw",0.5,0)),IF(C116="Tournament",INDEX('Tournament Log'!$K:$K,E116),IF(INDEX('Guest Log'!$C:$C,Q116)="Win",1,IF(INDEX('Guest Log'!$C:$C,Q116)="Draw",0.5,0)))))</f>
        <v/>
      </c>
      <c r="L116" s="12" t="str">
        <f>IF(C116="","",IF(C116="Match",32,IF(C116="Tournament",MIN(32*INDEX('Tournament Log'!$D:$D,E116),96),32)))</f>
        <v/>
      </c>
      <c r="M116" s="12" t="str">
        <f t="shared" si="7"/>
        <v/>
      </c>
      <c r="N116" s="12" t="str">
        <f t="shared" si="8"/>
        <v/>
      </c>
      <c r="O116" s="12" t="str">
        <f t="shared" si="9"/>
        <v/>
      </c>
      <c r="P116" s="12" t="str">
        <f>IF(C116="Tournament",INDEX('Tournament Log'!$B:$B,E116),IF(C116="Guest","Guest: "&amp;INDEX('Guest Log'!$H:$H,Q116),""))</f>
        <v/>
      </c>
      <c r="Q116" t="str">
        <f>IFERROR(MATCH($A116,'Guest Log'!$L$4:$L$203,0)+3,"")</f>
        <v/>
      </c>
    </row>
    <row r="117" spans="1:17" ht="15" customHeight="1" x14ac:dyDescent="0.2">
      <c r="A117" s="12">
        <f>116</f>
        <v>116</v>
      </c>
      <c r="B117" s="12" t="str">
        <f>IF(C117="","",IF(C117="Match",INDEX('Match Log'!$A:$A,D117),IF(C117="Tournament",INDEX('Tournament Log'!$A:$A,E117),INDEX('Guest Log'!$A:$A,Q117))))</f>
        <v/>
      </c>
      <c r="C117" s="12" t="str">
        <f t="shared" si="5"/>
        <v/>
      </c>
      <c r="D117" s="31" t="str">
        <f>IFERROR(MATCH($A117,'Match Log'!$K$3:$K$501,0)+2,"")</f>
        <v/>
      </c>
      <c r="E117" s="31" t="str">
        <f>IFERROR(MATCH($A117,'Tournament Log'!$O$4:$O$203,0)+3,"")</f>
        <v/>
      </c>
      <c r="F117" s="12" t="str">
        <f>IF(C117="","",IF(C117="Match",INDEX('Match Log'!$B:$B,D117),IF(C117="Tournament",INDEX('Tournament Log'!$C:$C,E117),INDEX('Guest Log'!$B:$B,Q117))))</f>
        <v/>
      </c>
      <c r="G117" s="12" t="str">
        <f>IF(C117="","",IF(C117="Match",INDEX('Match Log'!$C:$C,D117),IF(C117="Tournament",INDEX('Tournament Log'!$B:$B,E117)&amp;" (Phantom)",INDEX('Guest Log'!$H:$H,Q117)&amp;" (Guest)")))</f>
        <v/>
      </c>
      <c r="H117" s="32" t="str">
        <f t="array" ref="H117">IF(C117="","",IFERROR(LOOKUP(2,1/(($F$1:F116=F117)+($G$1:G116=F117)),IF($F$1:F116=F117,$N$1:N116,$O$1:O116)),1000))</f>
        <v/>
      </c>
      <c r="I117" s="12" t="str">
        <f t="array" ref="I117">IF(C117="","",IF(C117="Tournament",INDEX('Tournament Log'!$J:$J,E117),IF(C117="Guest",IF(INDEX('Guest Log'!$I:$I,Q117)="",1000,INDEX('Guest Log'!$I:$I,Q117)),IFERROR(LOOKUP(2,1/(($F$1:F116=G117)+($G$1:G116=G117)),IF($F$1:F116=G117,$N$1:N116,$O$1:O116)),1000))))</f>
        <v/>
      </c>
      <c r="J117" s="12" t="str">
        <f t="shared" si="6"/>
        <v/>
      </c>
      <c r="K117" s="12" t="str">
        <f>IF(C117="","",IF(C117="Match",IF(INDEX('Match Log'!$D:$D,D117)="Win",1,IF(INDEX('Match Log'!$D:$D,D117)="Draw",0.5,0)),IF(C117="Tournament",INDEX('Tournament Log'!$K:$K,E117),IF(INDEX('Guest Log'!$C:$C,Q117)="Win",1,IF(INDEX('Guest Log'!$C:$C,Q117)="Draw",0.5,0)))))</f>
        <v/>
      </c>
      <c r="L117" s="12" t="str">
        <f>IF(C117="","",IF(C117="Match",32,IF(C117="Tournament",MIN(32*INDEX('Tournament Log'!$D:$D,E117),96),32)))</f>
        <v/>
      </c>
      <c r="M117" s="12" t="str">
        <f t="shared" si="7"/>
        <v/>
      </c>
      <c r="N117" s="12" t="str">
        <f t="shared" si="8"/>
        <v/>
      </c>
      <c r="O117" s="12" t="str">
        <f t="shared" si="9"/>
        <v/>
      </c>
      <c r="P117" s="12" t="str">
        <f>IF(C117="Tournament",INDEX('Tournament Log'!$B:$B,E117),IF(C117="Guest","Guest: "&amp;INDEX('Guest Log'!$H:$H,Q117),""))</f>
        <v/>
      </c>
      <c r="Q117" t="str">
        <f>IFERROR(MATCH($A117,'Guest Log'!$L$4:$L$203,0)+3,"")</f>
        <v/>
      </c>
    </row>
    <row r="118" spans="1:17" ht="15" customHeight="1" x14ac:dyDescent="0.2">
      <c r="A118" s="12">
        <f>117</f>
        <v>117</v>
      </c>
      <c r="B118" s="12" t="str">
        <f>IF(C118="","",IF(C118="Match",INDEX('Match Log'!$A:$A,D118),IF(C118="Tournament",INDEX('Tournament Log'!$A:$A,E118),INDEX('Guest Log'!$A:$A,Q118))))</f>
        <v/>
      </c>
      <c r="C118" s="12" t="str">
        <f t="shared" si="5"/>
        <v/>
      </c>
      <c r="D118" s="31" t="str">
        <f>IFERROR(MATCH($A118,'Match Log'!$K$3:$K$501,0)+2,"")</f>
        <v/>
      </c>
      <c r="E118" s="31" t="str">
        <f>IFERROR(MATCH($A118,'Tournament Log'!$O$4:$O$203,0)+3,"")</f>
        <v/>
      </c>
      <c r="F118" s="12" t="str">
        <f>IF(C118="","",IF(C118="Match",INDEX('Match Log'!$B:$B,D118),IF(C118="Tournament",INDEX('Tournament Log'!$C:$C,E118),INDEX('Guest Log'!$B:$B,Q118))))</f>
        <v/>
      </c>
      <c r="G118" s="12" t="str">
        <f>IF(C118="","",IF(C118="Match",INDEX('Match Log'!$C:$C,D118),IF(C118="Tournament",INDEX('Tournament Log'!$B:$B,E118)&amp;" (Phantom)",INDEX('Guest Log'!$H:$H,Q118)&amp;" (Guest)")))</f>
        <v/>
      </c>
      <c r="H118" s="32" t="str">
        <f t="array" ref="H118">IF(C118="","",IFERROR(LOOKUP(2,1/(($F$1:F117=F118)+($G$1:G117=F118)),IF($F$1:F117=F118,$N$1:N117,$O$1:O117)),1000))</f>
        <v/>
      </c>
      <c r="I118" s="12" t="str">
        <f t="array" ref="I118">IF(C118="","",IF(C118="Tournament",INDEX('Tournament Log'!$J:$J,E118),IF(C118="Guest",IF(INDEX('Guest Log'!$I:$I,Q118)="",1000,INDEX('Guest Log'!$I:$I,Q118)),IFERROR(LOOKUP(2,1/(($F$1:F117=G118)+($G$1:G117=G118)),IF($F$1:F117=G118,$N$1:N117,$O$1:O117)),1000))))</f>
        <v/>
      </c>
      <c r="J118" s="12" t="str">
        <f t="shared" si="6"/>
        <v/>
      </c>
      <c r="K118" s="12" t="str">
        <f>IF(C118="","",IF(C118="Match",IF(INDEX('Match Log'!$D:$D,D118)="Win",1,IF(INDEX('Match Log'!$D:$D,D118)="Draw",0.5,0)),IF(C118="Tournament",INDEX('Tournament Log'!$K:$K,E118),IF(INDEX('Guest Log'!$C:$C,Q118)="Win",1,IF(INDEX('Guest Log'!$C:$C,Q118)="Draw",0.5,0)))))</f>
        <v/>
      </c>
      <c r="L118" s="12" t="str">
        <f>IF(C118="","",IF(C118="Match",32,IF(C118="Tournament",MIN(32*INDEX('Tournament Log'!$D:$D,E118),96),32)))</f>
        <v/>
      </c>
      <c r="M118" s="12" t="str">
        <f t="shared" si="7"/>
        <v/>
      </c>
      <c r="N118" s="12" t="str">
        <f t="shared" si="8"/>
        <v/>
      </c>
      <c r="O118" s="12" t="str">
        <f t="shared" si="9"/>
        <v/>
      </c>
      <c r="P118" s="12" t="str">
        <f>IF(C118="Tournament",INDEX('Tournament Log'!$B:$B,E118),IF(C118="Guest","Guest: "&amp;INDEX('Guest Log'!$H:$H,Q118),""))</f>
        <v/>
      </c>
      <c r="Q118" t="str">
        <f>IFERROR(MATCH($A118,'Guest Log'!$L$4:$L$203,0)+3,"")</f>
        <v/>
      </c>
    </row>
    <row r="119" spans="1:17" ht="15" customHeight="1" x14ac:dyDescent="0.2">
      <c r="A119" s="12">
        <f>118</f>
        <v>118</v>
      </c>
      <c r="B119" s="12" t="str">
        <f>IF(C119="","",IF(C119="Match",INDEX('Match Log'!$A:$A,D119),IF(C119="Tournament",INDEX('Tournament Log'!$A:$A,E119),INDEX('Guest Log'!$A:$A,Q119))))</f>
        <v/>
      </c>
      <c r="C119" s="12" t="str">
        <f t="shared" si="5"/>
        <v/>
      </c>
      <c r="D119" s="31" t="str">
        <f>IFERROR(MATCH($A119,'Match Log'!$K$3:$K$501,0)+2,"")</f>
        <v/>
      </c>
      <c r="E119" s="31" t="str">
        <f>IFERROR(MATCH($A119,'Tournament Log'!$O$4:$O$203,0)+3,"")</f>
        <v/>
      </c>
      <c r="F119" s="12" t="str">
        <f>IF(C119="","",IF(C119="Match",INDEX('Match Log'!$B:$B,D119),IF(C119="Tournament",INDEX('Tournament Log'!$C:$C,E119),INDEX('Guest Log'!$B:$B,Q119))))</f>
        <v/>
      </c>
      <c r="G119" s="12" t="str">
        <f>IF(C119="","",IF(C119="Match",INDEX('Match Log'!$C:$C,D119),IF(C119="Tournament",INDEX('Tournament Log'!$B:$B,E119)&amp;" (Phantom)",INDEX('Guest Log'!$H:$H,Q119)&amp;" (Guest)")))</f>
        <v/>
      </c>
      <c r="H119" s="32" t="str">
        <f t="array" ref="H119">IF(C119="","",IFERROR(LOOKUP(2,1/(($F$1:F118=F119)+($G$1:G118=F119)),IF($F$1:F118=F119,$N$1:N118,$O$1:O118)),1000))</f>
        <v/>
      </c>
      <c r="I119" s="12" t="str">
        <f t="array" ref="I119">IF(C119="","",IF(C119="Tournament",INDEX('Tournament Log'!$J:$J,E119),IF(C119="Guest",IF(INDEX('Guest Log'!$I:$I,Q119)="",1000,INDEX('Guest Log'!$I:$I,Q119)),IFERROR(LOOKUP(2,1/(($F$1:F118=G119)+($G$1:G118=G119)),IF($F$1:F118=G119,$N$1:N118,$O$1:O118)),1000))))</f>
        <v/>
      </c>
      <c r="J119" s="12" t="str">
        <f t="shared" si="6"/>
        <v/>
      </c>
      <c r="K119" s="12" t="str">
        <f>IF(C119="","",IF(C119="Match",IF(INDEX('Match Log'!$D:$D,D119)="Win",1,IF(INDEX('Match Log'!$D:$D,D119)="Draw",0.5,0)),IF(C119="Tournament",INDEX('Tournament Log'!$K:$K,E119),IF(INDEX('Guest Log'!$C:$C,Q119)="Win",1,IF(INDEX('Guest Log'!$C:$C,Q119)="Draw",0.5,0)))))</f>
        <v/>
      </c>
      <c r="L119" s="12" t="str">
        <f>IF(C119="","",IF(C119="Match",32,IF(C119="Tournament",MIN(32*INDEX('Tournament Log'!$D:$D,E119),96),32)))</f>
        <v/>
      </c>
      <c r="M119" s="12" t="str">
        <f t="shared" si="7"/>
        <v/>
      </c>
      <c r="N119" s="12" t="str">
        <f t="shared" si="8"/>
        <v/>
      </c>
      <c r="O119" s="12" t="str">
        <f t="shared" si="9"/>
        <v/>
      </c>
      <c r="P119" s="12" t="str">
        <f>IF(C119="Tournament",INDEX('Tournament Log'!$B:$B,E119),IF(C119="Guest","Guest: "&amp;INDEX('Guest Log'!$H:$H,Q119),""))</f>
        <v/>
      </c>
      <c r="Q119" t="str">
        <f>IFERROR(MATCH($A119,'Guest Log'!$L$4:$L$203,0)+3,"")</f>
        <v/>
      </c>
    </row>
    <row r="120" spans="1:17" ht="15" customHeight="1" x14ac:dyDescent="0.2">
      <c r="A120" s="12">
        <f>119</f>
        <v>119</v>
      </c>
      <c r="B120" s="12" t="str">
        <f>IF(C120="","",IF(C120="Match",INDEX('Match Log'!$A:$A,D120),IF(C120="Tournament",INDEX('Tournament Log'!$A:$A,E120),INDEX('Guest Log'!$A:$A,Q120))))</f>
        <v/>
      </c>
      <c r="C120" s="12" t="str">
        <f t="shared" si="5"/>
        <v/>
      </c>
      <c r="D120" s="31" t="str">
        <f>IFERROR(MATCH($A120,'Match Log'!$K$3:$K$501,0)+2,"")</f>
        <v/>
      </c>
      <c r="E120" s="31" t="str">
        <f>IFERROR(MATCH($A120,'Tournament Log'!$O$4:$O$203,0)+3,"")</f>
        <v/>
      </c>
      <c r="F120" s="12" t="str">
        <f>IF(C120="","",IF(C120="Match",INDEX('Match Log'!$B:$B,D120),IF(C120="Tournament",INDEX('Tournament Log'!$C:$C,E120),INDEX('Guest Log'!$B:$B,Q120))))</f>
        <v/>
      </c>
      <c r="G120" s="12" t="str">
        <f>IF(C120="","",IF(C120="Match",INDEX('Match Log'!$C:$C,D120),IF(C120="Tournament",INDEX('Tournament Log'!$B:$B,E120)&amp;" (Phantom)",INDEX('Guest Log'!$H:$H,Q120)&amp;" (Guest)")))</f>
        <v/>
      </c>
      <c r="H120" s="32" t="str">
        <f t="array" ref="H120">IF(C120="","",IFERROR(LOOKUP(2,1/(($F$1:F119=F120)+($G$1:G119=F120)),IF($F$1:F119=F120,$N$1:N119,$O$1:O119)),1000))</f>
        <v/>
      </c>
      <c r="I120" s="12" t="str">
        <f t="array" ref="I120">IF(C120="","",IF(C120="Tournament",INDEX('Tournament Log'!$J:$J,E120),IF(C120="Guest",IF(INDEX('Guest Log'!$I:$I,Q120)="",1000,INDEX('Guest Log'!$I:$I,Q120)),IFERROR(LOOKUP(2,1/(($F$1:F119=G120)+($G$1:G119=G120)),IF($F$1:F119=G120,$N$1:N119,$O$1:O119)),1000))))</f>
        <v/>
      </c>
      <c r="J120" s="12" t="str">
        <f t="shared" si="6"/>
        <v/>
      </c>
      <c r="K120" s="12" t="str">
        <f>IF(C120="","",IF(C120="Match",IF(INDEX('Match Log'!$D:$D,D120)="Win",1,IF(INDEX('Match Log'!$D:$D,D120)="Draw",0.5,0)),IF(C120="Tournament",INDEX('Tournament Log'!$K:$K,E120),IF(INDEX('Guest Log'!$C:$C,Q120)="Win",1,IF(INDEX('Guest Log'!$C:$C,Q120)="Draw",0.5,0)))))</f>
        <v/>
      </c>
      <c r="L120" s="12" t="str">
        <f>IF(C120="","",IF(C120="Match",32,IF(C120="Tournament",MIN(32*INDEX('Tournament Log'!$D:$D,E120),96),32)))</f>
        <v/>
      </c>
      <c r="M120" s="12" t="str">
        <f t="shared" si="7"/>
        <v/>
      </c>
      <c r="N120" s="12" t="str">
        <f t="shared" si="8"/>
        <v/>
      </c>
      <c r="O120" s="12" t="str">
        <f t="shared" si="9"/>
        <v/>
      </c>
      <c r="P120" s="12" t="str">
        <f>IF(C120="Tournament",INDEX('Tournament Log'!$B:$B,E120),IF(C120="Guest","Guest: "&amp;INDEX('Guest Log'!$H:$H,Q120),""))</f>
        <v/>
      </c>
      <c r="Q120" t="str">
        <f>IFERROR(MATCH($A120,'Guest Log'!$L$4:$L$203,0)+3,"")</f>
        <v/>
      </c>
    </row>
    <row r="121" spans="1:17" ht="15" customHeight="1" x14ac:dyDescent="0.2">
      <c r="A121" s="12">
        <f>120</f>
        <v>120</v>
      </c>
      <c r="B121" s="12" t="str">
        <f>IF(C121="","",IF(C121="Match",INDEX('Match Log'!$A:$A,D121),IF(C121="Tournament",INDEX('Tournament Log'!$A:$A,E121),INDEX('Guest Log'!$A:$A,Q121))))</f>
        <v/>
      </c>
      <c r="C121" s="12" t="str">
        <f t="shared" si="5"/>
        <v/>
      </c>
      <c r="D121" s="31" t="str">
        <f>IFERROR(MATCH($A121,'Match Log'!$K$3:$K$501,0)+2,"")</f>
        <v/>
      </c>
      <c r="E121" s="31" t="str">
        <f>IFERROR(MATCH($A121,'Tournament Log'!$O$4:$O$203,0)+3,"")</f>
        <v/>
      </c>
      <c r="F121" s="12" t="str">
        <f>IF(C121="","",IF(C121="Match",INDEX('Match Log'!$B:$B,D121),IF(C121="Tournament",INDEX('Tournament Log'!$C:$C,E121),INDEX('Guest Log'!$B:$B,Q121))))</f>
        <v/>
      </c>
      <c r="G121" s="12" t="str">
        <f>IF(C121="","",IF(C121="Match",INDEX('Match Log'!$C:$C,D121),IF(C121="Tournament",INDEX('Tournament Log'!$B:$B,E121)&amp;" (Phantom)",INDEX('Guest Log'!$H:$H,Q121)&amp;" (Guest)")))</f>
        <v/>
      </c>
      <c r="H121" s="32" t="str">
        <f t="array" ref="H121">IF(C121="","",IFERROR(LOOKUP(2,1/(($F$1:F120=F121)+($G$1:G120=F121)),IF($F$1:F120=F121,$N$1:N120,$O$1:O120)),1000))</f>
        <v/>
      </c>
      <c r="I121" s="12" t="str">
        <f t="array" ref="I121">IF(C121="","",IF(C121="Tournament",INDEX('Tournament Log'!$J:$J,E121),IF(C121="Guest",IF(INDEX('Guest Log'!$I:$I,Q121)="",1000,INDEX('Guest Log'!$I:$I,Q121)),IFERROR(LOOKUP(2,1/(($F$1:F120=G121)+($G$1:G120=G121)),IF($F$1:F120=G121,$N$1:N120,$O$1:O120)),1000))))</f>
        <v/>
      </c>
      <c r="J121" s="12" t="str">
        <f t="shared" si="6"/>
        <v/>
      </c>
      <c r="K121" s="12" t="str">
        <f>IF(C121="","",IF(C121="Match",IF(INDEX('Match Log'!$D:$D,D121)="Win",1,IF(INDEX('Match Log'!$D:$D,D121)="Draw",0.5,0)),IF(C121="Tournament",INDEX('Tournament Log'!$K:$K,E121),IF(INDEX('Guest Log'!$C:$C,Q121)="Win",1,IF(INDEX('Guest Log'!$C:$C,Q121)="Draw",0.5,0)))))</f>
        <v/>
      </c>
      <c r="L121" s="12" t="str">
        <f>IF(C121="","",IF(C121="Match",32,IF(C121="Tournament",MIN(32*INDEX('Tournament Log'!$D:$D,E121),96),32)))</f>
        <v/>
      </c>
      <c r="M121" s="12" t="str">
        <f t="shared" si="7"/>
        <v/>
      </c>
      <c r="N121" s="12" t="str">
        <f t="shared" si="8"/>
        <v/>
      </c>
      <c r="O121" s="12" t="str">
        <f t="shared" si="9"/>
        <v/>
      </c>
      <c r="P121" s="12" t="str">
        <f>IF(C121="Tournament",INDEX('Tournament Log'!$B:$B,E121),IF(C121="Guest","Guest: "&amp;INDEX('Guest Log'!$H:$H,Q121),""))</f>
        <v/>
      </c>
      <c r="Q121" t="str">
        <f>IFERROR(MATCH($A121,'Guest Log'!$L$4:$L$203,0)+3,"")</f>
        <v/>
      </c>
    </row>
    <row r="122" spans="1:17" ht="15" customHeight="1" x14ac:dyDescent="0.2">
      <c r="A122" s="12">
        <f>121</f>
        <v>121</v>
      </c>
      <c r="B122" s="12" t="str">
        <f>IF(C122="","",IF(C122="Match",INDEX('Match Log'!$A:$A,D122),IF(C122="Tournament",INDEX('Tournament Log'!$A:$A,E122),INDEX('Guest Log'!$A:$A,Q122))))</f>
        <v/>
      </c>
      <c r="C122" s="12" t="str">
        <f t="shared" si="5"/>
        <v/>
      </c>
      <c r="D122" s="31" t="str">
        <f>IFERROR(MATCH($A122,'Match Log'!$K$3:$K$501,0)+2,"")</f>
        <v/>
      </c>
      <c r="E122" s="31" t="str">
        <f>IFERROR(MATCH($A122,'Tournament Log'!$O$4:$O$203,0)+3,"")</f>
        <v/>
      </c>
      <c r="F122" s="12" t="str">
        <f>IF(C122="","",IF(C122="Match",INDEX('Match Log'!$B:$B,D122),IF(C122="Tournament",INDEX('Tournament Log'!$C:$C,E122),INDEX('Guest Log'!$B:$B,Q122))))</f>
        <v/>
      </c>
      <c r="G122" s="12" t="str">
        <f>IF(C122="","",IF(C122="Match",INDEX('Match Log'!$C:$C,D122),IF(C122="Tournament",INDEX('Tournament Log'!$B:$B,E122)&amp;" (Phantom)",INDEX('Guest Log'!$H:$H,Q122)&amp;" (Guest)")))</f>
        <v/>
      </c>
      <c r="H122" s="32" t="str">
        <f t="array" ref="H122">IF(C122="","",IFERROR(LOOKUP(2,1/(($F$1:F121=F122)+($G$1:G121=F122)),IF($F$1:F121=F122,$N$1:N121,$O$1:O121)),1000))</f>
        <v/>
      </c>
      <c r="I122" s="12" t="str">
        <f t="array" ref="I122">IF(C122="","",IF(C122="Tournament",INDEX('Tournament Log'!$J:$J,E122),IF(C122="Guest",IF(INDEX('Guest Log'!$I:$I,Q122)="",1000,INDEX('Guest Log'!$I:$I,Q122)),IFERROR(LOOKUP(2,1/(($F$1:F121=G122)+($G$1:G121=G122)),IF($F$1:F121=G122,$N$1:N121,$O$1:O121)),1000))))</f>
        <v/>
      </c>
      <c r="J122" s="12" t="str">
        <f t="shared" si="6"/>
        <v/>
      </c>
      <c r="K122" s="12" t="str">
        <f>IF(C122="","",IF(C122="Match",IF(INDEX('Match Log'!$D:$D,D122)="Win",1,IF(INDEX('Match Log'!$D:$D,D122)="Draw",0.5,0)),IF(C122="Tournament",INDEX('Tournament Log'!$K:$K,E122),IF(INDEX('Guest Log'!$C:$C,Q122)="Win",1,IF(INDEX('Guest Log'!$C:$C,Q122)="Draw",0.5,0)))))</f>
        <v/>
      </c>
      <c r="L122" s="12" t="str">
        <f>IF(C122="","",IF(C122="Match",32,IF(C122="Tournament",MIN(32*INDEX('Tournament Log'!$D:$D,E122),96),32)))</f>
        <v/>
      </c>
      <c r="M122" s="12" t="str">
        <f t="shared" si="7"/>
        <v/>
      </c>
      <c r="N122" s="12" t="str">
        <f t="shared" si="8"/>
        <v/>
      </c>
      <c r="O122" s="12" t="str">
        <f t="shared" si="9"/>
        <v/>
      </c>
      <c r="P122" s="12" t="str">
        <f>IF(C122="Tournament",INDEX('Tournament Log'!$B:$B,E122),IF(C122="Guest","Guest: "&amp;INDEX('Guest Log'!$H:$H,Q122),""))</f>
        <v/>
      </c>
      <c r="Q122" t="str">
        <f>IFERROR(MATCH($A122,'Guest Log'!$L$4:$L$203,0)+3,"")</f>
        <v/>
      </c>
    </row>
    <row r="123" spans="1:17" ht="15" customHeight="1" x14ac:dyDescent="0.2">
      <c r="A123" s="12">
        <f>122</f>
        <v>122</v>
      </c>
      <c r="B123" s="12" t="str">
        <f>IF(C123="","",IF(C123="Match",INDEX('Match Log'!$A:$A,D123),IF(C123="Tournament",INDEX('Tournament Log'!$A:$A,E123),INDEX('Guest Log'!$A:$A,Q123))))</f>
        <v/>
      </c>
      <c r="C123" s="12" t="str">
        <f t="shared" si="5"/>
        <v/>
      </c>
      <c r="D123" s="31" t="str">
        <f>IFERROR(MATCH($A123,'Match Log'!$K$3:$K$501,0)+2,"")</f>
        <v/>
      </c>
      <c r="E123" s="31" t="str">
        <f>IFERROR(MATCH($A123,'Tournament Log'!$O$4:$O$203,0)+3,"")</f>
        <v/>
      </c>
      <c r="F123" s="12" t="str">
        <f>IF(C123="","",IF(C123="Match",INDEX('Match Log'!$B:$B,D123),IF(C123="Tournament",INDEX('Tournament Log'!$C:$C,E123),INDEX('Guest Log'!$B:$B,Q123))))</f>
        <v/>
      </c>
      <c r="G123" s="12" t="str">
        <f>IF(C123="","",IF(C123="Match",INDEX('Match Log'!$C:$C,D123),IF(C123="Tournament",INDEX('Tournament Log'!$B:$B,E123)&amp;" (Phantom)",INDEX('Guest Log'!$H:$H,Q123)&amp;" (Guest)")))</f>
        <v/>
      </c>
      <c r="H123" s="32" t="str">
        <f t="array" ref="H123">IF(C123="","",IFERROR(LOOKUP(2,1/(($F$1:F122=F123)+($G$1:G122=F123)),IF($F$1:F122=F123,$N$1:N122,$O$1:O122)),1000))</f>
        <v/>
      </c>
      <c r="I123" s="12" t="str">
        <f t="array" ref="I123">IF(C123="","",IF(C123="Tournament",INDEX('Tournament Log'!$J:$J,E123),IF(C123="Guest",IF(INDEX('Guest Log'!$I:$I,Q123)="",1000,INDEX('Guest Log'!$I:$I,Q123)),IFERROR(LOOKUP(2,1/(($F$1:F122=G123)+($G$1:G122=G123)),IF($F$1:F122=G123,$N$1:N122,$O$1:O122)),1000))))</f>
        <v/>
      </c>
      <c r="J123" s="12" t="str">
        <f t="shared" si="6"/>
        <v/>
      </c>
      <c r="K123" s="12" t="str">
        <f>IF(C123="","",IF(C123="Match",IF(INDEX('Match Log'!$D:$D,D123)="Win",1,IF(INDEX('Match Log'!$D:$D,D123)="Draw",0.5,0)),IF(C123="Tournament",INDEX('Tournament Log'!$K:$K,E123),IF(INDEX('Guest Log'!$C:$C,Q123)="Win",1,IF(INDEX('Guest Log'!$C:$C,Q123)="Draw",0.5,0)))))</f>
        <v/>
      </c>
      <c r="L123" s="12" t="str">
        <f>IF(C123="","",IF(C123="Match",32,IF(C123="Tournament",MIN(32*INDEX('Tournament Log'!$D:$D,E123),96),32)))</f>
        <v/>
      </c>
      <c r="M123" s="12" t="str">
        <f t="shared" si="7"/>
        <v/>
      </c>
      <c r="N123" s="12" t="str">
        <f t="shared" si="8"/>
        <v/>
      </c>
      <c r="O123" s="12" t="str">
        <f t="shared" si="9"/>
        <v/>
      </c>
      <c r="P123" s="12" t="str">
        <f>IF(C123="Tournament",INDEX('Tournament Log'!$B:$B,E123),IF(C123="Guest","Guest: "&amp;INDEX('Guest Log'!$H:$H,Q123),""))</f>
        <v/>
      </c>
      <c r="Q123" t="str">
        <f>IFERROR(MATCH($A123,'Guest Log'!$L$4:$L$203,0)+3,"")</f>
        <v/>
      </c>
    </row>
    <row r="124" spans="1:17" ht="15" customHeight="1" x14ac:dyDescent="0.2">
      <c r="A124" s="12">
        <f>123</f>
        <v>123</v>
      </c>
      <c r="B124" s="12" t="str">
        <f>IF(C124="","",IF(C124="Match",INDEX('Match Log'!$A:$A,D124),IF(C124="Tournament",INDEX('Tournament Log'!$A:$A,E124),INDEX('Guest Log'!$A:$A,Q124))))</f>
        <v/>
      </c>
      <c r="C124" s="12" t="str">
        <f t="shared" si="5"/>
        <v/>
      </c>
      <c r="D124" s="31" t="str">
        <f>IFERROR(MATCH($A124,'Match Log'!$K$3:$K$501,0)+2,"")</f>
        <v/>
      </c>
      <c r="E124" s="31" t="str">
        <f>IFERROR(MATCH($A124,'Tournament Log'!$O$4:$O$203,0)+3,"")</f>
        <v/>
      </c>
      <c r="F124" s="12" t="str">
        <f>IF(C124="","",IF(C124="Match",INDEX('Match Log'!$B:$B,D124),IF(C124="Tournament",INDEX('Tournament Log'!$C:$C,E124),INDEX('Guest Log'!$B:$B,Q124))))</f>
        <v/>
      </c>
      <c r="G124" s="12" t="str">
        <f>IF(C124="","",IF(C124="Match",INDEX('Match Log'!$C:$C,D124),IF(C124="Tournament",INDEX('Tournament Log'!$B:$B,E124)&amp;" (Phantom)",INDEX('Guest Log'!$H:$H,Q124)&amp;" (Guest)")))</f>
        <v/>
      </c>
      <c r="H124" s="32" t="str">
        <f t="array" ref="H124">IF(C124="","",IFERROR(LOOKUP(2,1/(($F$1:F123=F124)+($G$1:G123=F124)),IF($F$1:F123=F124,$N$1:N123,$O$1:O123)),1000))</f>
        <v/>
      </c>
      <c r="I124" s="12" t="str">
        <f t="array" ref="I124">IF(C124="","",IF(C124="Tournament",INDEX('Tournament Log'!$J:$J,E124),IF(C124="Guest",IF(INDEX('Guest Log'!$I:$I,Q124)="",1000,INDEX('Guest Log'!$I:$I,Q124)),IFERROR(LOOKUP(2,1/(($F$1:F123=G124)+($G$1:G123=G124)),IF($F$1:F123=G124,$N$1:N123,$O$1:O123)),1000))))</f>
        <v/>
      </c>
      <c r="J124" s="12" t="str">
        <f t="shared" si="6"/>
        <v/>
      </c>
      <c r="K124" s="12" t="str">
        <f>IF(C124="","",IF(C124="Match",IF(INDEX('Match Log'!$D:$D,D124)="Win",1,IF(INDEX('Match Log'!$D:$D,D124)="Draw",0.5,0)),IF(C124="Tournament",INDEX('Tournament Log'!$K:$K,E124),IF(INDEX('Guest Log'!$C:$C,Q124)="Win",1,IF(INDEX('Guest Log'!$C:$C,Q124)="Draw",0.5,0)))))</f>
        <v/>
      </c>
      <c r="L124" s="12" t="str">
        <f>IF(C124="","",IF(C124="Match",32,IF(C124="Tournament",MIN(32*INDEX('Tournament Log'!$D:$D,E124),96),32)))</f>
        <v/>
      </c>
      <c r="M124" s="12" t="str">
        <f t="shared" si="7"/>
        <v/>
      </c>
      <c r="N124" s="12" t="str">
        <f t="shared" si="8"/>
        <v/>
      </c>
      <c r="O124" s="12" t="str">
        <f t="shared" si="9"/>
        <v/>
      </c>
      <c r="P124" s="12" t="str">
        <f>IF(C124="Tournament",INDEX('Tournament Log'!$B:$B,E124),IF(C124="Guest","Guest: "&amp;INDEX('Guest Log'!$H:$H,Q124),""))</f>
        <v/>
      </c>
      <c r="Q124" t="str">
        <f>IFERROR(MATCH($A124,'Guest Log'!$L$4:$L$203,0)+3,"")</f>
        <v/>
      </c>
    </row>
    <row r="125" spans="1:17" ht="15" customHeight="1" x14ac:dyDescent="0.2">
      <c r="A125" s="12">
        <f>124</f>
        <v>124</v>
      </c>
      <c r="B125" s="12" t="str">
        <f>IF(C125="","",IF(C125="Match",INDEX('Match Log'!$A:$A,D125),IF(C125="Tournament",INDEX('Tournament Log'!$A:$A,E125),INDEX('Guest Log'!$A:$A,Q125))))</f>
        <v/>
      </c>
      <c r="C125" s="12" t="str">
        <f t="shared" si="5"/>
        <v/>
      </c>
      <c r="D125" s="31" t="str">
        <f>IFERROR(MATCH($A125,'Match Log'!$K$3:$K$501,0)+2,"")</f>
        <v/>
      </c>
      <c r="E125" s="31" t="str">
        <f>IFERROR(MATCH($A125,'Tournament Log'!$O$4:$O$203,0)+3,"")</f>
        <v/>
      </c>
      <c r="F125" s="12" t="str">
        <f>IF(C125="","",IF(C125="Match",INDEX('Match Log'!$B:$B,D125),IF(C125="Tournament",INDEX('Tournament Log'!$C:$C,E125),INDEX('Guest Log'!$B:$B,Q125))))</f>
        <v/>
      </c>
      <c r="G125" s="12" t="str">
        <f>IF(C125="","",IF(C125="Match",INDEX('Match Log'!$C:$C,D125),IF(C125="Tournament",INDEX('Tournament Log'!$B:$B,E125)&amp;" (Phantom)",INDEX('Guest Log'!$H:$H,Q125)&amp;" (Guest)")))</f>
        <v/>
      </c>
      <c r="H125" s="32" t="str">
        <f t="array" ref="H125">IF(C125="","",IFERROR(LOOKUP(2,1/(($F$1:F124=F125)+($G$1:G124=F125)),IF($F$1:F124=F125,$N$1:N124,$O$1:O124)),1000))</f>
        <v/>
      </c>
      <c r="I125" s="12" t="str">
        <f t="array" ref="I125">IF(C125="","",IF(C125="Tournament",INDEX('Tournament Log'!$J:$J,E125),IF(C125="Guest",IF(INDEX('Guest Log'!$I:$I,Q125)="",1000,INDEX('Guest Log'!$I:$I,Q125)),IFERROR(LOOKUP(2,1/(($F$1:F124=G125)+($G$1:G124=G125)),IF($F$1:F124=G125,$N$1:N124,$O$1:O124)),1000))))</f>
        <v/>
      </c>
      <c r="J125" s="12" t="str">
        <f t="shared" si="6"/>
        <v/>
      </c>
      <c r="K125" s="12" t="str">
        <f>IF(C125="","",IF(C125="Match",IF(INDEX('Match Log'!$D:$D,D125)="Win",1,IF(INDEX('Match Log'!$D:$D,D125)="Draw",0.5,0)),IF(C125="Tournament",INDEX('Tournament Log'!$K:$K,E125),IF(INDEX('Guest Log'!$C:$C,Q125)="Win",1,IF(INDEX('Guest Log'!$C:$C,Q125)="Draw",0.5,0)))))</f>
        <v/>
      </c>
      <c r="L125" s="12" t="str">
        <f>IF(C125="","",IF(C125="Match",32,IF(C125="Tournament",MIN(32*INDEX('Tournament Log'!$D:$D,E125),96),32)))</f>
        <v/>
      </c>
      <c r="M125" s="12" t="str">
        <f t="shared" si="7"/>
        <v/>
      </c>
      <c r="N125" s="12" t="str">
        <f t="shared" si="8"/>
        <v/>
      </c>
      <c r="O125" s="12" t="str">
        <f t="shared" si="9"/>
        <v/>
      </c>
      <c r="P125" s="12" t="str">
        <f>IF(C125="Tournament",INDEX('Tournament Log'!$B:$B,E125),IF(C125="Guest","Guest: "&amp;INDEX('Guest Log'!$H:$H,Q125),""))</f>
        <v/>
      </c>
      <c r="Q125" t="str">
        <f>IFERROR(MATCH($A125,'Guest Log'!$L$4:$L$203,0)+3,"")</f>
        <v/>
      </c>
    </row>
    <row r="126" spans="1:17" ht="15" customHeight="1" x14ac:dyDescent="0.2">
      <c r="A126" s="12">
        <f>125</f>
        <v>125</v>
      </c>
      <c r="B126" s="12" t="str">
        <f>IF(C126="","",IF(C126="Match",INDEX('Match Log'!$A:$A,D126),IF(C126="Tournament",INDEX('Tournament Log'!$A:$A,E126),INDEX('Guest Log'!$A:$A,Q126))))</f>
        <v/>
      </c>
      <c r="C126" s="12" t="str">
        <f t="shared" si="5"/>
        <v/>
      </c>
      <c r="D126" s="31" t="str">
        <f>IFERROR(MATCH($A126,'Match Log'!$K$3:$K$501,0)+2,"")</f>
        <v/>
      </c>
      <c r="E126" s="31" t="str">
        <f>IFERROR(MATCH($A126,'Tournament Log'!$O$4:$O$203,0)+3,"")</f>
        <v/>
      </c>
      <c r="F126" s="12" t="str">
        <f>IF(C126="","",IF(C126="Match",INDEX('Match Log'!$B:$B,D126),IF(C126="Tournament",INDEX('Tournament Log'!$C:$C,E126),INDEX('Guest Log'!$B:$B,Q126))))</f>
        <v/>
      </c>
      <c r="G126" s="12" t="str">
        <f>IF(C126="","",IF(C126="Match",INDEX('Match Log'!$C:$C,D126),IF(C126="Tournament",INDEX('Tournament Log'!$B:$B,E126)&amp;" (Phantom)",INDEX('Guest Log'!$H:$H,Q126)&amp;" (Guest)")))</f>
        <v/>
      </c>
      <c r="H126" s="32" t="str">
        <f t="array" ref="H126">IF(C126="","",IFERROR(LOOKUP(2,1/(($F$1:F125=F126)+($G$1:G125=F126)),IF($F$1:F125=F126,$N$1:N125,$O$1:O125)),1000))</f>
        <v/>
      </c>
      <c r="I126" s="12" t="str">
        <f t="array" ref="I126">IF(C126="","",IF(C126="Tournament",INDEX('Tournament Log'!$J:$J,E126),IF(C126="Guest",IF(INDEX('Guest Log'!$I:$I,Q126)="",1000,INDEX('Guest Log'!$I:$I,Q126)),IFERROR(LOOKUP(2,1/(($F$1:F125=G126)+($G$1:G125=G126)),IF($F$1:F125=G126,$N$1:N125,$O$1:O125)),1000))))</f>
        <v/>
      </c>
      <c r="J126" s="12" t="str">
        <f t="shared" si="6"/>
        <v/>
      </c>
      <c r="K126" s="12" t="str">
        <f>IF(C126="","",IF(C126="Match",IF(INDEX('Match Log'!$D:$D,D126)="Win",1,IF(INDEX('Match Log'!$D:$D,D126)="Draw",0.5,0)),IF(C126="Tournament",INDEX('Tournament Log'!$K:$K,E126),IF(INDEX('Guest Log'!$C:$C,Q126)="Win",1,IF(INDEX('Guest Log'!$C:$C,Q126)="Draw",0.5,0)))))</f>
        <v/>
      </c>
      <c r="L126" s="12" t="str">
        <f>IF(C126="","",IF(C126="Match",32,IF(C126="Tournament",MIN(32*INDEX('Tournament Log'!$D:$D,E126),96),32)))</f>
        <v/>
      </c>
      <c r="M126" s="12" t="str">
        <f t="shared" si="7"/>
        <v/>
      </c>
      <c r="N126" s="12" t="str">
        <f t="shared" si="8"/>
        <v/>
      </c>
      <c r="O126" s="12" t="str">
        <f t="shared" si="9"/>
        <v/>
      </c>
      <c r="P126" s="12" t="str">
        <f>IF(C126="Tournament",INDEX('Tournament Log'!$B:$B,E126),IF(C126="Guest","Guest: "&amp;INDEX('Guest Log'!$H:$H,Q126),""))</f>
        <v/>
      </c>
      <c r="Q126" t="str">
        <f>IFERROR(MATCH($A126,'Guest Log'!$L$4:$L$203,0)+3,"")</f>
        <v/>
      </c>
    </row>
    <row r="127" spans="1:17" ht="15" customHeight="1" x14ac:dyDescent="0.2">
      <c r="A127" s="12">
        <f>126</f>
        <v>126</v>
      </c>
      <c r="B127" s="12" t="str">
        <f>IF(C127="","",IF(C127="Match",INDEX('Match Log'!$A:$A,D127),IF(C127="Tournament",INDEX('Tournament Log'!$A:$A,E127),INDEX('Guest Log'!$A:$A,Q127))))</f>
        <v/>
      </c>
      <c r="C127" s="12" t="str">
        <f t="shared" si="5"/>
        <v/>
      </c>
      <c r="D127" s="31" t="str">
        <f>IFERROR(MATCH($A127,'Match Log'!$K$3:$K$501,0)+2,"")</f>
        <v/>
      </c>
      <c r="E127" s="31" t="str">
        <f>IFERROR(MATCH($A127,'Tournament Log'!$O$4:$O$203,0)+3,"")</f>
        <v/>
      </c>
      <c r="F127" s="12" t="str">
        <f>IF(C127="","",IF(C127="Match",INDEX('Match Log'!$B:$B,D127),IF(C127="Tournament",INDEX('Tournament Log'!$C:$C,E127),INDEX('Guest Log'!$B:$B,Q127))))</f>
        <v/>
      </c>
      <c r="G127" s="12" t="str">
        <f>IF(C127="","",IF(C127="Match",INDEX('Match Log'!$C:$C,D127),IF(C127="Tournament",INDEX('Tournament Log'!$B:$B,E127)&amp;" (Phantom)",INDEX('Guest Log'!$H:$H,Q127)&amp;" (Guest)")))</f>
        <v/>
      </c>
      <c r="H127" s="32" t="str">
        <f t="array" ref="H127">IF(C127="","",IFERROR(LOOKUP(2,1/(($F$1:F126=F127)+($G$1:G126=F127)),IF($F$1:F126=F127,$N$1:N126,$O$1:O126)),1000))</f>
        <v/>
      </c>
      <c r="I127" s="12" t="str">
        <f t="array" ref="I127">IF(C127="","",IF(C127="Tournament",INDEX('Tournament Log'!$J:$J,E127),IF(C127="Guest",IF(INDEX('Guest Log'!$I:$I,Q127)="",1000,INDEX('Guest Log'!$I:$I,Q127)),IFERROR(LOOKUP(2,1/(($F$1:F126=G127)+($G$1:G126=G127)),IF($F$1:F126=G127,$N$1:N126,$O$1:O126)),1000))))</f>
        <v/>
      </c>
      <c r="J127" s="12" t="str">
        <f t="shared" si="6"/>
        <v/>
      </c>
      <c r="K127" s="12" t="str">
        <f>IF(C127="","",IF(C127="Match",IF(INDEX('Match Log'!$D:$D,D127)="Win",1,IF(INDEX('Match Log'!$D:$D,D127)="Draw",0.5,0)),IF(C127="Tournament",INDEX('Tournament Log'!$K:$K,E127),IF(INDEX('Guest Log'!$C:$C,Q127)="Win",1,IF(INDEX('Guest Log'!$C:$C,Q127)="Draw",0.5,0)))))</f>
        <v/>
      </c>
      <c r="L127" s="12" t="str">
        <f>IF(C127="","",IF(C127="Match",32,IF(C127="Tournament",MIN(32*INDEX('Tournament Log'!$D:$D,E127),96),32)))</f>
        <v/>
      </c>
      <c r="M127" s="12" t="str">
        <f t="shared" si="7"/>
        <v/>
      </c>
      <c r="N127" s="12" t="str">
        <f t="shared" si="8"/>
        <v/>
      </c>
      <c r="O127" s="12" t="str">
        <f t="shared" si="9"/>
        <v/>
      </c>
      <c r="P127" s="12" t="str">
        <f>IF(C127="Tournament",INDEX('Tournament Log'!$B:$B,E127),IF(C127="Guest","Guest: "&amp;INDEX('Guest Log'!$H:$H,Q127),""))</f>
        <v/>
      </c>
      <c r="Q127" t="str">
        <f>IFERROR(MATCH($A127,'Guest Log'!$L$4:$L$203,0)+3,"")</f>
        <v/>
      </c>
    </row>
    <row r="128" spans="1:17" ht="15" customHeight="1" x14ac:dyDescent="0.2">
      <c r="A128" s="12">
        <f>127</f>
        <v>127</v>
      </c>
      <c r="B128" s="12" t="str">
        <f>IF(C128="","",IF(C128="Match",INDEX('Match Log'!$A:$A,D128),IF(C128="Tournament",INDEX('Tournament Log'!$A:$A,E128),INDEX('Guest Log'!$A:$A,Q128))))</f>
        <v/>
      </c>
      <c r="C128" s="12" t="str">
        <f t="shared" si="5"/>
        <v/>
      </c>
      <c r="D128" s="31" t="str">
        <f>IFERROR(MATCH($A128,'Match Log'!$K$3:$K$501,0)+2,"")</f>
        <v/>
      </c>
      <c r="E128" s="31" t="str">
        <f>IFERROR(MATCH($A128,'Tournament Log'!$O$4:$O$203,0)+3,"")</f>
        <v/>
      </c>
      <c r="F128" s="12" t="str">
        <f>IF(C128="","",IF(C128="Match",INDEX('Match Log'!$B:$B,D128),IF(C128="Tournament",INDEX('Tournament Log'!$C:$C,E128),INDEX('Guest Log'!$B:$B,Q128))))</f>
        <v/>
      </c>
      <c r="G128" s="12" t="str">
        <f>IF(C128="","",IF(C128="Match",INDEX('Match Log'!$C:$C,D128),IF(C128="Tournament",INDEX('Tournament Log'!$B:$B,E128)&amp;" (Phantom)",INDEX('Guest Log'!$H:$H,Q128)&amp;" (Guest)")))</f>
        <v/>
      </c>
      <c r="H128" s="32" t="str">
        <f t="array" ref="H128">IF(C128="","",IFERROR(LOOKUP(2,1/(($F$1:F127=F128)+($G$1:G127=F128)),IF($F$1:F127=F128,$N$1:N127,$O$1:O127)),1000))</f>
        <v/>
      </c>
      <c r="I128" s="12" t="str">
        <f t="array" ref="I128">IF(C128="","",IF(C128="Tournament",INDEX('Tournament Log'!$J:$J,E128),IF(C128="Guest",IF(INDEX('Guest Log'!$I:$I,Q128)="",1000,INDEX('Guest Log'!$I:$I,Q128)),IFERROR(LOOKUP(2,1/(($F$1:F127=G128)+($G$1:G127=G128)),IF($F$1:F127=G128,$N$1:N127,$O$1:O127)),1000))))</f>
        <v/>
      </c>
      <c r="J128" s="12" t="str">
        <f t="shared" si="6"/>
        <v/>
      </c>
      <c r="K128" s="12" t="str">
        <f>IF(C128="","",IF(C128="Match",IF(INDEX('Match Log'!$D:$D,D128)="Win",1,IF(INDEX('Match Log'!$D:$D,D128)="Draw",0.5,0)),IF(C128="Tournament",INDEX('Tournament Log'!$K:$K,E128),IF(INDEX('Guest Log'!$C:$C,Q128)="Win",1,IF(INDEX('Guest Log'!$C:$C,Q128)="Draw",0.5,0)))))</f>
        <v/>
      </c>
      <c r="L128" s="12" t="str">
        <f>IF(C128="","",IF(C128="Match",32,IF(C128="Tournament",MIN(32*INDEX('Tournament Log'!$D:$D,E128),96),32)))</f>
        <v/>
      </c>
      <c r="M128" s="12" t="str">
        <f t="shared" si="7"/>
        <v/>
      </c>
      <c r="N128" s="12" t="str">
        <f t="shared" si="8"/>
        <v/>
      </c>
      <c r="O128" s="12" t="str">
        <f t="shared" si="9"/>
        <v/>
      </c>
      <c r="P128" s="12" t="str">
        <f>IF(C128="Tournament",INDEX('Tournament Log'!$B:$B,E128),IF(C128="Guest","Guest: "&amp;INDEX('Guest Log'!$H:$H,Q128),""))</f>
        <v/>
      </c>
      <c r="Q128" t="str">
        <f>IFERROR(MATCH($A128,'Guest Log'!$L$4:$L$203,0)+3,"")</f>
        <v/>
      </c>
    </row>
    <row r="129" spans="1:17" ht="15" customHeight="1" x14ac:dyDescent="0.2">
      <c r="A129" s="12">
        <f>128</f>
        <v>128</v>
      </c>
      <c r="B129" s="12" t="str">
        <f>IF(C129="","",IF(C129="Match",INDEX('Match Log'!$A:$A,D129),IF(C129="Tournament",INDEX('Tournament Log'!$A:$A,E129),INDEX('Guest Log'!$A:$A,Q129))))</f>
        <v/>
      </c>
      <c r="C129" s="12" t="str">
        <f t="shared" si="5"/>
        <v/>
      </c>
      <c r="D129" s="31" t="str">
        <f>IFERROR(MATCH($A129,'Match Log'!$K$3:$K$501,0)+2,"")</f>
        <v/>
      </c>
      <c r="E129" s="31" t="str">
        <f>IFERROR(MATCH($A129,'Tournament Log'!$O$4:$O$203,0)+3,"")</f>
        <v/>
      </c>
      <c r="F129" s="12" t="str">
        <f>IF(C129="","",IF(C129="Match",INDEX('Match Log'!$B:$B,D129),IF(C129="Tournament",INDEX('Tournament Log'!$C:$C,E129),INDEX('Guest Log'!$B:$B,Q129))))</f>
        <v/>
      </c>
      <c r="G129" s="12" t="str">
        <f>IF(C129="","",IF(C129="Match",INDEX('Match Log'!$C:$C,D129),IF(C129="Tournament",INDEX('Tournament Log'!$B:$B,E129)&amp;" (Phantom)",INDEX('Guest Log'!$H:$H,Q129)&amp;" (Guest)")))</f>
        <v/>
      </c>
      <c r="H129" s="32" t="str">
        <f t="array" ref="H129">IF(C129="","",IFERROR(LOOKUP(2,1/(($F$1:F128=F129)+($G$1:G128=F129)),IF($F$1:F128=F129,$N$1:N128,$O$1:O128)),1000))</f>
        <v/>
      </c>
      <c r="I129" s="12" t="str">
        <f t="array" ref="I129">IF(C129="","",IF(C129="Tournament",INDEX('Tournament Log'!$J:$J,E129),IF(C129="Guest",IF(INDEX('Guest Log'!$I:$I,Q129)="",1000,INDEX('Guest Log'!$I:$I,Q129)),IFERROR(LOOKUP(2,1/(($F$1:F128=G129)+($G$1:G128=G129)),IF($F$1:F128=G129,$N$1:N128,$O$1:O128)),1000))))</f>
        <v/>
      </c>
      <c r="J129" s="12" t="str">
        <f t="shared" si="6"/>
        <v/>
      </c>
      <c r="K129" s="12" t="str">
        <f>IF(C129="","",IF(C129="Match",IF(INDEX('Match Log'!$D:$D,D129)="Win",1,IF(INDEX('Match Log'!$D:$D,D129)="Draw",0.5,0)),IF(C129="Tournament",INDEX('Tournament Log'!$K:$K,E129),IF(INDEX('Guest Log'!$C:$C,Q129)="Win",1,IF(INDEX('Guest Log'!$C:$C,Q129)="Draw",0.5,0)))))</f>
        <v/>
      </c>
      <c r="L129" s="12" t="str">
        <f>IF(C129="","",IF(C129="Match",32,IF(C129="Tournament",MIN(32*INDEX('Tournament Log'!$D:$D,E129),96),32)))</f>
        <v/>
      </c>
      <c r="M129" s="12" t="str">
        <f t="shared" si="7"/>
        <v/>
      </c>
      <c r="N129" s="12" t="str">
        <f t="shared" si="8"/>
        <v/>
      </c>
      <c r="O129" s="12" t="str">
        <f t="shared" si="9"/>
        <v/>
      </c>
      <c r="P129" s="12" t="str">
        <f>IF(C129="Tournament",INDEX('Tournament Log'!$B:$B,E129),IF(C129="Guest","Guest: "&amp;INDEX('Guest Log'!$H:$H,Q129),""))</f>
        <v/>
      </c>
      <c r="Q129" t="str">
        <f>IFERROR(MATCH($A129,'Guest Log'!$L$4:$L$203,0)+3,"")</f>
        <v/>
      </c>
    </row>
    <row r="130" spans="1:17" ht="15" customHeight="1" x14ac:dyDescent="0.2">
      <c r="A130" s="12">
        <f>129</f>
        <v>129</v>
      </c>
      <c r="B130" s="12" t="str">
        <f>IF(C130="","",IF(C130="Match",INDEX('Match Log'!$A:$A,D130),IF(C130="Tournament",INDEX('Tournament Log'!$A:$A,E130),INDEX('Guest Log'!$A:$A,Q130))))</f>
        <v/>
      </c>
      <c r="C130" s="12" t="str">
        <f t="shared" ref="C130:C193" si="10">IF(D130&lt;&gt;"","Match",IF(E130&lt;&gt;"","Tournament",IF(Q130&lt;&gt;"","Guest","")))</f>
        <v/>
      </c>
      <c r="D130" s="31" t="str">
        <f>IFERROR(MATCH($A130,'Match Log'!$K$3:$K$501,0)+2,"")</f>
        <v/>
      </c>
      <c r="E130" s="31" t="str">
        <f>IFERROR(MATCH($A130,'Tournament Log'!$O$4:$O$203,0)+3,"")</f>
        <v/>
      </c>
      <c r="F130" s="12" t="str">
        <f>IF(C130="","",IF(C130="Match",INDEX('Match Log'!$B:$B,D130),IF(C130="Tournament",INDEX('Tournament Log'!$C:$C,E130),INDEX('Guest Log'!$B:$B,Q130))))</f>
        <v/>
      </c>
      <c r="G130" s="12" t="str">
        <f>IF(C130="","",IF(C130="Match",INDEX('Match Log'!$C:$C,D130),IF(C130="Tournament",INDEX('Tournament Log'!$B:$B,E130)&amp;" (Phantom)",INDEX('Guest Log'!$H:$H,Q130)&amp;" (Guest)")))</f>
        <v/>
      </c>
      <c r="H130" s="32" t="str">
        <f t="array" ref="H130">IF(C130="","",IFERROR(LOOKUP(2,1/(($F$1:F129=F130)+($G$1:G129=F130)),IF($F$1:F129=F130,$N$1:N129,$O$1:O129)),1000))</f>
        <v/>
      </c>
      <c r="I130" s="12" t="str">
        <f t="array" ref="I130">IF(C130="","",IF(C130="Tournament",INDEX('Tournament Log'!$J:$J,E130),IF(C130="Guest",IF(INDEX('Guest Log'!$I:$I,Q130)="",1000,INDEX('Guest Log'!$I:$I,Q130)),IFERROR(LOOKUP(2,1/(($F$1:F129=G130)+($G$1:G129=G130)),IF($F$1:F129=G130,$N$1:N129,$O$1:O129)),1000))))</f>
        <v/>
      </c>
      <c r="J130" s="12" t="str">
        <f t="shared" ref="J130:J193" si="11">IF(C130="","",1/(1+10^((I130-H130)/400)))</f>
        <v/>
      </c>
      <c r="K130" s="12" t="str">
        <f>IF(C130="","",IF(C130="Match",IF(INDEX('Match Log'!$D:$D,D130)="Win",1,IF(INDEX('Match Log'!$D:$D,D130)="Draw",0.5,0)),IF(C130="Tournament",INDEX('Tournament Log'!$K:$K,E130),IF(INDEX('Guest Log'!$C:$C,Q130)="Win",1,IF(INDEX('Guest Log'!$C:$C,Q130)="Draw",0.5,0)))))</f>
        <v/>
      </c>
      <c r="L130" s="12" t="str">
        <f>IF(C130="","",IF(C130="Match",32,IF(C130="Tournament",MIN(32*INDEX('Tournament Log'!$D:$D,E130),96),32)))</f>
        <v/>
      </c>
      <c r="M130" s="12" t="str">
        <f t="shared" ref="M130:M193" si="12">IF(C130="","",ROUND(L130*(K130-J130),0))</f>
        <v/>
      </c>
      <c r="N130" s="12" t="str">
        <f t="shared" ref="N130:N193" si="13">IF(C130="","",H130+M130)</f>
        <v/>
      </c>
      <c r="O130" s="12" t="str">
        <f t="shared" ref="O130:O193" si="14">IF(C130="","",IF(C130="Match",I130-M130,""))</f>
        <v/>
      </c>
      <c r="P130" s="12" t="str">
        <f>IF(C130="Tournament",INDEX('Tournament Log'!$B:$B,E130),IF(C130="Guest","Guest: "&amp;INDEX('Guest Log'!$H:$H,Q130),""))</f>
        <v/>
      </c>
      <c r="Q130" t="str">
        <f>IFERROR(MATCH($A130,'Guest Log'!$L$4:$L$203,0)+3,"")</f>
        <v/>
      </c>
    </row>
    <row r="131" spans="1:17" ht="15" customHeight="1" x14ac:dyDescent="0.2">
      <c r="A131" s="12">
        <f>130</f>
        <v>130</v>
      </c>
      <c r="B131" s="12" t="str">
        <f>IF(C131="","",IF(C131="Match",INDEX('Match Log'!$A:$A,D131),IF(C131="Tournament",INDEX('Tournament Log'!$A:$A,E131),INDEX('Guest Log'!$A:$A,Q131))))</f>
        <v/>
      </c>
      <c r="C131" s="12" t="str">
        <f t="shared" si="10"/>
        <v/>
      </c>
      <c r="D131" s="31" t="str">
        <f>IFERROR(MATCH($A131,'Match Log'!$K$3:$K$501,0)+2,"")</f>
        <v/>
      </c>
      <c r="E131" s="31" t="str">
        <f>IFERROR(MATCH($A131,'Tournament Log'!$O$4:$O$203,0)+3,"")</f>
        <v/>
      </c>
      <c r="F131" s="12" t="str">
        <f>IF(C131="","",IF(C131="Match",INDEX('Match Log'!$B:$B,D131),IF(C131="Tournament",INDEX('Tournament Log'!$C:$C,E131),INDEX('Guest Log'!$B:$B,Q131))))</f>
        <v/>
      </c>
      <c r="G131" s="12" t="str">
        <f>IF(C131="","",IF(C131="Match",INDEX('Match Log'!$C:$C,D131),IF(C131="Tournament",INDEX('Tournament Log'!$B:$B,E131)&amp;" (Phantom)",INDEX('Guest Log'!$H:$H,Q131)&amp;" (Guest)")))</f>
        <v/>
      </c>
      <c r="H131" s="32" t="str">
        <f t="array" ref="H131">IF(C131="","",IFERROR(LOOKUP(2,1/(($F$1:F130=F131)+($G$1:G130=F131)),IF($F$1:F130=F131,$N$1:N130,$O$1:O130)),1000))</f>
        <v/>
      </c>
      <c r="I131" s="12" t="str">
        <f t="array" ref="I131">IF(C131="","",IF(C131="Tournament",INDEX('Tournament Log'!$J:$J,E131),IF(C131="Guest",IF(INDEX('Guest Log'!$I:$I,Q131)="",1000,INDEX('Guest Log'!$I:$I,Q131)),IFERROR(LOOKUP(2,1/(($F$1:F130=G131)+($G$1:G130=G131)),IF($F$1:F130=G131,$N$1:N130,$O$1:O130)),1000))))</f>
        <v/>
      </c>
      <c r="J131" s="12" t="str">
        <f t="shared" si="11"/>
        <v/>
      </c>
      <c r="K131" s="12" t="str">
        <f>IF(C131="","",IF(C131="Match",IF(INDEX('Match Log'!$D:$D,D131)="Win",1,IF(INDEX('Match Log'!$D:$D,D131)="Draw",0.5,0)),IF(C131="Tournament",INDEX('Tournament Log'!$K:$K,E131),IF(INDEX('Guest Log'!$C:$C,Q131)="Win",1,IF(INDEX('Guest Log'!$C:$C,Q131)="Draw",0.5,0)))))</f>
        <v/>
      </c>
      <c r="L131" s="12" t="str">
        <f>IF(C131="","",IF(C131="Match",32,IF(C131="Tournament",MIN(32*INDEX('Tournament Log'!$D:$D,E131),96),32)))</f>
        <v/>
      </c>
      <c r="M131" s="12" t="str">
        <f t="shared" si="12"/>
        <v/>
      </c>
      <c r="N131" s="12" t="str">
        <f t="shared" si="13"/>
        <v/>
      </c>
      <c r="O131" s="12" t="str">
        <f t="shared" si="14"/>
        <v/>
      </c>
      <c r="P131" s="12" t="str">
        <f>IF(C131="Tournament",INDEX('Tournament Log'!$B:$B,E131),IF(C131="Guest","Guest: "&amp;INDEX('Guest Log'!$H:$H,Q131),""))</f>
        <v/>
      </c>
      <c r="Q131" t="str">
        <f>IFERROR(MATCH($A131,'Guest Log'!$L$4:$L$203,0)+3,"")</f>
        <v/>
      </c>
    </row>
    <row r="132" spans="1:17" ht="15" customHeight="1" x14ac:dyDescent="0.2">
      <c r="A132" s="12">
        <f>131</f>
        <v>131</v>
      </c>
      <c r="B132" s="12" t="str">
        <f>IF(C132="","",IF(C132="Match",INDEX('Match Log'!$A:$A,D132),IF(C132="Tournament",INDEX('Tournament Log'!$A:$A,E132),INDEX('Guest Log'!$A:$A,Q132))))</f>
        <v/>
      </c>
      <c r="C132" s="12" t="str">
        <f t="shared" si="10"/>
        <v/>
      </c>
      <c r="D132" s="31" t="str">
        <f>IFERROR(MATCH($A132,'Match Log'!$K$3:$K$501,0)+2,"")</f>
        <v/>
      </c>
      <c r="E132" s="31" t="str">
        <f>IFERROR(MATCH($A132,'Tournament Log'!$O$4:$O$203,0)+3,"")</f>
        <v/>
      </c>
      <c r="F132" s="12" t="str">
        <f>IF(C132="","",IF(C132="Match",INDEX('Match Log'!$B:$B,D132),IF(C132="Tournament",INDEX('Tournament Log'!$C:$C,E132),INDEX('Guest Log'!$B:$B,Q132))))</f>
        <v/>
      </c>
      <c r="G132" s="12" t="str">
        <f>IF(C132="","",IF(C132="Match",INDEX('Match Log'!$C:$C,D132),IF(C132="Tournament",INDEX('Tournament Log'!$B:$B,E132)&amp;" (Phantom)",INDEX('Guest Log'!$H:$H,Q132)&amp;" (Guest)")))</f>
        <v/>
      </c>
      <c r="H132" s="32" t="str">
        <f t="array" ref="H132">IF(C132="","",IFERROR(LOOKUP(2,1/(($F$1:F131=F132)+($G$1:G131=F132)),IF($F$1:F131=F132,$N$1:N131,$O$1:O131)),1000))</f>
        <v/>
      </c>
      <c r="I132" s="12" t="str">
        <f t="array" ref="I132">IF(C132="","",IF(C132="Tournament",INDEX('Tournament Log'!$J:$J,E132),IF(C132="Guest",IF(INDEX('Guest Log'!$I:$I,Q132)="",1000,INDEX('Guest Log'!$I:$I,Q132)),IFERROR(LOOKUP(2,1/(($F$1:F131=G132)+($G$1:G131=G132)),IF($F$1:F131=G132,$N$1:N131,$O$1:O131)),1000))))</f>
        <v/>
      </c>
      <c r="J132" s="12" t="str">
        <f t="shared" si="11"/>
        <v/>
      </c>
      <c r="K132" s="12" t="str">
        <f>IF(C132="","",IF(C132="Match",IF(INDEX('Match Log'!$D:$D,D132)="Win",1,IF(INDEX('Match Log'!$D:$D,D132)="Draw",0.5,0)),IF(C132="Tournament",INDEX('Tournament Log'!$K:$K,E132),IF(INDEX('Guest Log'!$C:$C,Q132)="Win",1,IF(INDEX('Guest Log'!$C:$C,Q132)="Draw",0.5,0)))))</f>
        <v/>
      </c>
      <c r="L132" s="12" t="str">
        <f>IF(C132="","",IF(C132="Match",32,IF(C132="Tournament",MIN(32*INDEX('Tournament Log'!$D:$D,E132),96),32)))</f>
        <v/>
      </c>
      <c r="M132" s="12" t="str">
        <f t="shared" si="12"/>
        <v/>
      </c>
      <c r="N132" s="12" t="str">
        <f t="shared" si="13"/>
        <v/>
      </c>
      <c r="O132" s="12" t="str">
        <f t="shared" si="14"/>
        <v/>
      </c>
      <c r="P132" s="12" t="str">
        <f>IF(C132="Tournament",INDEX('Tournament Log'!$B:$B,E132),IF(C132="Guest","Guest: "&amp;INDEX('Guest Log'!$H:$H,Q132),""))</f>
        <v/>
      </c>
      <c r="Q132" t="str">
        <f>IFERROR(MATCH($A132,'Guest Log'!$L$4:$L$203,0)+3,"")</f>
        <v/>
      </c>
    </row>
    <row r="133" spans="1:17" ht="15" customHeight="1" x14ac:dyDescent="0.2">
      <c r="A133" s="12">
        <f>132</f>
        <v>132</v>
      </c>
      <c r="B133" s="12" t="str">
        <f>IF(C133="","",IF(C133="Match",INDEX('Match Log'!$A:$A,D133),IF(C133="Tournament",INDEX('Tournament Log'!$A:$A,E133),INDEX('Guest Log'!$A:$A,Q133))))</f>
        <v/>
      </c>
      <c r="C133" s="12" t="str">
        <f t="shared" si="10"/>
        <v/>
      </c>
      <c r="D133" s="31" t="str">
        <f>IFERROR(MATCH($A133,'Match Log'!$K$3:$K$501,0)+2,"")</f>
        <v/>
      </c>
      <c r="E133" s="31" t="str">
        <f>IFERROR(MATCH($A133,'Tournament Log'!$O$4:$O$203,0)+3,"")</f>
        <v/>
      </c>
      <c r="F133" s="12" t="str">
        <f>IF(C133="","",IF(C133="Match",INDEX('Match Log'!$B:$B,D133),IF(C133="Tournament",INDEX('Tournament Log'!$C:$C,E133),INDEX('Guest Log'!$B:$B,Q133))))</f>
        <v/>
      </c>
      <c r="G133" s="12" t="str">
        <f>IF(C133="","",IF(C133="Match",INDEX('Match Log'!$C:$C,D133),IF(C133="Tournament",INDEX('Tournament Log'!$B:$B,E133)&amp;" (Phantom)",INDEX('Guest Log'!$H:$H,Q133)&amp;" (Guest)")))</f>
        <v/>
      </c>
      <c r="H133" s="32" t="str">
        <f t="array" ref="H133">IF(C133="","",IFERROR(LOOKUP(2,1/(($F$1:F132=F133)+($G$1:G132=F133)),IF($F$1:F132=F133,$N$1:N132,$O$1:O132)),1000))</f>
        <v/>
      </c>
      <c r="I133" s="12" t="str">
        <f t="array" ref="I133">IF(C133="","",IF(C133="Tournament",INDEX('Tournament Log'!$J:$J,E133),IF(C133="Guest",IF(INDEX('Guest Log'!$I:$I,Q133)="",1000,INDEX('Guest Log'!$I:$I,Q133)),IFERROR(LOOKUP(2,1/(($F$1:F132=G133)+($G$1:G132=G133)),IF($F$1:F132=G133,$N$1:N132,$O$1:O132)),1000))))</f>
        <v/>
      </c>
      <c r="J133" s="12" t="str">
        <f t="shared" si="11"/>
        <v/>
      </c>
      <c r="K133" s="12" t="str">
        <f>IF(C133="","",IF(C133="Match",IF(INDEX('Match Log'!$D:$D,D133)="Win",1,IF(INDEX('Match Log'!$D:$D,D133)="Draw",0.5,0)),IF(C133="Tournament",INDEX('Tournament Log'!$K:$K,E133),IF(INDEX('Guest Log'!$C:$C,Q133)="Win",1,IF(INDEX('Guest Log'!$C:$C,Q133)="Draw",0.5,0)))))</f>
        <v/>
      </c>
      <c r="L133" s="12" t="str">
        <f>IF(C133="","",IF(C133="Match",32,IF(C133="Tournament",MIN(32*INDEX('Tournament Log'!$D:$D,E133),96),32)))</f>
        <v/>
      </c>
      <c r="M133" s="12" t="str">
        <f t="shared" si="12"/>
        <v/>
      </c>
      <c r="N133" s="12" t="str">
        <f t="shared" si="13"/>
        <v/>
      </c>
      <c r="O133" s="12" t="str">
        <f t="shared" si="14"/>
        <v/>
      </c>
      <c r="P133" s="12" t="str">
        <f>IF(C133="Tournament",INDEX('Tournament Log'!$B:$B,E133),IF(C133="Guest","Guest: "&amp;INDEX('Guest Log'!$H:$H,Q133),""))</f>
        <v/>
      </c>
      <c r="Q133" t="str">
        <f>IFERROR(MATCH($A133,'Guest Log'!$L$4:$L$203,0)+3,"")</f>
        <v/>
      </c>
    </row>
    <row r="134" spans="1:17" ht="15" customHeight="1" x14ac:dyDescent="0.2">
      <c r="A134" s="12">
        <f>133</f>
        <v>133</v>
      </c>
      <c r="B134" s="12" t="str">
        <f>IF(C134="","",IF(C134="Match",INDEX('Match Log'!$A:$A,D134),IF(C134="Tournament",INDEX('Tournament Log'!$A:$A,E134),INDEX('Guest Log'!$A:$A,Q134))))</f>
        <v/>
      </c>
      <c r="C134" s="12" t="str">
        <f t="shared" si="10"/>
        <v/>
      </c>
      <c r="D134" s="31" t="str">
        <f>IFERROR(MATCH($A134,'Match Log'!$K$3:$K$501,0)+2,"")</f>
        <v/>
      </c>
      <c r="E134" s="31" t="str">
        <f>IFERROR(MATCH($A134,'Tournament Log'!$O$4:$O$203,0)+3,"")</f>
        <v/>
      </c>
      <c r="F134" s="12" t="str">
        <f>IF(C134="","",IF(C134="Match",INDEX('Match Log'!$B:$B,D134),IF(C134="Tournament",INDEX('Tournament Log'!$C:$C,E134),INDEX('Guest Log'!$B:$B,Q134))))</f>
        <v/>
      </c>
      <c r="G134" s="12" t="str">
        <f>IF(C134="","",IF(C134="Match",INDEX('Match Log'!$C:$C,D134),IF(C134="Tournament",INDEX('Tournament Log'!$B:$B,E134)&amp;" (Phantom)",INDEX('Guest Log'!$H:$H,Q134)&amp;" (Guest)")))</f>
        <v/>
      </c>
      <c r="H134" s="32" t="str">
        <f t="array" ref="H134">IF(C134="","",IFERROR(LOOKUP(2,1/(($F$1:F133=F134)+($G$1:G133=F134)),IF($F$1:F133=F134,$N$1:N133,$O$1:O133)),1000))</f>
        <v/>
      </c>
      <c r="I134" s="12" t="str">
        <f t="array" ref="I134">IF(C134="","",IF(C134="Tournament",INDEX('Tournament Log'!$J:$J,E134),IF(C134="Guest",IF(INDEX('Guest Log'!$I:$I,Q134)="",1000,INDEX('Guest Log'!$I:$I,Q134)),IFERROR(LOOKUP(2,1/(($F$1:F133=G134)+($G$1:G133=G134)),IF($F$1:F133=G134,$N$1:N133,$O$1:O133)),1000))))</f>
        <v/>
      </c>
      <c r="J134" s="12" t="str">
        <f t="shared" si="11"/>
        <v/>
      </c>
      <c r="K134" s="12" t="str">
        <f>IF(C134="","",IF(C134="Match",IF(INDEX('Match Log'!$D:$D,D134)="Win",1,IF(INDEX('Match Log'!$D:$D,D134)="Draw",0.5,0)),IF(C134="Tournament",INDEX('Tournament Log'!$K:$K,E134),IF(INDEX('Guest Log'!$C:$C,Q134)="Win",1,IF(INDEX('Guest Log'!$C:$C,Q134)="Draw",0.5,0)))))</f>
        <v/>
      </c>
      <c r="L134" s="12" t="str">
        <f>IF(C134="","",IF(C134="Match",32,IF(C134="Tournament",MIN(32*INDEX('Tournament Log'!$D:$D,E134),96),32)))</f>
        <v/>
      </c>
      <c r="M134" s="12" t="str">
        <f t="shared" si="12"/>
        <v/>
      </c>
      <c r="N134" s="12" t="str">
        <f t="shared" si="13"/>
        <v/>
      </c>
      <c r="O134" s="12" t="str">
        <f t="shared" si="14"/>
        <v/>
      </c>
      <c r="P134" s="12" t="str">
        <f>IF(C134="Tournament",INDEX('Tournament Log'!$B:$B,E134),IF(C134="Guest","Guest: "&amp;INDEX('Guest Log'!$H:$H,Q134),""))</f>
        <v/>
      </c>
      <c r="Q134" t="str">
        <f>IFERROR(MATCH($A134,'Guest Log'!$L$4:$L$203,0)+3,"")</f>
        <v/>
      </c>
    </row>
    <row r="135" spans="1:17" ht="15" customHeight="1" x14ac:dyDescent="0.2">
      <c r="A135" s="12">
        <f>134</f>
        <v>134</v>
      </c>
      <c r="B135" s="12" t="str">
        <f>IF(C135="","",IF(C135="Match",INDEX('Match Log'!$A:$A,D135),IF(C135="Tournament",INDEX('Tournament Log'!$A:$A,E135),INDEX('Guest Log'!$A:$A,Q135))))</f>
        <v/>
      </c>
      <c r="C135" s="12" t="str">
        <f t="shared" si="10"/>
        <v/>
      </c>
      <c r="D135" s="31" t="str">
        <f>IFERROR(MATCH($A135,'Match Log'!$K$3:$K$501,0)+2,"")</f>
        <v/>
      </c>
      <c r="E135" s="31" t="str">
        <f>IFERROR(MATCH($A135,'Tournament Log'!$O$4:$O$203,0)+3,"")</f>
        <v/>
      </c>
      <c r="F135" s="12" t="str">
        <f>IF(C135="","",IF(C135="Match",INDEX('Match Log'!$B:$B,D135),IF(C135="Tournament",INDEX('Tournament Log'!$C:$C,E135),INDEX('Guest Log'!$B:$B,Q135))))</f>
        <v/>
      </c>
      <c r="G135" s="12" t="str">
        <f>IF(C135="","",IF(C135="Match",INDEX('Match Log'!$C:$C,D135),IF(C135="Tournament",INDEX('Tournament Log'!$B:$B,E135)&amp;" (Phantom)",INDEX('Guest Log'!$H:$H,Q135)&amp;" (Guest)")))</f>
        <v/>
      </c>
      <c r="H135" s="32" t="str">
        <f t="array" ref="H135">IF(C135="","",IFERROR(LOOKUP(2,1/(($F$1:F134=F135)+($G$1:G134=F135)),IF($F$1:F134=F135,$N$1:N134,$O$1:O134)),1000))</f>
        <v/>
      </c>
      <c r="I135" s="12" t="str">
        <f t="array" ref="I135">IF(C135="","",IF(C135="Tournament",INDEX('Tournament Log'!$J:$J,E135),IF(C135="Guest",IF(INDEX('Guest Log'!$I:$I,Q135)="",1000,INDEX('Guest Log'!$I:$I,Q135)),IFERROR(LOOKUP(2,1/(($F$1:F134=G135)+($G$1:G134=G135)),IF($F$1:F134=G135,$N$1:N134,$O$1:O134)),1000))))</f>
        <v/>
      </c>
      <c r="J135" s="12" t="str">
        <f t="shared" si="11"/>
        <v/>
      </c>
      <c r="K135" s="12" t="str">
        <f>IF(C135="","",IF(C135="Match",IF(INDEX('Match Log'!$D:$D,D135)="Win",1,IF(INDEX('Match Log'!$D:$D,D135)="Draw",0.5,0)),IF(C135="Tournament",INDEX('Tournament Log'!$K:$K,E135),IF(INDEX('Guest Log'!$C:$C,Q135)="Win",1,IF(INDEX('Guest Log'!$C:$C,Q135)="Draw",0.5,0)))))</f>
        <v/>
      </c>
      <c r="L135" s="12" t="str">
        <f>IF(C135="","",IF(C135="Match",32,IF(C135="Tournament",MIN(32*INDEX('Tournament Log'!$D:$D,E135),96),32)))</f>
        <v/>
      </c>
      <c r="M135" s="12" t="str">
        <f t="shared" si="12"/>
        <v/>
      </c>
      <c r="N135" s="12" t="str">
        <f t="shared" si="13"/>
        <v/>
      </c>
      <c r="O135" s="12" t="str">
        <f t="shared" si="14"/>
        <v/>
      </c>
      <c r="P135" s="12" t="str">
        <f>IF(C135="Tournament",INDEX('Tournament Log'!$B:$B,E135),IF(C135="Guest","Guest: "&amp;INDEX('Guest Log'!$H:$H,Q135),""))</f>
        <v/>
      </c>
      <c r="Q135" t="str">
        <f>IFERROR(MATCH($A135,'Guest Log'!$L$4:$L$203,0)+3,"")</f>
        <v/>
      </c>
    </row>
    <row r="136" spans="1:17" ht="15" customHeight="1" x14ac:dyDescent="0.2">
      <c r="A136" s="12">
        <f>135</f>
        <v>135</v>
      </c>
      <c r="B136" s="12" t="str">
        <f>IF(C136="","",IF(C136="Match",INDEX('Match Log'!$A:$A,D136),IF(C136="Tournament",INDEX('Tournament Log'!$A:$A,E136),INDEX('Guest Log'!$A:$A,Q136))))</f>
        <v/>
      </c>
      <c r="C136" s="12" t="str">
        <f t="shared" si="10"/>
        <v/>
      </c>
      <c r="D136" s="31" t="str">
        <f>IFERROR(MATCH($A136,'Match Log'!$K$3:$K$501,0)+2,"")</f>
        <v/>
      </c>
      <c r="E136" s="31" t="str">
        <f>IFERROR(MATCH($A136,'Tournament Log'!$O$4:$O$203,0)+3,"")</f>
        <v/>
      </c>
      <c r="F136" s="12" t="str">
        <f>IF(C136="","",IF(C136="Match",INDEX('Match Log'!$B:$B,D136),IF(C136="Tournament",INDEX('Tournament Log'!$C:$C,E136),INDEX('Guest Log'!$B:$B,Q136))))</f>
        <v/>
      </c>
      <c r="G136" s="12" t="str">
        <f>IF(C136="","",IF(C136="Match",INDEX('Match Log'!$C:$C,D136),IF(C136="Tournament",INDEX('Tournament Log'!$B:$B,E136)&amp;" (Phantom)",INDEX('Guest Log'!$H:$H,Q136)&amp;" (Guest)")))</f>
        <v/>
      </c>
      <c r="H136" s="32" t="str">
        <f t="array" ref="H136">IF(C136="","",IFERROR(LOOKUP(2,1/(($F$1:F135=F136)+($G$1:G135=F136)),IF($F$1:F135=F136,$N$1:N135,$O$1:O135)),1000))</f>
        <v/>
      </c>
      <c r="I136" s="12" t="str">
        <f t="array" ref="I136">IF(C136="","",IF(C136="Tournament",INDEX('Tournament Log'!$J:$J,E136),IF(C136="Guest",IF(INDEX('Guest Log'!$I:$I,Q136)="",1000,INDEX('Guest Log'!$I:$I,Q136)),IFERROR(LOOKUP(2,1/(($F$1:F135=G136)+($G$1:G135=G136)),IF($F$1:F135=G136,$N$1:N135,$O$1:O135)),1000))))</f>
        <v/>
      </c>
      <c r="J136" s="12" t="str">
        <f t="shared" si="11"/>
        <v/>
      </c>
      <c r="K136" s="12" t="str">
        <f>IF(C136="","",IF(C136="Match",IF(INDEX('Match Log'!$D:$D,D136)="Win",1,IF(INDEX('Match Log'!$D:$D,D136)="Draw",0.5,0)),IF(C136="Tournament",INDEX('Tournament Log'!$K:$K,E136),IF(INDEX('Guest Log'!$C:$C,Q136)="Win",1,IF(INDEX('Guest Log'!$C:$C,Q136)="Draw",0.5,0)))))</f>
        <v/>
      </c>
      <c r="L136" s="12" t="str">
        <f>IF(C136="","",IF(C136="Match",32,IF(C136="Tournament",MIN(32*INDEX('Tournament Log'!$D:$D,E136),96),32)))</f>
        <v/>
      </c>
      <c r="M136" s="12" t="str">
        <f t="shared" si="12"/>
        <v/>
      </c>
      <c r="N136" s="12" t="str">
        <f t="shared" si="13"/>
        <v/>
      </c>
      <c r="O136" s="12" t="str">
        <f t="shared" si="14"/>
        <v/>
      </c>
      <c r="P136" s="12" t="str">
        <f>IF(C136="Tournament",INDEX('Tournament Log'!$B:$B,E136),IF(C136="Guest","Guest: "&amp;INDEX('Guest Log'!$H:$H,Q136),""))</f>
        <v/>
      </c>
      <c r="Q136" t="str">
        <f>IFERROR(MATCH($A136,'Guest Log'!$L$4:$L$203,0)+3,"")</f>
        <v/>
      </c>
    </row>
    <row r="137" spans="1:17" ht="15" customHeight="1" x14ac:dyDescent="0.2">
      <c r="A137" s="12">
        <f>136</f>
        <v>136</v>
      </c>
      <c r="B137" s="12" t="str">
        <f>IF(C137="","",IF(C137="Match",INDEX('Match Log'!$A:$A,D137),IF(C137="Tournament",INDEX('Tournament Log'!$A:$A,E137),INDEX('Guest Log'!$A:$A,Q137))))</f>
        <v/>
      </c>
      <c r="C137" s="12" t="str">
        <f t="shared" si="10"/>
        <v/>
      </c>
      <c r="D137" s="31" t="str">
        <f>IFERROR(MATCH($A137,'Match Log'!$K$3:$K$501,0)+2,"")</f>
        <v/>
      </c>
      <c r="E137" s="31" t="str">
        <f>IFERROR(MATCH($A137,'Tournament Log'!$O$4:$O$203,0)+3,"")</f>
        <v/>
      </c>
      <c r="F137" s="12" t="str">
        <f>IF(C137="","",IF(C137="Match",INDEX('Match Log'!$B:$B,D137),IF(C137="Tournament",INDEX('Tournament Log'!$C:$C,E137),INDEX('Guest Log'!$B:$B,Q137))))</f>
        <v/>
      </c>
      <c r="G137" s="12" t="str">
        <f>IF(C137="","",IF(C137="Match",INDEX('Match Log'!$C:$C,D137),IF(C137="Tournament",INDEX('Tournament Log'!$B:$B,E137)&amp;" (Phantom)",INDEX('Guest Log'!$H:$H,Q137)&amp;" (Guest)")))</f>
        <v/>
      </c>
      <c r="H137" s="32" t="str">
        <f t="array" ref="H137">IF(C137="","",IFERROR(LOOKUP(2,1/(($F$1:F136=F137)+($G$1:G136=F137)),IF($F$1:F136=F137,$N$1:N136,$O$1:O136)),1000))</f>
        <v/>
      </c>
      <c r="I137" s="12" t="str">
        <f t="array" ref="I137">IF(C137="","",IF(C137="Tournament",INDEX('Tournament Log'!$J:$J,E137),IF(C137="Guest",IF(INDEX('Guest Log'!$I:$I,Q137)="",1000,INDEX('Guest Log'!$I:$I,Q137)),IFERROR(LOOKUP(2,1/(($F$1:F136=G137)+($G$1:G136=G137)),IF($F$1:F136=G137,$N$1:N136,$O$1:O136)),1000))))</f>
        <v/>
      </c>
      <c r="J137" s="12" t="str">
        <f t="shared" si="11"/>
        <v/>
      </c>
      <c r="K137" s="12" t="str">
        <f>IF(C137="","",IF(C137="Match",IF(INDEX('Match Log'!$D:$D,D137)="Win",1,IF(INDEX('Match Log'!$D:$D,D137)="Draw",0.5,0)),IF(C137="Tournament",INDEX('Tournament Log'!$K:$K,E137),IF(INDEX('Guest Log'!$C:$C,Q137)="Win",1,IF(INDEX('Guest Log'!$C:$C,Q137)="Draw",0.5,0)))))</f>
        <v/>
      </c>
      <c r="L137" s="12" t="str">
        <f>IF(C137="","",IF(C137="Match",32,IF(C137="Tournament",MIN(32*INDEX('Tournament Log'!$D:$D,E137),96),32)))</f>
        <v/>
      </c>
      <c r="M137" s="12" t="str">
        <f t="shared" si="12"/>
        <v/>
      </c>
      <c r="N137" s="12" t="str">
        <f t="shared" si="13"/>
        <v/>
      </c>
      <c r="O137" s="12" t="str">
        <f t="shared" si="14"/>
        <v/>
      </c>
      <c r="P137" s="12" t="str">
        <f>IF(C137="Tournament",INDEX('Tournament Log'!$B:$B,E137),IF(C137="Guest","Guest: "&amp;INDEX('Guest Log'!$H:$H,Q137),""))</f>
        <v/>
      </c>
      <c r="Q137" t="str">
        <f>IFERROR(MATCH($A137,'Guest Log'!$L$4:$L$203,0)+3,"")</f>
        <v/>
      </c>
    </row>
    <row r="138" spans="1:17" ht="15" customHeight="1" x14ac:dyDescent="0.2">
      <c r="A138" s="12">
        <f>137</f>
        <v>137</v>
      </c>
      <c r="B138" s="12" t="str">
        <f>IF(C138="","",IF(C138="Match",INDEX('Match Log'!$A:$A,D138),IF(C138="Tournament",INDEX('Tournament Log'!$A:$A,E138),INDEX('Guest Log'!$A:$A,Q138))))</f>
        <v/>
      </c>
      <c r="C138" s="12" t="str">
        <f t="shared" si="10"/>
        <v/>
      </c>
      <c r="D138" s="31" t="str">
        <f>IFERROR(MATCH($A138,'Match Log'!$K$3:$K$501,0)+2,"")</f>
        <v/>
      </c>
      <c r="E138" s="31" t="str">
        <f>IFERROR(MATCH($A138,'Tournament Log'!$O$4:$O$203,0)+3,"")</f>
        <v/>
      </c>
      <c r="F138" s="12" t="str">
        <f>IF(C138="","",IF(C138="Match",INDEX('Match Log'!$B:$B,D138),IF(C138="Tournament",INDEX('Tournament Log'!$C:$C,E138),INDEX('Guest Log'!$B:$B,Q138))))</f>
        <v/>
      </c>
      <c r="G138" s="12" t="str">
        <f>IF(C138="","",IF(C138="Match",INDEX('Match Log'!$C:$C,D138),IF(C138="Tournament",INDEX('Tournament Log'!$B:$B,E138)&amp;" (Phantom)",INDEX('Guest Log'!$H:$H,Q138)&amp;" (Guest)")))</f>
        <v/>
      </c>
      <c r="H138" s="32" t="str">
        <f t="array" ref="H138">IF(C138="","",IFERROR(LOOKUP(2,1/(($F$1:F137=F138)+($G$1:G137=F138)),IF($F$1:F137=F138,$N$1:N137,$O$1:O137)),1000))</f>
        <v/>
      </c>
      <c r="I138" s="12" t="str">
        <f t="array" ref="I138">IF(C138="","",IF(C138="Tournament",INDEX('Tournament Log'!$J:$J,E138),IF(C138="Guest",IF(INDEX('Guest Log'!$I:$I,Q138)="",1000,INDEX('Guest Log'!$I:$I,Q138)),IFERROR(LOOKUP(2,1/(($F$1:F137=G138)+($G$1:G137=G138)),IF($F$1:F137=G138,$N$1:N137,$O$1:O137)),1000))))</f>
        <v/>
      </c>
      <c r="J138" s="12" t="str">
        <f t="shared" si="11"/>
        <v/>
      </c>
      <c r="K138" s="12" t="str">
        <f>IF(C138="","",IF(C138="Match",IF(INDEX('Match Log'!$D:$D,D138)="Win",1,IF(INDEX('Match Log'!$D:$D,D138)="Draw",0.5,0)),IF(C138="Tournament",INDEX('Tournament Log'!$K:$K,E138),IF(INDEX('Guest Log'!$C:$C,Q138)="Win",1,IF(INDEX('Guest Log'!$C:$C,Q138)="Draw",0.5,0)))))</f>
        <v/>
      </c>
      <c r="L138" s="12" t="str">
        <f>IF(C138="","",IF(C138="Match",32,IF(C138="Tournament",MIN(32*INDEX('Tournament Log'!$D:$D,E138),96),32)))</f>
        <v/>
      </c>
      <c r="M138" s="12" t="str">
        <f t="shared" si="12"/>
        <v/>
      </c>
      <c r="N138" s="12" t="str">
        <f t="shared" si="13"/>
        <v/>
      </c>
      <c r="O138" s="12" t="str">
        <f t="shared" si="14"/>
        <v/>
      </c>
      <c r="P138" s="12" t="str">
        <f>IF(C138="Tournament",INDEX('Tournament Log'!$B:$B,E138),IF(C138="Guest","Guest: "&amp;INDEX('Guest Log'!$H:$H,Q138),""))</f>
        <v/>
      </c>
      <c r="Q138" t="str">
        <f>IFERROR(MATCH($A138,'Guest Log'!$L$4:$L$203,0)+3,"")</f>
        <v/>
      </c>
    </row>
    <row r="139" spans="1:17" ht="15" customHeight="1" x14ac:dyDescent="0.2">
      <c r="A139" s="12">
        <f>138</f>
        <v>138</v>
      </c>
      <c r="B139" s="12" t="str">
        <f>IF(C139="","",IF(C139="Match",INDEX('Match Log'!$A:$A,D139),IF(C139="Tournament",INDEX('Tournament Log'!$A:$A,E139),INDEX('Guest Log'!$A:$A,Q139))))</f>
        <v/>
      </c>
      <c r="C139" s="12" t="str">
        <f t="shared" si="10"/>
        <v/>
      </c>
      <c r="D139" s="31" t="str">
        <f>IFERROR(MATCH($A139,'Match Log'!$K$3:$K$501,0)+2,"")</f>
        <v/>
      </c>
      <c r="E139" s="31" t="str">
        <f>IFERROR(MATCH($A139,'Tournament Log'!$O$4:$O$203,0)+3,"")</f>
        <v/>
      </c>
      <c r="F139" s="12" t="str">
        <f>IF(C139="","",IF(C139="Match",INDEX('Match Log'!$B:$B,D139),IF(C139="Tournament",INDEX('Tournament Log'!$C:$C,E139),INDEX('Guest Log'!$B:$B,Q139))))</f>
        <v/>
      </c>
      <c r="G139" s="12" t="str">
        <f>IF(C139="","",IF(C139="Match",INDEX('Match Log'!$C:$C,D139),IF(C139="Tournament",INDEX('Tournament Log'!$B:$B,E139)&amp;" (Phantom)",INDEX('Guest Log'!$H:$H,Q139)&amp;" (Guest)")))</f>
        <v/>
      </c>
      <c r="H139" s="32" t="str">
        <f t="array" ref="H139">IF(C139="","",IFERROR(LOOKUP(2,1/(($F$1:F138=F139)+($G$1:G138=F139)),IF($F$1:F138=F139,$N$1:N138,$O$1:O138)),1000))</f>
        <v/>
      </c>
      <c r="I139" s="12" t="str">
        <f t="array" ref="I139">IF(C139="","",IF(C139="Tournament",INDEX('Tournament Log'!$J:$J,E139),IF(C139="Guest",IF(INDEX('Guest Log'!$I:$I,Q139)="",1000,INDEX('Guest Log'!$I:$I,Q139)),IFERROR(LOOKUP(2,1/(($F$1:F138=G139)+($G$1:G138=G139)),IF($F$1:F138=G139,$N$1:N138,$O$1:O138)),1000))))</f>
        <v/>
      </c>
      <c r="J139" s="12" t="str">
        <f t="shared" si="11"/>
        <v/>
      </c>
      <c r="K139" s="12" t="str">
        <f>IF(C139="","",IF(C139="Match",IF(INDEX('Match Log'!$D:$D,D139)="Win",1,IF(INDEX('Match Log'!$D:$D,D139)="Draw",0.5,0)),IF(C139="Tournament",INDEX('Tournament Log'!$K:$K,E139),IF(INDEX('Guest Log'!$C:$C,Q139)="Win",1,IF(INDEX('Guest Log'!$C:$C,Q139)="Draw",0.5,0)))))</f>
        <v/>
      </c>
      <c r="L139" s="12" t="str">
        <f>IF(C139="","",IF(C139="Match",32,IF(C139="Tournament",MIN(32*INDEX('Tournament Log'!$D:$D,E139),96),32)))</f>
        <v/>
      </c>
      <c r="M139" s="12" t="str">
        <f t="shared" si="12"/>
        <v/>
      </c>
      <c r="N139" s="12" t="str">
        <f t="shared" si="13"/>
        <v/>
      </c>
      <c r="O139" s="12" t="str">
        <f t="shared" si="14"/>
        <v/>
      </c>
      <c r="P139" s="12" t="str">
        <f>IF(C139="Tournament",INDEX('Tournament Log'!$B:$B,E139),IF(C139="Guest","Guest: "&amp;INDEX('Guest Log'!$H:$H,Q139),""))</f>
        <v/>
      </c>
      <c r="Q139" t="str">
        <f>IFERROR(MATCH($A139,'Guest Log'!$L$4:$L$203,0)+3,"")</f>
        <v/>
      </c>
    </row>
    <row r="140" spans="1:17" ht="15" customHeight="1" x14ac:dyDescent="0.2">
      <c r="A140" s="12">
        <f>139</f>
        <v>139</v>
      </c>
      <c r="B140" s="12" t="str">
        <f>IF(C140="","",IF(C140="Match",INDEX('Match Log'!$A:$A,D140),IF(C140="Tournament",INDEX('Tournament Log'!$A:$A,E140),INDEX('Guest Log'!$A:$A,Q140))))</f>
        <v/>
      </c>
      <c r="C140" s="12" t="str">
        <f t="shared" si="10"/>
        <v/>
      </c>
      <c r="D140" s="31" t="str">
        <f>IFERROR(MATCH($A140,'Match Log'!$K$3:$K$501,0)+2,"")</f>
        <v/>
      </c>
      <c r="E140" s="31" t="str">
        <f>IFERROR(MATCH($A140,'Tournament Log'!$O$4:$O$203,0)+3,"")</f>
        <v/>
      </c>
      <c r="F140" s="12" t="str">
        <f>IF(C140="","",IF(C140="Match",INDEX('Match Log'!$B:$B,D140),IF(C140="Tournament",INDEX('Tournament Log'!$C:$C,E140),INDEX('Guest Log'!$B:$B,Q140))))</f>
        <v/>
      </c>
      <c r="G140" s="12" t="str">
        <f>IF(C140="","",IF(C140="Match",INDEX('Match Log'!$C:$C,D140),IF(C140="Tournament",INDEX('Tournament Log'!$B:$B,E140)&amp;" (Phantom)",INDEX('Guest Log'!$H:$H,Q140)&amp;" (Guest)")))</f>
        <v/>
      </c>
      <c r="H140" s="32" t="str">
        <f t="array" ref="H140">IF(C140="","",IFERROR(LOOKUP(2,1/(($F$1:F139=F140)+($G$1:G139=F140)),IF($F$1:F139=F140,$N$1:N139,$O$1:O139)),1000))</f>
        <v/>
      </c>
      <c r="I140" s="12" t="str">
        <f t="array" ref="I140">IF(C140="","",IF(C140="Tournament",INDEX('Tournament Log'!$J:$J,E140),IF(C140="Guest",IF(INDEX('Guest Log'!$I:$I,Q140)="",1000,INDEX('Guest Log'!$I:$I,Q140)),IFERROR(LOOKUP(2,1/(($F$1:F139=G140)+($G$1:G139=G140)),IF($F$1:F139=G140,$N$1:N139,$O$1:O139)),1000))))</f>
        <v/>
      </c>
      <c r="J140" s="12" t="str">
        <f t="shared" si="11"/>
        <v/>
      </c>
      <c r="K140" s="12" t="str">
        <f>IF(C140="","",IF(C140="Match",IF(INDEX('Match Log'!$D:$D,D140)="Win",1,IF(INDEX('Match Log'!$D:$D,D140)="Draw",0.5,0)),IF(C140="Tournament",INDEX('Tournament Log'!$K:$K,E140),IF(INDEX('Guest Log'!$C:$C,Q140)="Win",1,IF(INDEX('Guest Log'!$C:$C,Q140)="Draw",0.5,0)))))</f>
        <v/>
      </c>
      <c r="L140" s="12" t="str">
        <f>IF(C140="","",IF(C140="Match",32,IF(C140="Tournament",MIN(32*INDEX('Tournament Log'!$D:$D,E140),96),32)))</f>
        <v/>
      </c>
      <c r="M140" s="12" t="str">
        <f t="shared" si="12"/>
        <v/>
      </c>
      <c r="N140" s="12" t="str">
        <f t="shared" si="13"/>
        <v/>
      </c>
      <c r="O140" s="12" t="str">
        <f t="shared" si="14"/>
        <v/>
      </c>
      <c r="P140" s="12" t="str">
        <f>IF(C140="Tournament",INDEX('Tournament Log'!$B:$B,E140),IF(C140="Guest","Guest: "&amp;INDEX('Guest Log'!$H:$H,Q140),""))</f>
        <v/>
      </c>
      <c r="Q140" t="str">
        <f>IFERROR(MATCH($A140,'Guest Log'!$L$4:$L$203,0)+3,"")</f>
        <v/>
      </c>
    </row>
    <row r="141" spans="1:17" ht="15" customHeight="1" x14ac:dyDescent="0.2">
      <c r="A141" s="12">
        <f>140</f>
        <v>140</v>
      </c>
      <c r="B141" s="12" t="str">
        <f>IF(C141="","",IF(C141="Match",INDEX('Match Log'!$A:$A,D141),IF(C141="Tournament",INDEX('Tournament Log'!$A:$A,E141),INDEX('Guest Log'!$A:$A,Q141))))</f>
        <v/>
      </c>
      <c r="C141" s="12" t="str">
        <f t="shared" si="10"/>
        <v/>
      </c>
      <c r="D141" s="31" t="str">
        <f>IFERROR(MATCH($A141,'Match Log'!$K$3:$K$501,0)+2,"")</f>
        <v/>
      </c>
      <c r="E141" s="31" t="str">
        <f>IFERROR(MATCH($A141,'Tournament Log'!$O$4:$O$203,0)+3,"")</f>
        <v/>
      </c>
      <c r="F141" s="12" t="str">
        <f>IF(C141="","",IF(C141="Match",INDEX('Match Log'!$B:$B,D141),IF(C141="Tournament",INDEX('Tournament Log'!$C:$C,E141),INDEX('Guest Log'!$B:$B,Q141))))</f>
        <v/>
      </c>
      <c r="G141" s="12" t="str">
        <f>IF(C141="","",IF(C141="Match",INDEX('Match Log'!$C:$C,D141),IF(C141="Tournament",INDEX('Tournament Log'!$B:$B,E141)&amp;" (Phantom)",INDEX('Guest Log'!$H:$H,Q141)&amp;" (Guest)")))</f>
        <v/>
      </c>
      <c r="H141" s="32" t="str">
        <f t="array" ref="H141">IF(C141="","",IFERROR(LOOKUP(2,1/(($F$1:F140=F141)+($G$1:G140=F141)),IF($F$1:F140=F141,$N$1:N140,$O$1:O140)),1000))</f>
        <v/>
      </c>
      <c r="I141" s="12" t="str">
        <f t="array" ref="I141">IF(C141="","",IF(C141="Tournament",INDEX('Tournament Log'!$J:$J,E141),IF(C141="Guest",IF(INDEX('Guest Log'!$I:$I,Q141)="",1000,INDEX('Guest Log'!$I:$I,Q141)),IFERROR(LOOKUP(2,1/(($F$1:F140=G141)+($G$1:G140=G141)),IF($F$1:F140=G141,$N$1:N140,$O$1:O140)),1000))))</f>
        <v/>
      </c>
      <c r="J141" s="12" t="str">
        <f t="shared" si="11"/>
        <v/>
      </c>
      <c r="K141" s="12" t="str">
        <f>IF(C141="","",IF(C141="Match",IF(INDEX('Match Log'!$D:$D,D141)="Win",1,IF(INDEX('Match Log'!$D:$D,D141)="Draw",0.5,0)),IF(C141="Tournament",INDEX('Tournament Log'!$K:$K,E141),IF(INDEX('Guest Log'!$C:$C,Q141)="Win",1,IF(INDEX('Guest Log'!$C:$C,Q141)="Draw",0.5,0)))))</f>
        <v/>
      </c>
      <c r="L141" s="12" t="str">
        <f>IF(C141="","",IF(C141="Match",32,IF(C141="Tournament",MIN(32*INDEX('Tournament Log'!$D:$D,E141),96),32)))</f>
        <v/>
      </c>
      <c r="M141" s="12" t="str">
        <f t="shared" si="12"/>
        <v/>
      </c>
      <c r="N141" s="12" t="str">
        <f t="shared" si="13"/>
        <v/>
      </c>
      <c r="O141" s="12" t="str">
        <f t="shared" si="14"/>
        <v/>
      </c>
      <c r="P141" s="12" t="str">
        <f>IF(C141="Tournament",INDEX('Tournament Log'!$B:$B,E141),IF(C141="Guest","Guest: "&amp;INDEX('Guest Log'!$H:$H,Q141),""))</f>
        <v/>
      </c>
      <c r="Q141" t="str">
        <f>IFERROR(MATCH($A141,'Guest Log'!$L$4:$L$203,0)+3,"")</f>
        <v/>
      </c>
    </row>
    <row r="142" spans="1:17" ht="15" customHeight="1" x14ac:dyDescent="0.2">
      <c r="A142" s="12">
        <f>141</f>
        <v>141</v>
      </c>
      <c r="B142" s="12" t="str">
        <f>IF(C142="","",IF(C142="Match",INDEX('Match Log'!$A:$A,D142),IF(C142="Tournament",INDEX('Tournament Log'!$A:$A,E142),INDEX('Guest Log'!$A:$A,Q142))))</f>
        <v/>
      </c>
      <c r="C142" s="12" t="str">
        <f t="shared" si="10"/>
        <v/>
      </c>
      <c r="D142" s="31" t="str">
        <f>IFERROR(MATCH($A142,'Match Log'!$K$3:$K$501,0)+2,"")</f>
        <v/>
      </c>
      <c r="E142" s="31" t="str">
        <f>IFERROR(MATCH($A142,'Tournament Log'!$O$4:$O$203,0)+3,"")</f>
        <v/>
      </c>
      <c r="F142" s="12" t="str">
        <f>IF(C142="","",IF(C142="Match",INDEX('Match Log'!$B:$B,D142),IF(C142="Tournament",INDEX('Tournament Log'!$C:$C,E142),INDEX('Guest Log'!$B:$B,Q142))))</f>
        <v/>
      </c>
      <c r="G142" s="12" t="str">
        <f>IF(C142="","",IF(C142="Match",INDEX('Match Log'!$C:$C,D142),IF(C142="Tournament",INDEX('Tournament Log'!$B:$B,E142)&amp;" (Phantom)",INDEX('Guest Log'!$H:$H,Q142)&amp;" (Guest)")))</f>
        <v/>
      </c>
      <c r="H142" s="32" t="str">
        <f t="array" ref="H142">IF(C142="","",IFERROR(LOOKUP(2,1/(($F$1:F141=F142)+($G$1:G141=F142)),IF($F$1:F141=F142,$N$1:N141,$O$1:O141)),1000))</f>
        <v/>
      </c>
      <c r="I142" s="12" t="str">
        <f t="array" ref="I142">IF(C142="","",IF(C142="Tournament",INDEX('Tournament Log'!$J:$J,E142),IF(C142="Guest",IF(INDEX('Guest Log'!$I:$I,Q142)="",1000,INDEX('Guest Log'!$I:$I,Q142)),IFERROR(LOOKUP(2,1/(($F$1:F141=G142)+($G$1:G141=G142)),IF($F$1:F141=G142,$N$1:N141,$O$1:O141)),1000))))</f>
        <v/>
      </c>
      <c r="J142" s="12" t="str">
        <f t="shared" si="11"/>
        <v/>
      </c>
      <c r="K142" s="12" t="str">
        <f>IF(C142="","",IF(C142="Match",IF(INDEX('Match Log'!$D:$D,D142)="Win",1,IF(INDEX('Match Log'!$D:$D,D142)="Draw",0.5,0)),IF(C142="Tournament",INDEX('Tournament Log'!$K:$K,E142),IF(INDEX('Guest Log'!$C:$C,Q142)="Win",1,IF(INDEX('Guest Log'!$C:$C,Q142)="Draw",0.5,0)))))</f>
        <v/>
      </c>
      <c r="L142" s="12" t="str">
        <f>IF(C142="","",IF(C142="Match",32,IF(C142="Tournament",MIN(32*INDEX('Tournament Log'!$D:$D,E142),96),32)))</f>
        <v/>
      </c>
      <c r="M142" s="12" t="str">
        <f t="shared" si="12"/>
        <v/>
      </c>
      <c r="N142" s="12" t="str">
        <f t="shared" si="13"/>
        <v/>
      </c>
      <c r="O142" s="12" t="str">
        <f t="shared" si="14"/>
        <v/>
      </c>
      <c r="P142" s="12" t="str">
        <f>IF(C142="Tournament",INDEX('Tournament Log'!$B:$B,E142),IF(C142="Guest","Guest: "&amp;INDEX('Guest Log'!$H:$H,Q142),""))</f>
        <v/>
      </c>
      <c r="Q142" t="str">
        <f>IFERROR(MATCH($A142,'Guest Log'!$L$4:$L$203,0)+3,"")</f>
        <v/>
      </c>
    </row>
    <row r="143" spans="1:17" ht="15" customHeight="1" x14ac:dyDescent="0.2">
      <c r="A143" s="12">
        <f>142</f>
        <v>142</v>
      </c>
      <c r="B143" s="12" t="str">
        <f>IF(C143="","",IF(C143="Match",INDEX('Match Log'!$A:$A,D143),IF(C143="Tournament",INDEX('Tournament Log'!$A:$A,E143),INDEX('Guest Log'!$A:$A,Q143))))</f>
        <v/>
      </c>
      <c r="C143" s="12" t="str">
        <f t="shared" si="10"/>
        <v/>
      </c>
      <c r="D143" s="31" t="str">
        <f>IFERROR(MATCH($A143,'Match Log'!$K$3:$K$501,0)+2,"")</f>
        <v/>
      </c>
      <c r="E143" s="31" t="str">
        <f>IFERROR(MATCH($A143,'Tournament Log'!$O$4:$O$203,0)+3,"")</f>
        <v/>
      </c>
      <c r="F143" s="12" t="str">
        <f>IF(C143="","",IF(C143="Match",INDEX('Match Log'!$B:$B,D143),IF(C143="Tournament",INDEX('Tournament Log'!$C:$C,E143),INDEX('Guest Log'!$B:$B,Q143))))</f>
        <v/>
      </c>
      <c r="G143" s="12" t="str">
        <f>IF(C143="","",IF(C143="Match",INDEX('Match Log'!$C:$C,D143),IF(C143="Tournament",INDEX('Tournament Log'!$B:$B,E143)&amp;" (Phantom)",INDEX('Guest Log'!$H:$H,Q143)&amp;" (Guest)")))</f>
        <v/>
      </c>
      <c r="H143" s="32" t="str">
        <f t="array" ref="H143">IF(C143="","",IFERROR(LOOKUP(2,1/(($F$1:F142=F143)+($G$1:G142=F143)),IF($F$1:F142=F143,$N$1:N142,$O$1:O142)),1000))</f>
        <v/>
      </c>
      <c r="I143" s="12" t="str">
        <f t="array" ref="I143">IF(C143="","",IF(C143="Tournament",INDEX('Tournament Log'!$J:$J,E143),IF(C143="Guest",IF(INDEX('Guest Log'!$I:$I,Q143)="",1000,INDEX('Guest Log'!$I:$I,Q143)),IFERROR(LOOKUP(2,1/(($F$1:F142=G143)+($G$1:G142=G143)),IF($F$1:F142=G143,$N$1:N142,$O$1:O142)),1000))))</f>
        <v/>
      </c>
      <c r="J143" s="12" t="str">
        <f t="shared" si="11"/>
        <v/>
      </c>
      <c r="K143" s="12" t="str">
        <f>IF(C143="","",IF(C143="Match",IF(INDEX('Match Log'!$D:$D,D143)="Win",1,IF(INDEX('Match Log'!$D:$D,D143)="Draw",0.5,0)),IF(C143="Tournament",INDEX('Tournament Log'!$K:$K,E143),IF(INDEX('Guest Log'!$C:$C,Q143)="Win",1,IF(INDEX('Guest Log'!$C:$C,Q143)="Draw",0.5,0)))))</f>
        <v/>
      </c>
      <c r="L143" s="12" t="str">
        <f>IF(C143="","",IF(C143="Match",32,IF(C143="Tournament",MIN(32*INDEX('Tournament Log'!$D:$D,E143),96),32)))</f>
        <v/>
      </c>
      <c r="M143" s="12" t="str">
        <f t="shared" si="12"/>
        <v/>
      </c>
      <c r="N143" s="12" t="str">
        <f t="shared" si="13"/>
        <v/>
      </c>
      <c r="O143" s="12" t="str">
        <f t="shared" si="14"/>
        <v/>
      </c>
      <c r="P143" s="12" t="str">
        <f>IF(C143="Tournament",INDEX('Tournament Log'!$B:$B,E143),IF(C143="Guest","Guest: "&amp;INDEX('Guest Log'!$H:$H,Q143),""))</f>
        <v/>
      </c>
      <c r="Q143" t="str">
        <f>IFERROR(MATCH($A143,'Guest Log'!$L$4:$L$203,0)+3,"")</f>
        <v/>
      </c>
    </row>
    <row r="144" spans="1:17" ht="15" customHeight="1" x14ac:dyDescent="0.2">
      <c r="A144" s="12">
        <f>143</f>
        <v>143</v>
      </c>
      <c r="B144" s="12" t="str">
        <f>IF(C144="","",IF(C144="Match",INDEX('Match Log'!$A:$A,D144),IF(C144="Tournament",INDEX('Tournament Log'!$A:$A,E144),INDEX('Guest Log'!$A:$A,Q144))))</f>
        <v/>
      </c>
      <c r="C144" s="12" t="str">
        <f t="shared" si="10"/>
        <v/>
      </c>
      <c r="D144" s="31" t="str">
        <f>IFERROR(MATCH($A144,'Match Log'!$K$3:$K$501,0)+2,"")</f>
        <v/>
      </c>
      <c r="E144" s="31" t="str">
        <f>IFERROR(MATCH($A144,'Tournament Log'!$O$4:$O$203,0)+3,"")</f>
        <v/>
      </c>
      <c r="F144" s="12" t="str">
        <f>IF(C144="","",IF(C144="Match",INDEX('Match Log'!$B:$B,D144),IF(C144="Tournament",INDEX('Tournament Log'!$C:$C,E144),INDEX('Guest Log'!$B:$B,Q144))))</f>
        <v/>
      </c>
      <c r="G144" s="12" t="str">
        <f>IF(C144="","",IF(C144="Match",INDEX('Match Log'!$C:$C,D144),IF(C144="Tournament",INDEX('Tournament Log'!$B:$B,E144)&amp;" (Phantom)",INDEX('Guest Log'!$H:$H,Q144)&amp;" (Guest)")))</f>
        <v/>
      </c>
      <c r="H144" s="32" t="str">
        <f t="array" ref="H144">IF(C144="","",IFERROR(LOOKUP(2,1/(($F$1:F143=F144)+($G$1:G143=F144)),IF($F$1:F143=F144,$N$1:N143,$O$1:O143)),1000))</f>
        <v/>
      </c>
      <c r="I144" s="12" t="str">
        <f t="array" ref="I144">IF(C144="","",IF(C144="Tournament",INDEX('Tournament Log'!$J:$J,E144),IF(C144="Guest",IF(INDEX('Guest Log'!$I:$I,Q144)="",1000,INDEX('Guest Log'!$I:$I,Q144)),IFERROR(LOOKUP(2,1/(($F$1:F143=G144)+($G$1:G143=G144)),IF($F$1:F143=G144,$N$1:N143,$O$1:O143)),1000))))</f>
        <v/>
      </c>
      <c r="J144" s="12" t="str">
        <f t="shared" si="11"/>
        <v/>
      </c>
      <c r="K144" s="12" t="str">
        <f>IF(C144="","",IF(C144="Match",IF(INDEX('Match Log'!$D:$D,D144)="Win",1,IF(INDEX('Match Log'!$D:$D,D144)="Draw",0.5,0)),IF(C144="Tournament",INDEX('Tournament Log'!$K:$K,E144),IF(INDEX('Guest Log'!$C:$C,Q144)="Win",1,IF(INDEX('Guest Log'!$C:$C,Q144)="Draw",0.5,0)))))</f>
        <v/>
      </c>
      <c r="L144" s="12" t="str">
        <f>IF(C144="","",IF(C144="Match",32,IF(C144="Tournament",MIN(32*INDEX('Tournament Log'!$D:$D,E144),96),32)))</f>
        <v/>
      </c>
      <c r="M144" s="12" t="str">
        <f t="shared" si="12"/>
        <v/>
      </c>
      <c r="N144" s="12" t="str">
        <f t="shared" si="13"/>
        <v/>
      </c>
      <c r="O144" s="12" t="str">
        <f t="shared" si="14"/>
        <v/>
      </c>
      <c r="P144" s="12" t="str">
        <f>IF(C144="Tournament",INDEX('Tournament Log'!$B:$B,E144),IF(C144="Guest","Guest: "&amp;INDEX('Guest Log'!$H:$H,Q144),""))</f>
        <v/>
      </c>
      <c r="Q144" t="str">
        <f>IFERROR(MATCH($A144,'Guest Log'!$L$4:$L$203,0)+3,"")</f>
        <v/>
      </c>
    </row>
    <row r="145" spans="1:17" ht="15" customHeight="1" x14ac:dyDescent="0.2">
      <c r="A145" s="12">
        <f>144</f>
        <v>144</v>
      </c>
      <c r="B145" s="12" t="str">
        <f>IF(C145="","",IF(C145="Match",INDEX('Match Log'!$A:$A,D145),IF(C145="Tournament",INDEX('Tournament Log'!$A:$A,E145),INDEX('Guest Log'!$A:$A,Q145))))</f>
        <v/>
      </c>
      <c r="C145" s="12" t="str">
        <f t="shared" si="10"/>
        <v/>
      </c>
      <c r="D145" s="31" t="str">
        <f>IFERROR(MATCH($A145,'Match Log'!$K$3:$K$501,0)+2,"")</f>
        <v/>
      </c>
      <c r="E145" s="31" t="str">
        <f>IFERROR(MATCH($A145,'Tournament Log'!$O$4:$O$203,0)+3,"")</f>
        <v/>
      </c>
      <c r="F145" s="12" t="str">
        <f>IF(C145="","",IF(C145="Match",INDEX('Match Log'!$B:$B,D145),IF(C145="Tournament",INDEX('Tournament Log'!$C:$C,E145),INDEX('Guest Log'!$B:$B,Q145))))</f>
        <v/>
      </c>
      <c r="G145" s="12" t="str">
        <f>IF(C145="","",IF(C145="Match",INDEX('Match Log'!$C:$C,D145),IF(C145="Tournament",INDEX('Tournament Log'!$B:$B,E145)&amp;" (Phantom)",INDEX('Guest Log'!$H:$H,Q145)&amp;" (Guest)")))</f>
        <v/>
      </c>
      <c r="H145" s="32" t="str">
        <f t="array" ref="H145">IF(C145="","",IFERROR(LOOKUP(2,1/(($F$1:F144=F145)+($G$1:G144=F145)),IF($F$1:F144=F145,$N$1:N144,$O$1:O144)),1000))</f>
        <v/>
      </c>
      <c r="I145" s="12" t="str">
        <f t="array" ref="I145">IF(C145="","",IF(C145="Tournament",INDEX('Tournament Log'!$J:$J,E145),IF(C145="Guest",IF(INDEX('Guest Log'!$I:$I,Q145)="",1000,INDEX('Guest Log'!$I:$I,Q145)),IFERROR(LOOKUP(2,1/(($F$1:F144=G145)+($G$1:G144=G145)),IF($F$1:F144=G145,$N$1:N144,$O$1:O144)),1000))))</f>
        <v/>
      </c>
      <c r="J145" s="12" t="str">
        <f t="shared" si="11"/>
        <v/>
      </c>
      <c r="K145" s="12" t="str">
        <f>IF(C145="","",IF(C145="Match",IF(INDEX('Match Log'!$D:$D,D145)="Win",1,IF(INDEX('Match Log'!$D:$D,D145)="Draw",0.5,0)),IF(C145="Tournament",INDEX('Tournament Log'!$K:$K,E145),IF(INDEX('Guest Log'!$C:$C,Q145)="Win",1,IF(INDEX('Guest Log'!$C:$C,Q145)="Draw",0.5,0)))))</f>
        <v/>
      </c>
      <c r="L145" s="12" t="str">
        <f>IF(C145="","",IF(C145="Match",32,IF(C145="Tournament",MIN(32*INDEX('Tournament Log'!$D:$D,E145),96),32)))</f>
        <v/>
      </c>
      <c r="M145" s="12" t="str">
        <f t="shared" si="12"/>
        <v/>
      </c>
      <c r="N145" s="12" t="str">
        <f t="shared" si="13"/>
        <v/>
      </c>
      <c r="O145" s="12" t="str">
        <f t="shared" si="14"/>
        <v/>
      </c>
      <c r="P145" s="12" t="str">
        <f>IF(C145="Tournament",INDEX('Tournament Log'!$B:$B,E145),IF(C145="Guest","Guest: "&amp;INDEX('Guest Log'!$H:$H,Q145),""))</f>
        <v/>
      </c>
      <c r="Q145" t="str">
        <f>IFERROR(MATCH($A145,'Guest Log'!$L$4:$L$203,0)+3,"")</f>
        <v/>
      </c>
    </row>
    <row r="146" spans="1:17" ht="15" customHeight="1" x14ac:dyDescent="0.2">
      <c r="A146" s="12">
        <f>145</f>
        <v>145</v>
      </c>
      <c r="B146" s="12" t="str">
        <f>IF(C146="","",IF(C146="Match",INDEX('Match Log'!$A:$A,D146),IF(C146="Tournament",INDEX('Tournament Log'!$A:$A,E146),INDEX('Guest Log'!$A:$A,Q146))))</f>
        <v/>
      </c>
      <c r="C146" s="12" t="str">
        <f t="shared" si="10"/>
        <v/>
      </c>
      <c r="D146" s="31" t="str">
        <f>IFERROR(MATCH($A146,'Match Log'!$K$3:$K$501,0)+2,"")</f>
        <v/>
      </c>
      <c r="E146" s="31" t="str">
        <f>IFERROR(MATCH($A146,'Tournament Log'!$O$4:$O$203,0)+3,"")</f>
        <v/>
      </c>
      <c r="F146" s="12" t="str">
        <f>IF(C146="","",IF(C146="Match",INDEX('Match Log'!$B:$B,D146),IF(C146="Tournament",INDEX('Tournament Log'!$C:$C,E146),INDEX('Guest Log'!$B:$B,Q146))))</f>
        <v/>
      </c>
      <c r="G146" s="12" t="str">
        <f>IF(C146="","",IF(C146="Match",INDEX('Match Log'!$C:$C,D146),IF(C146="Tournament",INDEX('Tournament Log'!$B:$B,E146)&amp;" (Phantom)",INDEX('Guest Log'!$H:$H,Q146)&amp;" (Guest)")))</f>
        <v/>
      </c>
      <c r="H146" s="32" t="str">
        <f t="array" ref="H146">IF(C146="","",IFERROR(LOOKUP(2,1/(($F$1:F145=F146)+($G$1:G145=F146)),IF($F$1:F145=F146,$N$1:N145,$O$1:O145)),1000))</f>
        <v/>
      </c>
      <c r="I146" s="12" t="str">
        <f t="array" ref="I146">IF(C146="","",IF(C146="Tournament",INDEX('Tournament Log'!$J:$J,E146),IF(C146="Guest",IF(INDEX('Guest Log'!$I:$I,Q146)="",1000,INDEX('Guest Log'!$I:$I,Q146)),IFERROR(LOOKUP(2,1/(($F$1:F145=G146)+($G$1:G145=G146)),IF($F$1:F145=G146,$N$1:N145,$O$1:O145)),1000))))</f>
        <v/>
      </c>
      <c r="J146" s="12" t="str">
        <f t="shared" si="11"/>
        <v/>
      </c>
      <c r="K146" s="12" t="str">
        <f>IF(C146="","",IF(C146="Match",IF(INDEX('Match Log'!$D:$D,D146)="Win",1,IF(INDEX('Match Log'!$D:$D,D146)="Draw",0.5,0)),IF(C146="Tournament",INDEX('Tournament Log'!$K:$K,E146),IF(INDEX('Guest Log'!$C:$C,Q146)="Win",1,IF(INDEX('Guest Log'!$C:$C,Q146)="Draw",0.5,0)))))</f>
        <v/>
      </c>
      <c r="L146" s="12" t="str">
        <f>IF(C146="","",IF(C146="Match",32,IF(C146="Tournament",MIN(32*INDEX('Tournament Log'!$D:$D,E146),96),32)))</f>
        <v/>
      </c>
      <c r="M146" s="12" t="str">
        <f t="shared" si="12"/>
        <v/>
      </c>
      <c r="N146" s="12" t="str">
        <f t="shared" si="13"/>
        <v/>
      </c>
      <c r="O146" s="12" t="str">
        <f t="shared" si="14"/>
        <v/>
      </c>
      <c r="P146" s="12" t="str">
        <f>IF(C146="Tournament",INDEX('Tournament Log'!$B:$B,E146),IF(C146="Guest","Guest: "&amp;INDEX('Guest Log'!$H:$H,Q146),""))</f>
        <v/>
      </c>
      <c r="Q146" t="str">
        <f>IFERROR(MATCH($A146,'Guest Log'!$L$4:$L$203,0)+3,"")</f>
        <v/>
      </c>
    </row>
    <row r="147" spans="1:17" ht="15" customHeight="1" x14ac:dyDescent="0.2">
      <c r="A147" s="12">
        <f>146</f>
        <v>146</v>
      </c>
      <c r="B147" s="12" t="str">
        <f>IF(C147="","",IF(C147="Match",INDEX('Match Log'!$A:$A,D147),IF(C147="Tournament",INDEX('Tournament Log'!$A:$A,E147),INDEX('Guest Log'!$A:$A,Q147))))</f>
        <v/>
      </c>
      <c r="C147" s="12" t="str">
        <f t="shared" si="10"/>
        <v/>
      </c>
      <c r="D147" s="31" t="str">
        <f>IFERROR(MATCH($A147,'Match Log'!$K$3:$K$501,0)+2,"")</f>
        <v/>
      </c>
      <c r="E147" s="31" t="str">
        <f>IFERROR(MATCH($A147,'Tournament Log'!$O$4:$O$203,0)+3,"")</f>
        <v/>
      </c>
      <c r="F147" s="12" t="str">
        <f>IF(C147="","",IF(C147="Match",INDEX('Match Log'!$B:$B,D147),IF(C147="Tournament",INDEX('Tournament Log'!$C:$C,E147),INDEX('Guest Log'!$B:$B,Q147))))</f>
        <v/>
      </c>
      <c r="G147" s="12" t="str">
        <f>IF(C147="","",IF(C147="Match",INDEX('Match Log'!$C:$C,D147),IF(C147="Tournament",INDEX('Tournament Log'!$B:$B,E147)&amp;" (Phantom)",INDEX('Guest Log'!$H:$H,Q147)&amp;" (Guest)")))</f>
        <v/>
      </c>
      <c r="H147" s="32" t="str">
        <f t="array" ref="H147">IF(C147="","",IFERROR(LOOKUP(2,1/(($F$1:F146=F147)+($G$1:G146=F147)),IF($F$1:F146=F147,$N$1:N146,$O$1:O146)),1000))</f>
        <v/>
      </c>
      <c r="I147" s="12" t="str">
        <f t="array" ref="I147">IF(C147="","",IF(C147="Tournament",INDEX('Tournament Log'!$J:$J,E147),IF(C147="Guest",IF(INDEX('Guest Log'!$I:$I,Q147)="",1000,INDEX('Guest Log'!$I:$I,Q147)),IFERROR(LOOKUP(2,1/(($F$1:F146=G147)+($G$1:G146=G147)),IF($F$1:F146=G147,$N$1:N146,$O$1:O146)),1000))))</f>
        <v/>
      </c>
      <c r="J147" s="12" t="str">
        <f t="shared" si="11"/>
        <v/>
      </c>
      <c r="K147" s="12" t="str">
        <f>IF(C147="","",IF(C147="Match",IF(INDEX('Match Log'!$D:$D,D147)="Win",1,IF(INDEX('Match Log'!$D:$D,D147)="Draw",0.5,0)),IF(C147="Tournament",INDEX('Tournament Log'!$K:$K,E147),IF(INDEX('Guest Log'!$C:$C,Q147)="Win",1,IF(INDEX('Guest Log'!$C:$C,Q147)="Draw",0.5,0)))))</f>
        <v/>
      </c>
      <c r="L147" s="12" t="str">
        <f>IF(C147="","",IF(C147="Match",32,IF(C147="Tournament",MIN(32*INDEX('Tournament Log'!$D:$D,E147),96),32)))</f>
        <v/>
      </c>
      <c r="M147" s="12" t="str">
        <f t="shared" si="12"/>
        <v/>
      </c>
      <c r="N147" s="12" t="str">
        <f t="shared" si="13"/>
        <v/>
      </c>
      <c r="O147" s="12" t="str">
        <f t="shared" si="14"/>
        <v/>
      </c>
      <c r="P147" s="12" t="str">
        <f>IF(C147="Tournament",INDEX('Tournament Log'!$B:$B,E147),IF(C147="Guest","Guest: "&amp;INDEX('Guest Log'!$H:$H,Q147),""))</f>
        <v/>
      </c>
      <c r="Q147" t="str">
        <f>IFERROR(MATCH($A147,'Guest Log'!$L$4:$L$203,0)+3,"")</f>
        <v/>
      </c>
    </row>
    <row r="148" spans="1:17" ht="15" customHeight="1" x14ac:dyDescent="0.2">
      <c r="A148" s="12">
        <f>147</f>
        <v>147</v>
      </c>
      <c r="B148" s="12" t="str">
        <f>IF(C148="","",IF(C148="Match",INDEX('Match Log'!$A:$A,D148),IF(C148="Tournament",INDEX('Tournament Log'!$A:$A,E148),INDEX('Guest Log'!$A:$A,Q148))))</f>
        <v/>
      </c>
      <c r="C148" s="12" t="str">
        <f t="shared" si="10"/>
        <v/>
      </c>
      <c r="D148" s="31" t="str">
        <f>IFERROR(MATCH($A148,'Match Log'!$K$3:$K$501,0)+2,"")</f>
        <v/>
      </c>
      <c r="E148" s="31" t="str">
        <f>IFERROR(MATCH($A148,'Tournament Log'!$O$4:$O$203,0)+3,"")</f>
        <v/>
      </c>
      <c r="F148" s="12" t="str">
        <f>IF(C148="","",IF(C148="Match",INDEX('Match Log'!$B:$B,D148),IF(C148="Tournament",INDEX('Tournament Log'!$C:$C,E148),INDEX('Guest Log'!$B:$B,Q148))))</f>
        <v/>
      </c>
      <c r="G148" s="12" t="str">
        <f>IF(C148="","",IF(C148="Match",INDEX('Match Log'!$C:$C,D148),IF(C148="Tournament",INDEX('Tournament Log'!$B:$B,E148)&amp;" (Phantom)",INDEX('Guest Log'!$H:$H,Q148)&amp;" (Guest)")))</f>
        <v/>
      </c>
      <c r="H148" s="32" t="str">
        <f t="array" ref="H148">IF(C148="","",IFERROR(LOOKUP(2,1/(($F$1:F147=F148)+($G$1:G147=F148)),IF($F$1:F147=F148,$N$1:N147,$O$1:O147)),1000))</f>
        <v/>
      </c>
      <c r="I148" s="12" t="str">
        <f t="array" ref="I148">IF(C148="","",IF(C148="Tournament",INDEX('Tournament Log'!$J:$J,E148),IF(C148="Guest",IF(INDEX('Guest Log'!$I:$I,Q148)="",1000,INDEX('Guest Log'!$I:$I,Q148)),IFERROR(LOOKUP(2,1/(($F$1:F147=G148)+($G$1:G147=G148)),IF($F$1:F147=G148,$N$1:N147,$O$1:O147)),1000))))</f>
        <v/>
      </c>
      <c r="J148" s="12" t="str">
        <f t="shared" si="11"/>
        <v/>
      </c>
      <c r="K148" s="12" t="str">
        <f>IF(C148="","",IF(C148="Match",IF(INDEX('Match Log'!$D:$D,D148)="Win",1,IF(INDEX('Match Log'!$D:$D,D148)="Draw",0.5,0)),IF(C148="Tournament",INDEX('Tournament Log'!$K:$K,E148),IF(INDEX('Guest Log'!$C:$C,Q148)="Win",1,IF(INDEX('Guest Log'!$C:$C,Q148)="Draw",0.5,0)))))</f>
        <v/>
      </c>
      <c r="L148" s="12" t="str">
        <f>IF(C148="","",IF(C148="Match",32,IF(C148="Tournament",MIN(32*INDEX('Tournament Log'!$D:$D,E148),96),32)))</f>
        <v/>
      </c>
      <c r="M148" s="12" t="str">
        <f t="shared" si="12"/>
        <v/>
      </c>
      <c r="N148" s="12" t="str">
        <f t="shared" si="13"/>
        <v/>
      </c>
      <c r="O148" s="12" t="str">
        <f t="shared" si="14"/>
        <v/>
      </c>
      <c r="P148" s="12" t="str">
        <f>IF(C148="Tournament",INDEX('Tournament Log'!$B:$B,E148),IF(C148="Guest","Guest: "&amp;INDEX('Guest Log'!$H:$H,Q148),""))</f>
        <v/>
      </c>
      <c r="Q148" t="str">
        <f>IFERROR(MATCH($A148,'Guest Log'!$L$4:$L$203,0)+3,"")</f>
        <v/>
      </c>
    </row>
    <row r="149" spans="1:17" ht="15" customHeight="1" x14ac:dyDescent="0.2">
      <c r="A149" s="12">
        <f>148</f>
        <v>148</v>
      </c>
      <c r="B149" s="12" t="str">
        <f>IF(C149="","",IF(C149="Match",INDEX('Match Log'!$A:$A,D149),IF(C149="Tournament",INDEX('Tournament Log'!$A:$A,E149),INDEX('Guest Log'!$A:$A,Q149))))</f>
        <v/>
      </c>
      <c r="C149" s="12" t="str">
        <f t="shared" si="10"/>
        <v/>
      </c>
      <c r="D149" s="31" t="str">
        <f>IFERROR(MATCH($A149,'Match Log'!$K$3:$K$501,0)+2,"")</f>
        <v/>
      </c>
      <c r="E149" s="31" t="str">
        <f>IFERROR(MATCH($A149,'Tournament Log'!$O$4:$O$203,0)+3,"")</f>
        <v/>
      </c>
      <c r="F149" s="12" t="str">
        <f>IF(C149="","",IF(C149="Match",INDEX('Match Log'!$B:$B,D149),IF(C149="Tournament",INDEX('Tournament Log'!$C:$C,E149),INDEX('Guest Log'!$B:$B,Q149))))</f>
        <v/>
      </c>
      <c r="G149" s="12" t="str">
        <f>IF(C149="","",IF(C149="Match",INDEX('Match Log'!$C:$C,D149),IF(C149="Tournament",INDEX('Tournament Log'!$B:$B,E149)&amp;" (Phantom)",INDEX('Guest Log'!$H:$H,Q149)&amp;" (Guest)")))</f>
        <v/>
      </c>
      <c r="H149" s="32" t="str">
        <f t="array" ref="H149">IF(C149="","",IFERROR(LOOKUP(2,1/(($F$1:F148=F149)+($G$1:G148=F149)),IF($F$1:F148=F149,$N$1:N148,$O$1:O148)),1000))</f>
        <v/>
      </c>
      <c r="I149" s="12" t="str">
        <f t="array" ref="I149">IF(C149="","",IF(C149="Tournament",INDEX('Tournament Log'!$J:$J,E149),IF(C149="Guest",IF(INDEX('Guest Log'!$I:$I,Q149)="",1000,INDEX('Guest Log'!$I:$I,Q149)),IFERROR(LOOKUP(2,1/(($F$1:F148=G149)+($G$1:G148=G149)),IF($F$1:F148=G149,$N$1:N148,$O$1:O148)),1000))))</f>
        <v/>
      </c>
      <c r="J149" s="12" t="str">
        <f t="shared" si="11"/>
        <v/>
      </c>
      <c r="K149" s="12" t="str">
        <f>IF(C149="","",IF(C149="Match",IF(INDEX('Match Log'!$D:$D,D149)="Win",1,IF(INDEX('Match Log'!$D:$D,D149)="Draw",0.5,0)),IF(C149="Tournament",INDEX('Tournament Log'!$K:$K,E149),IF(INDEX('Guest Log'!$C:$C,Q149)="Win",1,IF(INDEX('Guest Log'!$C:$C,Q149)="Draw",0.5,0)))))</f>
        <v/>
      </c>
      <c r="L149" s="12" t="str">
        <f>IF(C149="","",IF(C149="Match",32,IF(C149="Tournament",MIN(32*INDEX('Tournament Log'!$D:$D,E149),96),32)))</f>
        <v/>
      </c>
      <c r="M149" s="12" t="str">
        <f t="shared" si="12"/>
        <v/>
      </c>
      <c r="N149" s="12" t="str">
        <f t="shared" si="13"/>
        <v/>
      </c>
      <c r="O149" s="12" t="str">
        <f t="shared" si="14"/>
        <v/>
      </c>
      <c r="P149" s="12" t="str">
        <f>IF(C149="Tournament",INDEX('Tournament Log'!$B:$B,E149),IF(C149="Guest","Guest: "&amp;INDEX('Guest Log'!$H:$H,Q149),""))</f>
        <v/>
      </c>
      <c r="Q149" t="str">
        <f>IFERROR(MATCH($A149,'Guest Log'!$L$4:$L$203,0)+3,"")</f>
        <v/>
      </c>
    </row>
    <row r="150" spans="1:17" ht="15" customHeight="1" x14ac:dyDescent="0.2">
      <c r="A150" s="12">
        <f>149</f>
        <v>149</v>
      </c>
      <c r="B150" s="12" t="str">
        <f>IF(C150="","",IF(C150="Match",INDEX('Match Log'!$A:$A,D150),IF(C150="Tournament",INDEX('Tournament Log'!$A:$A,E150),INDEX('Guest Log'!$A:$A,Q150))))</f>
        <v/>
      </c>
      <c r="C150" s="12" t="str">
        <f t="shared" si="10"/>
        <v/>
      </c>
      <c r="D150" s="31" t="str">
        <f>IFERROR(MATCH($A150,'Match Log'!$K$3:$K$501,0)+2,"")</f>
        <v/>
      </c>
      <c r="E150" s="31" t="str">
        <f>IFERROR(MATCH($A150,'Tournament Log'!$O$4:$O$203,0)+3,"")</f>
        <v/>
      </c>
      <c r="F150" s="12" t="str">
        <f>IF(C150="","",IF(C150="Match",INDEX('Match Log'!$B:$B,D150),IF(C150="Tournament",INDEX('Tournament Log'!$C:$C,E150),INDEX('Guest Log'!$B:$B,Q150))))</f>
        <v/>
      </c>
      <c r="G150" s="12" t="str">
        <f>IF(C150="","",IF(C150="Match",INDEX('Match Log'!$C:$C,D150),IF(C150="Tournament",INDEX('Tournament Log'!$B:$B,E150)&amp;" (Phantom)",INDEX('Guest Log'!$H:$H,Q150)&amp;" (Guest)")))</f>
        <v/>
      </c>
      <c r="H150" s="32" t="str">
        <f t="array" ref="H150">IF(C150="","",IFERROR(LOOKUP(2,1/(($F$1:F149=F150)+($G$1:G149=F150)),IF($F$1:F149=F150,$N$1:N149,$O$1:O149)),1000))</f>
        <v/>
      </c>
      <c r="I150" s="12" t="str">
        <f t="array" ref="I150">IF(C150="","",IF(C150="Tournament",INDEX('Tournament Log'!$J:$J,E150),IF(C150="Guest",IF(INDEX('Guest Log'!$I:$I,Q150)="",1000,INDEX('Guest Log'!$I:$I,Q150)),IFERROR(LOOKUP(2,1/(($F$1:F149=G150)+($G$1:G149=G150)),IF($F$1:F149=G150,$N$1:N149,$O$1:O149)),1000))))</f>
        <v/>
      </c>
      <c r="J150" s="12" t="str">
        <f t="shared" si="11"/>
        <v/>
      </c>
      <c r="K150" s="12" t="str">
        <f>IF(C150="","",IF(C150="Match",IF(INDEX('Match Log'!$D:$D,D150)="Win",1,IF(INDEX('Match Log'!$D:$D,D150)="Draw",0.5,0)),IF(C150="Tournament",INDEX('Tournament Log'!$K:$K,E150),IF(INDEX('Guest Log'!$C:$C,Q150)="Win",1,IF(INDEX('Guest Log'!$C:$C,Q150)="Draw",0.5,0)))))</f>
        <v/>
      </c>
      <c r="L150" s="12" t="str">
        <f>IF(C150="","",IF(C150="Match",32,IF(C150="Tournament",MIN(32*INDEX('Tournament Log'!$D:$D,E150),96),32)))</f>
        <v/>
      </c>
      <c r="M150" s="12" t="str">
        <f t="shared" si="12"/>
        <v/>
      </c>
      <c r="N150" s="12" t="str">
        <f t="shared" si="13"/>
        <v/>
      </c>
      <c r="O150" s="12" t="str">
        <f t="shared" si="14"/>
        <v/>
      </c>
      <c r="P150" s="12" t="str">
        <f>IF(C150="Tournament",INDEX('Tournament Log'!$B:$B,E150),IF(C150="Guest","Guest: "&amp;INDEX('Guest Log'!$H:$H,Q150),""))</f>
        <v/>
      </c>
      <c r="Q150" t="str">
        <f>IFERROR(MATCH($A150,'Guest Log'!$L$4:$L$203,0)+3,"")</f>
        <v/>
      </c>
    </row>
    <row r="151" spans="1:17" ht="15" customHeight="1" x14ac:dyDescent="0.2">
      <c r="A151" s="12">
        <f>150</f>
        <v>150</v>
      </c>
      <c r="B151" s="12" t="str">
        <f>IF(C151="","",IF(C151="Match",INDEX('Match Log'!$A:$A,D151),IF(C151="Tournament",INDEX('Tournament Log'!$A:$A,E151),INDEX('Guest Log'!$A:$A,Q151))))</f>
        <v/>
      </c>
      <c r="C151" s="12" t="str">
        <f t="shared" si="10"/>
        <v/>
      </c>
      <c r="D151" s="31" t="str">
        <f>IFERROR(MATCH($A151,'Match Log'!$K$3:$K$501,0)+2,"")</f>
        <v/>
      </c>
      <c r="E151" s="31" t="str">
        <f>IFERROR(MATCH($A151,'Tournament Log'!$O$4:$O$203,0)+3,"")</f>
        <v/>
      </c>
      <c r="F151" s="12" t="str">
        <f>IF(C151="","",IF(C151="Match",INDEX('Match Log'!$B:$B,D151),IF(C151="Tournament",INDEX('Tournament Log'!$C:$C,E151),INDEX('Guest Log'!$B:$B,Q151))))</f>
        <v/>
      </c>
      <c r="G151" s="12" t="str">
        <f>IF(C151="","",IF(C151="Match",INDEX('Match Log'!$C:$C,D151),IF(C151="Tournament",INDEX('Tournament Log'!$B:$B,E151)&amp;" (Phantom)",INDEX('Guest Log'!$H:$H,Q151)&amp;" (Guest)")))</f>
        <v/>
      </c>
      <c r="H151" s="32" t="str">
        <f t="array" ref="H151">IF(C151="","",IFERROR(LOOKUP(2,1/(($F$1:F150=F151)+($G$1:G150=F151)),IF($F$1:F150=F151,$N$1:N150,$O$1:O150)),1000))</f>
        <v/>
      </c>
      <c r="I151" s="12" t="str">
        <f t="array" ref="I151">IF(C151="","",IF(C151="Tournament",INDEX('Tournament Log'!$J:$J,E151),IF(C151="Guest",IF(INDEX('Guest Log'!$I:$I,Q151)="",1000,INDEX('Guest Log'!$I:$I,Q151)),IFERROR(LOOKUP(2,1/(($F$1:F150=G151)+($G$1:G150=G151)),IF($F$1:F150=G151,$N$1:N150,$O$1:O150)),1000))))</f>
        <v/>
      </c>
      <c r="J151" s="12" t="str">
        <f t="shared" si="11"/>
        <v/>
      </c>
      <c r="K151" s="12" t="str">
        <f>IF(C151="","",IF(C151="Match",IF(INDEX('Match Log'!$D:$D,D151)="Win",1,IF(INDEX('Match Log'!$D:$D,D151)="Draw",0.5,0)),IF(C151="Tournament",INDEX('Tournament Log'!$K:$K,E151),IF(INDEX('Guest Log'!$C:$C,Q151)="Win",1,IF(INDEX('Guest Log'!$C:$C,Q151)="Draw",0.5,0)))))</f>
        <v/>
      </c>
      <c r="L151" s="12" t="str">
        <f>IF(C151="","",IF(C151="Match",32,IF(C151="Tournament",MIN(32*INDEX('Tournament Log'!$D:$D,E151),96),32)))</f>
        <v/>
      </c>
      <c r="M151" s="12" t="str">
        <f t="shared" si="12"/>
        <v/>
      </c>
      <c r="N151" s="12" t="str">
        <f t="shared" si="13"/>
        <v/>
      </c>
      <c r="O151" s="12" t="str">
        <f t="shared" si="14"/>
        <v/>
      </c>
      <c r="P151" s="12" t="str">
        <f>IF(C151="Tournament",INDEX('Tournament Log'!$B:$B,E151),IF(C151="Guest","Guest: "&amp;INDEX('Guest Log'!$H:$H,Q151),""))</f>
        <v/>
      </c>
      <c r="Q151" t="str">
        <f>IFERROR(MATCH($A151,'Guest Log'!$L$4:$L$203,0)+3,"")</f>
        <v/>
      </c>
    </row>
    <row r="152" spans="1:17" ht="15" customHeight="1" x14ac:dyDescent="0.2">
      <c r="A152" s="12">
        <f>151</f>
        <v>151</v>
      </c>
      <c r="B152" s="12" t="str">
        <f>IF(C152="","",IF(C152="Match",INDEX('Match Log'!$A:$A,D152),IF(C152="Tournament",INDEX('Tournament Log'!$A:$A,E152),INDEX('Guest Log'!$A:$A,Q152))))</f>
        <v/>
      </c>
      <c r="C152" s="12" t="str">
        <f t="shared" si="10"/>
        <v/>
      </c>
      <c r="D152" s="31" t="str">
        <f>IFERROR(MATCH($A152,'Match Log'!$K$3:$K$501,0)+2,"")</f>
        <v/>
      </c>
      <c r="E152" s="31" t="str">
        <f>IFERROR(MATCH($A152,'Tournament Log'!$O$4:$O$203,0)+3,"")</f>
        <v/>
      </c>
      <c r="F152" s="12" t="str">
        <f>IF(C152="","",IF(C152="Match",INDEX('Match Log'!$B:$B,D152),IF(C152="Tournament",INDEX('Tournament Log'!$C:$C,E152),INDEX('Guest Log'!$B:$B,Q152))))</f>
        <v/>
      </c>
      <c r="G152" s="12" t="str">
        <f>IF(C152="","",IF(C152="Match",INDEX('Match Log'!$C:$C,D152),IF(C152="Tournament",INDEX('Tournament Log'!$B:$B,E152)&amp;" (Phantom)",INDEX('Guest Log'!$H:$H,Q152)&amp;" (Guest)")))</f>
        <v/>
      </c>
      <c r="H152" s="32" t="str">
        <f t="array" ref="H152">IF(C152="","",IFERROR(LOOKUP(2,1/(($F$1:F151=F152)+($G$1:G151=F152)),IF($F$1:F151=F152,$N$1:N151,$O$1:O151)),1000))</f>
        <v/>
      </c>
      <c r="I152" s="12" t="str">
        <f t="array" ref="I152">IF(C152="","",IF(C152="Tournament",INDEX('Tournament Log'!$J:$J,E152),IF(C152="Guest",IF(INDEX('Guest Log'!$I:$I,Q152)="",1000,INDEX('Guest Log'!$I:$I,Q152)),IFERROR(LOOKUP(2,1/(($F$1:F151=G152)+($G$1:G151=G152)),IF($F$1:F151=G152,$N$1:N151,$O$1:O151)),1000))))</f>
        <v/>
      </c>
      <c r="J152" s="12" t="str">
        <f t="shared" si="11"/>
        <v/>
      </c>
      <c r="K152" s="12" t="str">
        <f>IF(C152="","",IF(C152="Match",IF(INDEX('Match Log'!$D:$D,D152)="Win",1,IF(INDEX('Match Log'!$D:$D,D152)="Draw",0.5,0)),IF(C152="Tournament",INDEX('Tournament Log'!$K:$K,E152),IF(INDEX('Guest Log'!$C:$C,Q152)="Win",1,IF(INDEX('Guest Log'!$C:$C,Q152)="Draw",0.5,0)))))</f>
        <v/>
      </c>
      <c r="L152" s="12" t="str">
        <f>IF(C152="","",IF(C152="Match",32,IF(C152="Tournament",MIN(32*INDEX('Tournament Log'!$D:$D,E152),96),32)))</f>
        <v/>
      </c>
      <c r="M152" s="12" t="str">
        <f t="shared" si="12"/>
        <v/>
      </c>
      <c r="N152" s="12" t="str">
        <f t="shared" si="13"/>
        <v/>
      </c>
      <c r="O152" s="12" t="str">
        <f t="shared" si="14"/>
        <v/>
      </c>
      <c r="P152" s="12" t="str">
        <f>IF(C152="Tournament",INDEX('Tournament Log'!$B:$B,E152),IF(C152="Guest","Guest: "&amp;INDEX('Guest Log'!$H:$H,Q152),""))</f>
        <v/>
      </c>
      <c r="Q152" t="str">
        <f>IFERROR(MATCH($A152,'Guest Log'!$L$4:$L$203,0)+3,"")</f>
        <v/>
      </c>
    </row>
    <row r="153" spans="1:17" ht="15" customHeight="1" x14ac:dyDescent="0.2">
      <c r="A153" s="12">
        <f>152</f>
        <v>152</v>
      </c>
      <c r="B153" s="12" t="str">
        <f>IF(C153="","",IF(C153="Match",INDEX('Match Log'!$A:$A,D153),IF(C153="Tournament",INDEX('Tournament Log'!$A:$A,E153),INDEX('Guest Log'!$A:$A,Q153))))</f>
        <v/>
      </c>
      <c r="C153" s="12" t="str">
        <f t="shared" si="10"/>
        <v/>
      </c>
      <c r="D153" s="31" t="str">
        <f>IFERROR(MATCH($A153,'Match Log'!$K$3:$K$501,0)+2,"")</f>
        <v/>
      </c>
      <c r="E153" s="31" t="str">
        <f>IFERROR(MATCH($A153,'Tournament Log'!$O$4:$O$203,0)+3,"")</f>
        <v/>
      </c>
      <c r="F153" s="12" t="str">
        <f>IF(C153="","",IF(C153="Match",INDEX('Match Log'!$B:$B,D153),IF(C153="Tournament",INDEX('Tournament Log'!$C:$C,E153),INDEX('Guest Log'!$B:$B,Q153))))</f>
        <v/>
      </c>
      <c r="G153" s="12" t="str">
        <f>IF(C153="","",IF(C153="Match",INDEX('Match Log'!$C:$C,D153),IF(C153="Tournament",INDEX('Tournament Log'!$B:$B,E153)&amp;" (Phantom)",INDEX('Guest Log'!$H:$H,Q153)&amp;" (Guest)")))</f>
        <v/>
      </c>
      <c r="H153" s="32" t="str">
        <f t="array" ref="H153">IF(C153="","",IFERROR(LOOKUP(2,1/(($F$1:F152=F153)+($G$1:G152=F153)),IF($F$1:F152=F153,$N$1:N152,$O$1:O152)),1000))</f>
        <v/>
      </c>
      <c r="I153" s="12" t="str">
        <f t="array" ref="I153">IF(C153="","",IF(C153="Tournament",INDEX('Tournament Log'!$J:$J,E153),IF(C153="Guest",IF(INDEX('Guest Log'!$I:$I,Q153)="",1000,INDEX('Guest Log'!$I:$I,Q153)),IFERROR(LOOKUP(2,1/(($F$1:F152=G153)+($G$1:G152=G153)),IF($F$1:F152=G153,$N$1:N152,$O$1:O152)),1000))))</f>
        <v/>
      </c>
      <c r="J153" s="12" t="str">
        <f t="shared" si="11"/>
        <v/>
      </c>
      <c r="K153" s="12" t="str">
        <f>IF(C153="","",IF(C153="Match",IF(INDEX('Match Log'!$D:$D,D153)="Win",1,IF(INDEX('Match Log'!$D:$D,D153)="Draw",0.5,0)),IF(C153="Tournament",INDEX('Tournament Log'!$K:$K,E153),IF(INDEX('Guest Log'!$C:$C,Q153)="Win",1,IF(INDEX('Guest Log'!$C:$C,Q153)="Draw",0.5,0)))))</f>
        <v/>
      </c>
      <c r="L153" s="12" t="str">
        <f>IF(C153="","",IF(C153="Match",32,IF(C153="Tournament",MIN(32*INDEX('Tournament Log'!$D:$D,E153),96),32)))</f>
        <v/>
      </c>
      <c r="M153" s="12" t="str">
        <f t="shared" si="12"/>
        <v/>
      </c>
      <c r="N153" s="12" t="str">
        <f t="shared" si="13"/>
        <v/>
      </c>
      <c r="O153" s="12" t="str">
        <f t="shared" si="14"/>
        <v/>
      </c>
      <c r="P153" s="12" t="str">
        <f>IF(C153="Tournament",INDEX('Tournament Log'!$B:$B,E153),IF(C153="Guest","Guest: "&amp;INDEX('Guest Log'!$H:$H,Q153),""))</f>
        <v/>
      </c>
      <c r="Q153" t="str">
        <f>IFERROR(MATCH($A153,'Guest Log'!$L$4:$L$203,0)+3,"")</f>
        <v/>
      </c>
    </row>
    <row r="154" spans="1:17" ht="15" customHeight="1" x14ac:dyDescent="0.2">
      <c r="A154" s="12">
        <f>153</f>
        <v>153</v>
      </c>
      <c r="B154" s="12" t="str">
        <f>IF(C154="","",IF(C154="Match",INDEX('Match Log'!$A:$A,D154),IF(C154="Tournament",INDEX('Tournament Log'!$A:$A,E154),INDEX('Guest Log'!$A:$A,Q154))))</f>
        <v/>
      </c>
      <c r="C154" s="12" t="str">
        <f t="shared" si="10"/>
        <v/>
      </c>
      <c r="D154" s="31" t="str">
        <f>IFERROR(MATCH($A154,'Match Log'!$K$3:$K$501,0)+2,"")</f>
        <v/>
      </c>
      <c r="E154" s="31" t="str">
        <f>IFERROR(MATCH($A154,'Tournament Log'!$O$4:$O$203,0)+3,"")</f>
        <v/>
      </c>
      <c r="F154" s="12" t="str">
        <f>IF(C154="","",IF(C154="Match",INDEX('Match Log'!$B:$B,D154),IF(C154="Tournament",INDEX('Tournament Log'!$C:$C,E154),INDEX('Guest Log'!$B:$B,Q154))))</f>
        <v/>
      </c>
      <c r="G154" s="12" t="str">
        <f>IF(C154="","",IF(C154="Match",INDEX('Match Log'!$C:$C,D154),IF(C154="Tournament",INDEX('Tournament Log'!$B:$B,E154)&amp;" (Phantom)",INDEX('Guest Log'!$H:$H,Q154)&amp;" (Guest)")))</f>
        <v/>
      </c>
      <c r="H154" s="32" t="str">
        <f t="array" ref="H154">IF(C154="","",IFERROR(LOOKUP(2,1/(($F$1:F153=F154)+($G$1:G153=F154)),IF($F$1:F153=F154,$N$1:N153,$O$1:O153)),1000))</f>
        <v/>
      </c>
      <c r="I154" s="12" t="str">
        <f t="array" ref="I154">IF(C154="","",IF(C154="Tournament",INDEX('Tournament Log'!$J:$J,E154),IF(C154="Guest",IF(INDEX('Guest Log'!$I:$I,Q154)="",1000,INDEX('Guest Log'!$I:$I,Q154)),IFERROR(LOOKUP(2,1/(($F$1:F153=G154)+($G$1:G153=G154)),IF($F$1:F153=G154,$N$1:N153,$O$1:O153)),1000))))</f>
        <v/>
      </c>
      <c r="J154" s="12" t="str">
        <f t="shared" si="11"/>
        <v/>
      </c>
      <c r="K154" s="12" t="str">
        <f>IF(C154="","",IF(C154="Match",IF(INDEX('Match Log'!$D:$D,D154)="Win",1,IF(INDEX('Match Log'!$D:$D,D154)="Draw",0.5,0)),IF(C154="Tournament",INDEX('Tournament Log'!$K:$K,E154),IF(INDEX('Guest Log'!$C:$C,Q154)="Win",1,IF(INDEX('Guest Log'!$C:$C,Q154)="Draw",0.5,0)))))</f>
        <v/>
      </c>
      <c r="L154" s="12" t="str">
        <f>IF(C154="","",IF(C154="Match",32,IF(C154="Tournament",MIN(32*INDEX('Tournament Log'!$D:$D,E154),96),32)))</f>
        <v/>
      </c>
      <c r="M154" s="12" t="str">
        <f t="shared" si="12"/>
        <v/>
      </c>
      <c r="N154" s="12" t="str">
        <f t="shared" si="13"/>
        <v/>
      </c>
      <c r="O154" s="12" t="str">
        <f t="shared" si="14"/>
        <v/>
      </c>
      <c r="P154" s="12" t="str">
        <f>IF(C154="Tournament",INDEX('Tournament Log'!$B:$B,E154),IF(C154="Guest","Guest: "&amp;INDEX('Guest Log'!$H:$H,Q154),""))</f>
        <v/>
      </c>
      <c r="Q154" t="str">
        <f>IFERROR(MATCH($A154,'Guest Log'!$L$4:$L$203,0)+3,"")</f>
        <v/>
      </c>
    </row>
    <row r="155" spans="1:17" ht="15" customHeight="1" x14ac:dyDescent="0.2">
      <c r="A155" s="12">
        <f>154</f>
        <v>154</v>
      </c>
      <c r="B155" s="12" t="str">
        <f>IF(C155="","",IF(C155="Match",INDEX('Match Log'!$A:$A,D155),IF(C155="Tournament",INDEX('Tournament Log'!$A:$A,E155),INDEX('Guest Log'!$A:$A,Q155))))</f>
        <v/>
      </c>
      <c r="C155" s="12" t="str">
        <f t="shared" si="10"/>
        <v/>
      </c>
      <c r="D155" s="31" t="str">
        <f>IFERROR(MATCH($A155,'Match Log'!$K$3:$K$501,0)+2,"")</f>
        <v/>
      </c>
      <c r="E155" s="31" t="str">
        <f>IFERROR(MATCH($A155,'Tournament Log'!$O$4:$O$203,0)+3,"")</f>
        <v/>
      </c>
      <c r="F155" s="12" t="str">
        <f>IF(C155="","",IF(C155="Match",INDEX('Match Log'!$B:$B,D155),IF(C155="Tournament",INDEX('Tournament Log'!$C:$C,E155),INDEX('Guest Log'!$B:$B,Q155))))</f>
        <v/>
      </c>
      <c r="G155" s="12" t="str">
        <f>IF(C155="","",IF(C155="Match",INDEX('Match Log'!$C:$C,D155),IF(C155="Tournament",INDEX('Tournament Log'!$B:$B,E155)&amp;" (Phantom)",INDEX('Guest Log'!$H:$H,Q155)&amp;" (Guest)")))</f>
        <v/>
      </c>
      <c r="H155" s="32" t="str">
        <f t="array" ref="H155">IF(C155="","",IFERROR(LOOKUP(2,1/(($F$1:F154=F155)+($G$1:G154=F155)),IF($F$1:F154=F155,$N$1:N154,$O$1:O154)),1000))</f>
        <v/>
      </c>
      <c r="I155" s="12" t="str">
        <f t="array" ref="I155">IF(C155="","",IF(C155="Tournament",INDEX('Tournament Log'!$J:$J,E155),IF(C155="Guest",IF(INDEX('Guest Log'!$I:$I,Q155)="",1000,INDEX('Guest Log'!$I:$I,Q155)),IFERROR(LOOKUP(2,1/(($F$1:F154=G155)+($G$1:G154=G155)),IF($F$1:F154=G155,$N$1:N154,$O$1:O154)),1000))))</f>
        <v/>
      </c>
      <c r="J155" s="12" t="str">
        <f t="shared" si="11"/>
        <v/>
      </c>
      <c r="K155" s="12" t="str">
        <f>IF(C155="","",IF(C155="Match",IF(INDEX('Match Log'!$D:$D,D155)="Win",1,IF(INDEX('Match Log'!$D:$D,D155)="Draw",0.5,0)),IF(C155="Tournament",INDEX('Tournament Log'!$K:$K,E155),IF(INDEX('Guest Log'!$C:$C,Q155)="Win",1,IF(INDEX('Guest Log'!$C:$C,Q155)="Draw",0.5,0)))))</f>
        <v/>
      </c>
      <c r="L155" s="12" t="str">
        <f>IF(C155="","",IF(C155="Match",32,IF(C155="Tournament",MIN(32*INDEX('Tournament Log'!$D:$D,E155),96),32)))</f>
        <v/>
      </c>
      <c r="M155" s="12" t="str">
        <f t="shared" si="12"/>
        <v/>
      </c>
      <c r="N155" s="12" t="str">
        <f t="shared" si="13"/>
        <v/>
      </c>
      <c r="O155" s="12" t="str">
        <f t="shared" si="14"/>
        <v/>
      </c>
      <c r="P155" s="12" t="str">
        <f>IF(C155="Tournament",INDEX('Tournament Log'!$B:$B,E155),IF(C155="Guest","Guest: "&amp;INDEX('Guest Log'!$H:$H,Q155),""))</f>
        <v/>
      </c>
      <c r="Q155" t="str">
        <f>IFERROR(MATCH($A155,'Guest Log'!$L$4:$L$203,0)+3,"")</f>
        <v/>
      </c>
    </row>
    <row r="156" spans="1:17" ht="15" customHeight="1" x14ac:dyDescent="0.2">
      <c r="A156" s="12">
        <f>155</f>
        <v>155</v>
      </c>
      <c r="B156" s="12" t="str">
        <f>IF(C156="","",IF(C156="Match",INDEX('Match Log'!$A:$A,D156),IF(C156="Tournament",INDEX('Tournament Log'!$A:$A,E156),INDEX('Guest Log'!$A:$A,Q156))))</f>
        <v/>
      </c>
      <c r="C156" s="12" t="str">
        <f t="shared" si="10"/>
        <v/>
      </c>
      <c r="D156" s="31" t="str">
        <f>IFERROR(MATCH($A156,'Match Log'!$K$3:$K$501,0)+2,"")</f>
        <v/>
      </c>
      <c r="E156" s="31" t="str">
        <f>IFERROR(MATCH($A156,'Tournament Log'!$O$4:$O$203,0)+3,"")</f>
        <v/>
      </c>
      <c r="F156" s="12" t="str">
        <f>IF(C156="","",IF(C156="Match",INDEX('Match Log'!$B:$B,D156),IF(C156="Tournament",INDEX('Tournament Log'!$C:$C,E156),INDEX('Guest Log'!$B:$B,Q156))))</f>
        <v/>
      </c>
      <c r="G156" s="12" t="str">
        <f>IF(C156="","",IF(C156="Match",INDEX('Match Log'!$C:$C,D156),IF(C156="Tournament",INDEX('Tournament Log'!$B:$B,E156)&amp;" (Phantom)",INDEX('Guest Log'!$H:$H,Q156)&amp;" (Guest)")))</f>
        <v/>
      </c>
      <c r="H156" s="32" t="str">
        <f t="array" ref="H156">IF(C156="","",IFERROR(LOOKUP(2,1/(($F$1:F155=F156)+($G$1:G155=F156)),IF($F$1:F155=F156,$N$1:N155,$O$1:O155)),1000))</f>
        <v/>
      </c>
      <c r="I156" s="12" t="str">
        <f t="array" ref="I156">IF(C156="","",IF(C156="Tournament",INDEX('Tournament Log'!$J:$J,E156),IF(C156="Guest",IF(INDEX('Guest Log'!$I:$I,Q156)="",1000,INDEX('Guest Log'!$I:$I,Q156)),IFERROR(LOOKUP(2,1/(($F$1:F155=G156)+($G$1:G155=G156)),IF($F$1:F155=G156,$N$1:N155,$O$1:O155)),1000))))</f>
        <v/>
      </c>
      <c r="J156" s="12" t="str">
        <f t="shared" si="11"/>
        <v/>
      </c>
      <c r="K156" s="12" t="str">
        <f>IF(C156="","",IF(C156="Match",IF(INDEX('Match Log'!$D:$D,D156)="Win",1,IF(INDEX('Match Log'!$D:$D,D156)="Draw",0.5,0)),IF(C156="Tournament",INDEX('Tournament Log'!$K:$K,E156),IF(INDEX('Guest Log'!$C:$C,Q156)="Win",1,IF(INDEX('Guest Log'!$C:$C,Q156)="Draw",0.5,0)))))</f>
        <v/>
      </c>
      <c r="L156" s="12" t="str">
        <f>IF(C156="","",IF(C156="Match",32,IF(C156="Tournament",MIN(32*INDEX('Tournament Log'!$D:$D,E156),96),32)))</f>
        <v/>
      </c>
      <c r="M156" s="12" t="str">
        <f t="shared" si="12"/>
        <v/>
      </c>
      <c r="N156" s="12" t="str">
        <f t="shared" si="13"/>
        <v/>
      </c>
      <c r="O156" s="12" t="str">
        <f t="shared" si="14"/>
        <v/>
      </c>
      <c r="P156" s="12" t="str">
        <f>IF(C156="Tournament",INDEX('Tournament Log'!$B:$B,E156),IF(C156="Guest","Guest: "&amp;INDEX('Guest Log'!$H:$H,Q156),""))</f>
        <v/>
      </c>
      <c r="Q156" t="str">
        <f>IFERROR(MATCH($A156,'Guest Log'!$L$4:$L$203,0)+3,"")</f>
        <v/>
      </c>
    </row>
    <row r="157" spans="1:17" ht="15" customHeight="1" x14ac:dyDescent="0.2">
      <c r="A157" s="12">
        <f>156</f>
        <v>156</v>
      </c>
      <c r="B157" s="12" t="str">
        <f>IF(C157="","",IF(C157="Match",INDEX('Match Log'!$A:$A,D157),IF(C157="Tournament",INDEX('Tournament Log'!$A:$A,E157),INDEX('Guest Log'!$A:$A,Q157))))</f>
        <v/>
      </c>
      <c r="C157" s="12" t="str">
        <f t="shared" si="10"/>
        <v/>
      </c>
      <c r="D157" s="31" t="str">
        <f>IFERROR(MATCH($A157,'Match Log'!$K$3:$K$501,0)+2,"")</f>
        <v/>
      </c>
      <c r="E157" s="31" t="str">
        <f>IFERROR(MATCH($A157,'Tournament Log'!$O$4:$O$203,0)+3,"")</f>
        <v/>
      </c>
      <c r="F157" s="12" t="str">
        <f>IF(C157="","",IF(C157="Match",INDEX('Match Log'!$B:$B,D157),IF(C157="Tournament",INDEX('Tournament Log'!$C:$C,E157),INDEX('Guest Log'!$B:$B,Q157))))</f>
        <v/>
      </c>
      <c r="G157" s="12" t="str">
        <f>IF(C157="","",IF(C157="Match",INDEX('Match Log'!$C:$C,D157),IF(C157="Tournament",INDEX('Tournament Log'!$B:$B,E157)&amp;" (Phantom)",INDEX('Guest Log'!$H:$H,Q157)&amp;" (Guest)")))</f>
        <v/>
      </c>
      <c r="H157" s="32" t="str">
        <f t="array" ref="H157">IF(C157="","",IFERROR(LOOKUP(2,1/(($F$1:F156=F157)+($G$1:G156=F157)),IF($F$1:F156=F157,$N$1:N156,$O$1:O156)),1000))</f>
        <v/>
      </c>
      <c r="I157" s="12" t="str">
        <f t="array" ref="I157">IF(C157="","",IF(C157="Tournament",INDEX('Tournament Log'!$J:$J,E157),IF(C157="Guest",IF(INDEX('Guest Log'!$I:$I,Q157)="",1000,INDEX('Guest Log'!$I:$I,Q157)),IFERROR(LOOKUP(2,1/(($F$1:F156=G157)+($G$1:G156=G157)),IF($F$1:F156=G157,$N$1:N156,$O$1:O156)),1000))))</f>
        <v/>
      </c>
      <c r="J157" s="12" t="str">
        <f t="shared" si="11"/>
        <v/>
      </c>
      <c r="K157" s="12" t="str">
        <f>IF(C157="","",IF(C157="Match",IF(INDEX('Match Log'!$D:$D,D157)="Win",1,IF(INDEX('Match Log'!$D:$D,D157)="Draw",0.5,0)),IF(C157="Tournament",INDEX('Tournament Log'!$K:$K,E157),IF(INDEX('Guest Log'!$C:$C,Q157)="Win",1,IF(INDEX('Guest Log'!$C:$C,Q157)="Draw",0.5,0)))))</f>
        <v/>
      </c>
      <c r="L157" s="12" t="str">
        <f>IF(C157="","",IF(C157="Match",32,IF(C157="Tournament",MIN(32*INDEX('Tournament Log'!$D:$D,E157),96),32)))</f>
        <v/>
      </c>
      <c r="M157" s="12" t="str">
        <f t="shared" si="12"/>
        <v/>
      </c>
      <c r="N157" s="12" t="str">
        <f t="shared" si="13"/>
        <v/>
      </c>
      <c r="O157" s="12" t="str">
        <f t="shared" si="14"/>
        <v/>
      </c>
      <c r="P157" s="12" t="str">
        <f>IF(C157="Tournament",INDEX('Tournament Log'!$B:$B,E157),IF(C157="Guest","Guest: "&amp;INDEX('Guest Log'!$H:$H,Q157),""))</f>
        <v/>
      </c>
      <c r="Q157" t="str">
        <f>IFERROR(MATCH($A157,'Guest Log'!$L$4:$L$203,0)+3,"")</f>
        <v/>
      </c>
    </row>
    <row r="158" spans="1:17" ht="15" customHeight="1" x14ac:dyDescent="0.2">
      <c r="A158" s="12">
        <f>157</f>
        <v>157</v>
      </c>
      <c r="B158" s="12" t="str">
        <f>IF(C158="","",IF(C158="Match",INDEX('Match Log'!$A:$A,D158),IF(C158="Tournament",INDEX('Tournament Log'!$A:$A,E158),INDEX('Guest Log'!$A:$A,Q158))))</f>
        <v/>
      </c>
      <c r="C158" s="12" t="str">
        <f t="shared" si="10"/>
        <v/>
      </c>
      <c r="D158" s="31" t="str">
        <f>IFERROR(MATCH($A158,'Match Log'!$K$3:$K$501,0)+2,"")</f>
        <v/>
      </c>
      <c r="E158" s="31" t="str">
        <f>IFERROR(MATCH($A158,'Tournament Log'!$O$4:$O$203,0)+3,"")</f>
        <v/>
      </c>
      <c r="F158" s="12" t="str">
        <f>IF(C158="","",IF(C158="Match",INDEX('Match Log'!$B:$B,D158),IF(C158="Tournament",INDEX('Tournament Log'!$C:$C,E158),INDEX('Guest Log'!$B:$B,Q158))))</f>
        <v/>
      </c>
      <c r="G158" s="12" t="str">
        <f>IF(C158="","",IF(C158="Match",INDEX('Match Log'!$C:$C,D158),IF(C158="Tournament",INDEX('Tournament Log'!$B:$B,E158)&amp;" (Phantom)",INDEX('Guest Log'!$H:$H,Q158)&amp;" (Guest)")))</f>
        <v/>
      </c>
      <c r="H158" s="32" t="str">
        <f t="array" ref="H158">IF(C158="","",IFERROR(LOOKUP(2,1/(($F$1:F157=F158)+($G$1:G157=F158)),IF($F$1:F157=F158,$N$1:N157,$O$1:O157)),1000))</f>
        <v/>
      </c>
      <c r="I158" s="12" t="str">
        <f t="array" ref="I158">IF(C158="","",IF(C158="Tournament",INDEX('Tournament Log'!$J:$J,E158),IF(C158="Guest",IF(INDEX('Guest Log'!$I:$I,Q158)="",1000,INDEX('Guest Log'!$I:$I,Q158)),IFERROR(LOOKUP(2,1/(($F$1:F157=G158)+($G$1:G157=G158)),IF($F$1:F157=G158,$N$1:N157,$O$1:O157)),1000))))</f>
        <v/>
      </c>
      <c r="J158" s="12" t="str">
        <f t="shared" si="11"/>
        <v/>
      </c>
      <c r="K158" s="12" t="str">
        <f>IF(C158="","",IF(C158="Match",IF(INDEX('Match Log'!$D:$D,D158)="Win",1,IF(INDEX('Match Log'!$D:$D,D158)="Draw",0.5,0)),IF(C158="Tournament",INDEX('Tournament Log'!$K:$K,E158),IF(INDEX('Guest Log'!$C:$C,Q158)="Win",1,IF(INDEX('Guest Log'!$C:$C,Q158)="Draw",0.5,0)))))</f>
        <v/>
      </c>
      <c r="L158" s="12" t="str">
        <f>IF(C158="","",IF(C158="Match",32,IF(C158="Tournament",MIN(32*INDEX('Tournament Log'!$D:$D,E158),96),32)))</f>
        <v/>
      </c>
      <c r="M158" s="12" t="str">
        <f t="shared" si="12"/>
        <v/>
      </c>
      <c r="N158" s="12" t="str">
        <f t="shared" si="13"/>
        <v/>
      </c>
      <c r="O158" s="12" t="str">
        <f t="shared" si="14"/>
        <v/>
      </c>
      <c r="P158" s="12" t="str">
        <f>IF(C158="Tournament",INDEX('Tournament Log'!$B:$B,E158),IF(C158="Guest","Guest: "&amp;INDEX('Guest Log'!$H:$H,Q158),""))</f>
        <v/>
      </c>
      <c r="Q158" t="str">
        <f>IFERROR(MATCH($A158,'Guest Log'!$L$4:$L$203,0)+3,"")</f>
        <v/>
      </c>
    </row>
    <row r="159" spans="1:17" ht="15" customHeight="1" x14ac:dyDescent="0.2">
      <c r="A159" s="12">
        <f>158</f>
        <v>158</v>
      </c>
      <c r="B159" s="12" t="str">
        <f>IF(C159="","",IF(C159="Match",INDEX('Match Log'!$A:$A,D159),IF(C159="Tournament",INDEX('Tournament Log'!$A:$A,E159),INDEX('Guest Log'!$A:$A,Q159))))</f>
        <v/>
      </c>
      <c r="C159" s="12" t="str">
        <f t="shared" si="10"/>
        <v/>
      </c>
      <c r="D159" s="31" t="str">
        <f>IFERROR(MATCH($A159,'Match Log'!$K$3:$K$501,0)+2,"")</f>
        <v/>
      </c>
      <c r="E159" s="31" t="str">
        <f>IFERROR(MATCH($A159,'Tournament Log'!$O$4:$O$203,0)+3,"")</f>
        <v/>
      </c>
      <c r="F159" s="12" t="str">
        <f>IF(C159="","",IF(C159="Match",INDEX('Match Log'!$B:$B,D159),IF(C159="Tournament",INDEX('Tournament Log'!$C:$C,E159),INDEX('Guest Log'!$B:$B,Q159))))</f>
        <v/>
      </c>
      <c r="G159" s="12" t="str">
        <f>IF(C159="","",IF(C159="Match",INDEX('Match Log'!$C:$C,D159),IF(C159="Tournament",INDEX('Tournament Log'!$B:$B,E159)&amp;" (Phantom)",INDEX('Guest Log'!$H:$H,Q159)&amp;" (Guest)")))</f>
        <v/>
      </c>
      <c r="H159" s="32" t="str">
        <f t="array" ref="H159">IF(C159="","",IFERROR(LOOKUP(2,1/(($F$1:F158=F159)+($G$1:G158=F159)),IF($F$1:F158=F159,$N$1:N158,$O$1:O158)),1000))</f>
        <v/>
      </c>
      <c r="I159" s="12" t="str">
        <f t="array" ref="I159">IF(C159="","",IF(C159="Tournament",INDEX('Tournament Log'!$J:$J,E159),IF(C159="Guest",IF(INDEX('Guest Log'!$I:$I,Q159)="",1000,INDEX('Guest Log'!$I:$I,Q159)),IFERROR(LOOKUP(2,1/(($F$1:F158=G159)+($G$1:G158=G159)),IF($F$1:F158=G159,$N$1:N158,$O$1:O158)),1000))))</f>
        <v/>
      </c>
      <c r="J159" s="12" t="str">
        <f t="shared" si="11"/>
        <v/>
      </c>
      <c r="K159" s="12" t="str">
        <f>IF(C159="","",IF(C159="Match",IF(INDEX('Match Log'!$D:$D,D159)="Win",1,IF(INDEX('Match Log'!$D:$D,D159)="Draw",0.5,0)),IF(C159="Tournament",INDEX('Tournament Log'!$K:$K,E159),IF(INDEX('Guest Log'!$C:$C,Q159)="Win",1,IF(INDEX('Guest Log'!$C:$C,Q159)="Draw",0.5,0)))))</f>
        <v/>
      </c>
      <c r="L159" s="12" t="str">
        <f>IF(C159="","",IF(C159="Match",32,IF(C159="Tournament",MIN(32*INDEX('Tournament Log'!$D:$D,E159),96),32)))</f>
        <v/>
      </c>
      <c r="M159" s="12" t="str">
        <f t="shared" si="12"/>
        <v/>
      </c>
      <c r="N159" s="12" t="str">
        <f t="shared" si="13"/>
        <v/>
      </c>
      <c r="O159" s="12" t="str">
        <f t="shared" si="14"/>
        <v/>
      </c>
      <c r="P159" s="12" t="str">
        <f>IF(C159="Tournament",INDEX('Tournament Log'!$B:$B,E159),IF(C159="Guest","Guest: "&amp;INDEX('Guest Log'!$H:$H,Q159),""))</f>
        <v/>
      </c>
      <c r="Q159" t="str">
        <f>IFERROR(MATCH($A159,'Guest Log'!$L$4:$L$203,0)+3,"")</f>
        <v/>
      </c>
    </row>
    <row r="160" spans="1:17" ht="15" customHeight="1" x14ac:dyDescent="0.2">
      <c r="A160" s="12">
        <f>159</f>
        <v>159</v>
      </c>
      <c r="B160" s="12" t="str">
        <f>IF(C160="","",IF(C160="Match",INDEX('Match Log'!$A:$A,D160),IF(C160="Tournament",INDEX('Tournament Log'!$A:$A,E160),INDEX('Guest Log'!$A:$A,Q160))))</f>
        <v/>
      </c>
      <c r="C160" s="12" t="str">
        <f t="shared" si="10"/>
        <v/>
      </c>
      <c r="D160" s="31" t="str">
        <f>IFERROR(MATCH($A160,'Match Log'!$K$3:$K$501,0)+2,"")</f>
        <v/>
      </c>
      <c r="E160" s="31" t="str">
        <f>IFERROR(MATCH($A160,'Tournament Log'!$O$4:$O$203,0)+3,"")</f>
        <v/>
      </c>
      <c r="F160" s="12" t="str">
        <f>IF(C160="","",IF(C160="Match",INDEX('Match Log'!$B:$B,D160),IF(C160="Tournament",INDEX('Tournament Log'!$C:$C,E160),INDEX('Guest Log'!$B:$B,Q160))))</f>
        <v/>
      </c>
      <c r="G160" s="12" t="str">
        <f>IF(C160="","",IF(C160="Match",INDEX('Match Log'!$C:$C,D160),IF(C160="Tournament",INDEX('Tournament Log'!$B:$B,E160)&amp;" (Phantom)",INDEX('Guest Log'!$H:$H,Q160)&amp;" (Guest)")))</f>
        <v/>
      </c>
      <c r="H160" s="32" t="str">
        <f t="array" ref="H160">IF(C160="","",IFERROR(LOOKUP(2,1/(($F$1:F159=F160)+($G$1:G159=F160)),IF($F$1:F159=F160,$N$1:N159,$O$1:O159)),1000))</f>
        <v/>
      </c>
      <c r="I160" s="12" t="str">
        <f t="array" ref="I160">IF(C160="","",IF(C160="Tournament",INDEX('Tournament Log'!$J:$J,E160),IF(C160="Guest",IF(INDEX('Guest Log'!$I:$I,Q160)="",1000,INDEX('Guest Log'!$I:$I,Q160)),IFERROR(LOOKUP(2,1/(($F$1:F159=G160)+($G$1:G159=G160)),IF($F$1:F159=G160,$N$1:N159,$O$1:O159)),1000))))</f>
        <v/>
      </c>
      <c r="J160" s="12" t="str">
        <f t="shared" si="11"/>
        <v/>
      </c>
      <c r="K160" s="12" t="str">
        <f>IF(C160="","",IF(C160="Match",IF(INDEX('Match Log'!$D:$D,D160)="Win",1,IF(INDEX('Match Log'!$D:$D,D160)="Draw",0.5,0)),IF(C160="Tournament",INDEX('Tournament Log'!$K:$K,E160),IF(INDEX('Guest Log'!$C:$C,Q160)="Win",1,IF(INDEX('Guest Log'!$C:$C,Q160)="Draw",0.5,0)))))</f>
        <v/>
      </c>
      <c r="L160" s="12" t="str">
        <f>IF(C160="","",IF(C160="Match",32,IF(C160="Tournament",MIN(32*INDEX('Tournament Log'!$D:$D,E160),96),32)))</f>
        <v/>
      </c>
      <c r="M160" s="12" t="str">
        <f t="shared" si="12"/>
        <v/>
      </c>
      <c r="N160" s="12" t="str">
        <f t="shared" si="13"/>
        <v/>
      </c>
      <c r="O160" s="12" t="str">
        <f t="shared" si="14"/>
        <v/>
      </c>
      <c r="P160" s="12" t="str">
        <f>IF(C160="Tournament",INDEX('Tournament Log'!$B:$B,E160),IF(C160="Guest","Guest: "&amp;INDEX('Guest Log'!$H:$H,Q160),""))</f>
        <v/>
      </c>
      <c r="Q160" t="str">
        <f>IFERROR(MATCH($A160,'Guest Log'!$L$4:$L$203,0)+3,"")</f>
        <v/>
      </c>
    </row>
    <row r="161" spans="1:17" ht="15" customHeight="1" x14ac:dyDescent="0.2">
      <c r="A161" s="12">
        <f>160</f>
        <v>160</v>
      </c>
      <c r="B161" s="12" t="str">
        <f>IF(C161="","",IF(C161="Match",INDEX('Match Log'!$A:$A,D161),IF(C161="Tournament",INDEX('Tournament Log'!$A:$A,E161),INDEX('Guest Log'!$A:$A,Q161))))</f>
        <v/>
      </c>
      <c r="C161" s="12" t="str">
        <f t="shared" si="10"/>
        <v/>
      </c>
      <c r="D161" s="31" t="str">
        <f>IFERROR(MATCH($A161,'Match Log'!$K$3:$K$501,0)+2,"")</f>
        <v/>
      </c>
      <c r="E161" s="31" t="str">
        <f>IFERROR(MATCH($A161,'Tournament Log'!$O$4:$O$203,0)+3,"")</f>
        <v/>
      </c>
      <c r="F161" s="12" t="str">
        <f>IF(C161="","",IF(C161="Match",INDEX('Match Log'!$B:$B,D161),IF(C161="Tournament",INDEX('Tournament Log'!$C:$C,E161),INDEX('Guest Log'!$B:$B,Q161))))</f>
        <v/>
      </c>
      <c r="G161" s="12" t="str">
        <f>IF(C161="","",IF(C161="Match",INDEX('Match Log'!$C:$C,D161),IF(C161="Tournament",INDEX('Tournament Log'!$B:$B,E161)&amp;" (Phantom)",INDEX('Guest Log'!$H:$H,Q161)&amp;" (Guest)")))</f>
        <v/>
      </c>
      <c r="H161" s="32" t="str">
        <f t="array" ref="H161">IF(C161="","",IFERROR(LOOKUP(2,1/(($F$1:F160=F161)+($G$1:G160=F161)),IF($F$1:F160=F161,$N$1:N160,$O$1:O160)),1000))</f>
        <v/>
      </c>
      <c r="I161" s="12" t="str">
        <f t="array" ref="I161">IF(C161="","",IF(C161="Tournament",INDEX('Tournament Log'!$J:$J,E161),IF(C161="Guest",IF(INDEX('Guest Log'!$I:$I,Q161)="",1000,INDEX('Guest Log'!$I:$I,Q161)),IFERROR(LOOKUP(2,1/(($F$1:F160=G161)+($G$1:G160=G161)),IF($F$1:F160=G161,$N$1:N160,$O$1:O160)),1000))))</f>
        <v/>
      </c>
      <c r="J161" s="12" t="str">
        <f t="shared" si="11"/>
        <v/>
      </c>
      <c r="K161" s="12" t="str">
        <f>IF(C161="","",IF(C161="Match",IF(INDEX('Match Log'!$D:$D,D161)="Win",1,IF(INDEX('Match Log'!$D:$D,D161)="Draw",0.5,0)),IF(C161="Tournament",INDEX('Tournament Log'!$K:$K,E161),IF(INDEX('Guest Log'!$C:$C,Q161)="Win",1,IF(INDEX('Guest Log'!$C:$C,Q161)="Draw",0.5,0)))))</f>
        <v/>
      </c>
      <c r="L161" s="12" t="str">
        <f>IF(C161="","",IF(C161="Match",32,IF(C161="Tournament",MIN(32*INDEX('Tournament Log'!$D:$D,E161),96),32)))</f>
        <v/>
      </c>
      <c r="M161" s="12" t="str">
        <f t="shared" si="12"/>
        <v/>
      </c>
      <c r="N161" s="12" t="str">
        <f t="shared" si="13"/>
        <v/>
      </c>
      <c r="O161" s="12" t="str">
        <f t="shared" si="14"/>
        <v/>
      </c>
      <c r="P161" s="12" t="str">
        <f>IF(C161="Tournament",INDEX('Tournament Log'!$B:$B,E161),IF(C161="Guest","Guest: "&amp;INDEX('Guest Log'!$H:$H,Q161),""))</f>
        <v/>
      </c>
      <c r="Q161" t="str">
        <f>IFERROR(MATCH($A161,'Guest Log'!$L$4:$L$203,0)+3,"")</f>
        <v/>
      </c>
    </row>
    <row r="162" spans="1:17" ht="15" customHeight="1" x14ac:dyDescent="0.2">
      <c r="A162" s="12">
        <f>161</f>
        <v>161</v>
      </c>
      <c r="B162" s="12" t="str">
        <f>IF(C162="","",IF(C162="Match",INDEX('Match Log'!$A:$A,D162),IF(C162="Tournament",INDEX('Tournament Log'!$A:$A,E162),INDEX('Guest Log'!$A:$A,Q162))))</f>
        <v/>
      </c>
      <c r="C162" s="12" t="str">
        <f t="shared" si="10"/>
        <v/>
      </c>
      <c r="D162" s="31" t="str">
        <f>IFERROR(MATCH($A162,'Match Log'!$K$3:$K$501,0)+2,"")</f>
        <v/>
      </c>
      <c r="E162" s="31" t="str">
        <f>IFERROR(MATCH($A162,'Tournament Log'!$O$4:$O$203,0)+3,"")</f>
        <v/>
      </c>
      <c r="F162" s="12" t="str">
        <f>IF(C162="","",IF(C162="Match",INDEX('Match Log'!$B:$B,D162),IF(C162="Tournament",INDEX('Tournament Log'!$C:$C,E162),INDEX('Guest Log'!$B:$B,Q162))))</f>
        <v/>
      </c>
      <c r="G162" s="12" t="str">
        <f>IF(C162="","",IF(C162="Match",INDEX('Match Log'!$C:$C,D162),IF(C162="Tournament",INDEX('Tournament Log'!$B:$B,E162)&amp;" (Phantom)",INDEX('Guest Log'!$H:$H,Q162)&amp;" (Guest)")))</f>
        <v/>
      </c>
      <c r="H162" s="32" t="str">
        <f t="array" ref="H162">IF(C162="","",IFERROR(LOOKUP(2,1/(($F$1:F161=F162)+($G$1:G161=F162)),IF($F$1:F161=F162,$N$1:N161,$O$1:O161)),1000))</f>
        <v/>
      </c>
      <c r="I162" s="12" t="str">
        <f t="array" ref="I162">IF(C162="","",IF(C162="Tournament",INDEX('Tournament Log'!$J:$J,E162),IF(C162="Guest",IF(INDEX('Guest Log'!$I:$I,Q162)="",1000,INDEX('Guest Log'!$I:$I,Q162)),IFERROR(LOOKUP(2,1/(($F$1:F161=G162)+($G$1:G161=G162)),IF($F$1:F161=G162,$N$1:N161,$O$1:O161)),1000))))</f>
        <v/>
      </c>
      <c r="J162" s="12" t="str">
        <f t="shared" si="11"/>
        <v/>
      </c>
      <c r="K162" s="12" t="str">
        <f>IF(C162="","",IF(C162="Match",IF(INDEX('Match Log'!$D:$D,D162)="Win",1,IF(INDEX('Match Log'!$D:$D,D162)="Draw",0.5,0)),IF(C162="Tournament",INDEX('Tournament Log'!$K:$K,E162),IF(INDEX('Guest Log'!$C:$C,Q162)="Win",1,IF(INDEX('Guest Log'!$C:$C,Q162)="Draw",0.5,0)))))</f>
        <v/>
      </c>
      <c r="L162" s="12" t="str">
        <f>IF(C162="","",IF(C162="Match",32,IF(C162="Tournament",MIN(32*INDEX('Tournament Log'!$D:$D,E162),96),32)))</f>
        <v/>
      </c>
      <c r="M162" s="12" t="str">
        <f t="shared" si="12"/>
        <v/>
      </c>
      <c r="N162" s="12" t="str">
        <f t="shared" si="13"/>
        <v/>
      </c>
      <c r="O162" s="12" t="str">
        <f t="shared" si="14"/>
        <v/>
      </c>
      <c r="P162" s="12" t="str">
        <f>IF(C162="Tournament",INDEX('Tournament Log'!$B:$B,E162),IF(C162="Guest","Guest: "&amp;INDEX('Guest Log'!$H:$H,Q162),""))</f>
        <v/>
      </c>
      <c r="Q162" t="str">
        <f>IFERROR(MATCH($A162,'Guest Log'!$L$4:$L$203,0)+3,"")</f>
        <v/>
      </c>
    </row>
    <row r="163" spans="1:17" ht="15" customHeight="1" x14ac:dyDescent="0.2">
      <c r="A163" s="12">
        <f>162</f>
        <v>162</v>
      </c>
      <c r="B163" s="12" t="str">
        <f>IF(C163="","",IF(C163="Match",INDEX('Match Log'!$A:$A,D163),IF(C163="Tournament",INDEX('Tournament Log'!$A:$A,E163),INDEX('Guest Log'!$A:$A,Q163))))</f>
        <v/>
      </c>
      <c r="C163" s="12" t="str">
        <f t="shared" si="10"/>
        <v/>
      </c>
      <c r="D163" s="31" t="str">
        <f>IFERROR(MATCH($A163,'Match Log'!$K$3:$K$501,0)+2,"")</f>
        <v/>
      </c>
      <c r="E163" s="31" t="str">
        <f>IFERROR(MATCH($A163,'Tournament Log'!$O$4:$O$203,0)+3,"")</f>
        <v/>
      </c>
      <c r="F163" s="12" t="str">
        <f>IF(C163="","",IF(C163="Match",INDEX('Match Log'!$B:$B,D163),IF(C163="Tournament",INDEX('Tournament Log'!$C:$C,E163),INDEX('Guest Log'!$B:$B,Q163))))</f>
        <v/>
      </c>
      <c r="G163" s="12" t="str">
        <f>IF(C163="","",IF(C163="Match",INDEX('Match Log'!$C:$C,D163),IF(C163="Tournament",INDEX('Tournament Log'!$B:$B,E163)&amp;" (Phantom)",INDEX('Guest Log'!$H:$H,Q163)&amp;" (Guest)")))</f>
        <v/>
      </c>
      <c r="H163" s="32" t="str">
        <f t="array" ref="H163">IF(C163="","",IFERROR(LOOKUP(2,1/(($F$1:F162=F163)+($G$1:G162=F163)),IF($F$1:F162=F163,$N$1:N162,$O$1:O162)),1000))</f>
        <v/>
      </c>
      <c r="I163" s="12" t="str">
        <f t="array" ref="I163">IF(C163="","",IF(C163="Tournament",INDEX('Tournament Log'!$J:$J,E163),IF(C163="Guest",IF(INDEX('Guest Log'!$I:$I,Q163)="",1000,INDEX('Guest Log'!$I:$I,Q163)),IFERROR(LOOKUP(2,1/(($F$1:F162=G163)+($G$1:G162=G163)),IF($F$1:F162=G163,$N$1:N162,$O$1:O162)),1000))))</f>
        <v/>
      </c>
      <c r="J163" s="12" t="str">
        <f t="shared" si="11"/>
        <v/>
      </c>
      <c r="K163" s="12" t="str">
        <f>IF(C163="","",IF(C163="Match",IF(INDEX('Match Log'!$D:$D,D163)="Win",1,IF(INDEX('Match Log'!$D:$D,D163)="Draw",0.5,0)),IF(C163="Tournament",INDEX('Tournament Log'!$K:$K,E163),IF(INDEX('Guest Log'!$C:$C,Q163)="Win",1,IF(INDEX('Guest Log'!$C:$C,Q163)="Draw",0.5,0)))))</f>
        <v/>
      </c>
      <c r="L163" s="12" t="str">
        <f>IF(C163="","",IF(C163="Match",32,IF(C163="Tournament",MIN(32*INDEX('Tournament Log'!$D:$D,E163),96),32)))</f>
        <v/>
      </c>
      <c r="M163" s="12" t="str">
        <f t="shared" si="12"/>
        <v/>
      </c>
      <c r="N163" s="12" t="str">
        <f t="shared" si="13"/>
        <v/>
      </c>
      <c r="O163" s="12" t="str">
        <f t="shared" si="14"/>
        <v/>
      </c>
      <c r="P163" s="12" t="str">
        <f>IF(C163="Tournament",INDEX('Tournament Log'!$B:$B,E163),IF(C163="Guest","Guest: "&amp;INDEX('Guest Log'!$H:$H,Q163),""))</f>
        <v/>
      </c>
      <c r="Q163" t="str">
        <f>IFERROR(MATCH($A163,'Guest Log'!$L$4:$L$203,0)+3,"")</f>
        <v/>
      </c>
    </row>
    <row r="164" spans="1:17" ht="15" customHeight="1" x14ac:dyDescent="0.2">
      <c r="A164" s="12">
        <f>163</f>
        <v>163</v>
      </c>
      <c r="B164" s="12" t="str">
        <f>IF(C164="","",IF(C164="Match",INDEX('Match Log'!$A:$A,D164),IF(C164="Tournament",INDEX('Tournament Log'!$A:$A,E164),INDEX('Guest Log'!$A:$A,Q164))))</f>
        <v/>
      </c>
      <c r="C164" s="12" t="str">
        <f t="shared" si="10"/>
        <v/>
      </c>
      <c r="D164" s="31" t="str">
        <f>IFERROR(MATCH($A164,'Match Log'!$K$3:$K$501,0)+2,"")</f>
        <v/>
      </c>
      <c r="E164" s="31" t="str">
        <f>IFERROR(MATCH($A164,'Tournament Log'!$O$4:$O$203,0)+3,"")</f>
        <v/>
      </c>
      <c r="F164" s="12" t="str">
        <f>IF(C164="","",IF(C164="Match",INDEX('Match Log'!$B:$B,D164),IF(C164="Tournament",INDEX('Tournament Log'!$C:$C,E164),INDEX('Guest Log'!$B:$B,Q164))))</f>
        <v/>
      </c>
      <c r="G164" s="12" t="str">
        <f>IF(C164="","",IF(C164="Match",INDEX('Match Log'!$C:$C,D164),IF(C164="Tournament",INDEX('Tournament Log'!$B:$B,E164)&amp;" (Phantom)",INDEX('Guest Log'!$H:$H,Q164)&amp;" (Guest)")))</f>
        <v/>
      </c>
      <c r="H164" s="32" t="str">
        <f t="array" ref="H164">IF(C164="","",IFERROR(LOOKUP(2,1/(($F$1:F163=F164)+($G$1:G163=F164)),IF($F$1:F163=F164,$N$1:N163,$O$1:O163)),1000))</f>
        <v/>
      </c>
      <c r="I164" s="12" t="str">
        <f t="array" ref="I164">IF(C164="","",IF(C164="Tournament",INDEX('Tournament Log'!$J:$J,E164),IF(C164="Guest",IF(INDEX('Guest Log'!$I:$I,Q164)="",1000,INDEX('Guest Log'!$I:$I,Q164)),IFERROR(LOOKUP(2,1/(($F$1:F163=G164)+($G$1:G163=G164)),IF($F$1:F163=G164,$N$1:N163,$O$1:O163)),1000))))</f>
        <v/>
      </c>
      <c r="J164" s="12" t="str">
        <f t="shared" si="11"/>
        <v/>
      </c>
      <c r="K164" s="12" t="str">
        <f>IF(C164="","",IF(C164="Match",IF(INDEX('Match Log'!$D:$D,D164)="Win",1,IF(INDEX('Match Log'!$D:$D,D164)="Draw",0.5,0)),IF(C164="Tournament",INDEX('Tournament Log'!$K:$K,E164),IF(INDEX('Guest Log'!$C:$C,Q164)="Win",1,IF(INDEX('Guest Log'!$C:$C,Q164)="Draw",0.5,0)))))</f>
        <v/>
      </c>
      <c r="L164" s="12" t="str">
        <f>IF(C164="","",IF(C164="Match",32,IF(C164="Tournament",MIN(32*INDEX('Tournament Log'!$D:$D,E164),96),32)))</f>
        <v/>
      </c>
      <c r="M164" s="12" t="str">
        <f t="shared" si="12"/>
        <v/>
      </c>
      <c r="N164" s="12" t="str">
        <f t="shared" si="13"/>
        <v/>
      </c>
      <c r="O164" s="12" t="str">
        <f t="shared" si="14"/>
        <v/>
      </c>
      <c r="P164" s="12" t="str">
        <f>IF(C164="Tournament",INDEX('Tournament Log'!$B:$B,E164),IF(C164="Guest","Guest: "&amp;INDEX('Guest Log'!$H:$H,Q164),""))</f>
        <v/>
      </c>
      <c r="Q164" t="str">
        <f>IFERROR(MATCH($A164,'Guest Log'!$L$4:$L$203,0)+3,"")</f>
        <v/>
      </c>
    </row>
    <row r="165" spans="1:17" ht="15" customHeight="1" x14ac:dyDescent="0.2">
      <c r="A165" s="12">
        <f>164</f>
        <v>164</v>
      </c>
      <c r="B165" s="12" t="str">
        <f>IF(C165="","",IF(C165="Match",INDEX('Match Log'!$A:$A,D165),IF(C165="Tournament",INDEX('Tournament Log'!$A:$A,E165),INDEX('Guest Log'!$A:$A,Q165))))</f>
        <v/>
      </c>
      <c r="C165" s="12" t="str">
        <f t="shared" si="10"/>
        <v/>
      </c>
      <c r="D165" s="31" t="str">
        <f>IFERROR(MATCH($A165,'Match Log'!$K$3:$K$501,0)+2,"")</f>
        <v/>
      </c>
      <c r="E165" s="31" t="str">
        <f>IFERROR(MATCH($A165,'Tournament Log'!$O$4:$O$203,0)+3,"")</f>
        <v/>
      </c>
      <c r="F165" s="12" t="str">
        <f>IF(C165="","",IF(C165="Match",INDEX('Match Log'!$B:$B,D165),IF(C165="Tournament",INDEX('Tournament Log'!$C:$C,E165),INDEX('Guest Log'!$B:$B,Q165))))</f>
        <v/>
      </c>
      <c r="G165" s="12" t="str">
        <f>IF(C165="","",IF(C165="Match",INDEX('Match Log'!$C:$C,D165),IF(C165="Tournament",INDEX('Tournament Log'!$B:$B,E165)&amp;" (Phantom)",INDEX('Guest Log'!$H:$H,Q165)&amp;" (Guest)")))</f>
        <v/>
      </c>
      <c r="H165" s="32" t="str">
        <f t="array" ref="H165">IF(C165="","",IFERROR(LOOKUP(2,1/(($F$1:F164=F165)+($G$1:G164=F165)),IF($F$1:F164=F165,$N$1:N164,$O$1:O164)),1000))</f>
        <v/>
      </c>
      <c r="I165" s="12" t="str">
        <f t="array" ref="I165">IF(C165="","",IF(C165="Tournament",INDEX('Tournament Log'!$J:$J,E165),IF(C165="Guest",IF(INDEX('Guest Log'!$I:$I,Q165)="",1000,INDEX('Guest Log'!$I:$I,Q165)),IFERROR(LOOKUP(2,1/(($F$1:F164=G165)+($G$1:G164=G165)),IF($F$1:F164=G165,$N$1:N164,$O$1:O164)),1000))))</f>
        <v/>
      </c>
      <c r="J165" s="12" t="str">
        <f t="shared" si="11"/>
        <v/>
      </c>
      <c r="K165" s="12" t="str">
        <f>IF(C165="","",IF(C165="Match",IF(INDEX('Match Log'!$D:$D,D165)="Win",1,IF(INDEX('Match Log'!$D:$D,D165)="Draw",0.5,0)),IF(C165="Tournament",INDEX('Tournament Log'!$K:$K,E165),IF(INDEX('Guest Log'!$C:$C,Q165)="Win",1,IF(INDEX('Guest Log'!$C:$C,Q165)="Draw",0.5,0)))))</f>
        <v/>
      </c>
      <c r="L165" s="12" t="str">
        <f>IF(C165="","",IF(C165="Match",32,IF(C165="Tournament",MIN(32*INDEX('Tournament Log'!$D:$D,E165),96),32)))</f>
        <v/>
      </c>
      <c r="M165" s="12" t="str">
        <f t="shared" si="12"/>
        <v/>
      </c>
      <c r="N165" s="12" t="str">
        <f t="shared" si="13"/>
        <v/>
      </c>
      <c r="O165" s="12" t="str">
        <f t="shared" si="14"/>
        <v/>
      </c>
      <c r="P165" s="12" t="str">
        <f>IF(C165="Tournament",INDEX('Tournament Log'!$B:$B,E165),IF(C165="Guest","Guest: "&amp;INDEX('Guest Log'!$H:$H,Q165),""))</f>
        <v/>
      </c>
      <c r="Q165" t="str">
        <f>IFERROR(MATCH($A165,'Guest Log'!$L$4:$L$203,0)+3,"")</f>
        <v/>
      </c>
    </row>
    <row r="166" spans="1:17" ht="15" customHeight="1" x14ac:dyDescent="0.2">
      <c r="A166" s="12">
        <f>165</f>
        <v>165</v>
      </c>
      <c r="B166" s="12" t="str">
        <f>IF(C166="","",IF(C166="Match",INDEX('Match Log'!$A:$A,D166),IF(C166="Tournament",INDEX('Tournament Log'!$A:$A,E166),INDEX('Guest Log'!$A:$A,Q166))))</f>
        <v/>
      </c>
      <c r="C166" s="12" t="str">
        <f t="shared" si="10"/>
        <v/>
      </c>
      <c r="D166" s="31" t="str">
        <f>IFERROR(MATCH($A166,'Match Log'!$K$3:$K$501,0)+2,"")</f>
        <v/>
      </c>
      <c r="E166" s="31" t="str">
        <f>IFERROR(MATCH($A166,'Tournament Log'!$O$4:$O$203,0)+3,"")</f>
        <v/>
      </c>
      <c r="F166" s="12" t="str">
        <f>IF(C166="","",IF(C166="Match",INDEX('Match Log'!$B:$B,D166),IF(C166="Tournament",INDEX('Tournament Log'!$C:$C,E166),INDEX('Guest Log'!$B:$B,Q166))))</f>
        <v/>
      </c>
      <c r="G166" s="12" t="str">
        <f>IF(C166="","",IF(C166="Match",INDEX('Match Log'!$C:$C,D166),IF(C166="Tournament",INDEX('Tournament Log'!$B:$B,E166)&amp;" (Phantom)",INDEX('Guest Log'!$H:$H,Q166)&amp;" (Guest)")))</f>
        <v/>
      </c>
      <c r="H166" s="32" t="str">
        <f t="array" ref="H166">IF(C166="","",IFERROR(LOOKUP(2,1/(($F$1:F165=F166)+($G$1:G165=F166)),IF($F$1:F165=F166,$N$1:N165,$O$1:O165)),1000))</f>
        <v/>
      </c>
      <c r="I166" s="12" t="str">
        <f t="array" ref="I166">IF(C166="","",IF(C166="Tournament",INDEX('Tournament Log'!$J:$J,E166),IF(C166="Guest",IF(INDEX('Guest Log'!$I:$I,Q166)="",1000,INDEX('Guest Log'!$I:$I,Q166)),IFERROR(LOOKUP(2,1/(($F$1:F165=G166)+($G$1:G165=G166)),IF($F$1:F165=G166,$N$1:N165,$O$1:O165)),1000))))</f>
        <v/>
      </c>
      <c r="J166" s="12" t="str">
        <f t="shared" si="11"/>
        <v/>
      </c>
      <c r="K166" s="12" t="str">
        <f>IF(C166="","",IF(C166="Match",IF(INDEX('Match Log'!$D:$D,D166)="Win",1,IF(INDEX('Match Log'!$D:$D,D166)="Draw",0.5,0)),IF(C166="Tournament",INDEX('Tournament Log'!$K:$K,E166),IF(INDEX('Guest Log'!$C:$C,Q166)="Win",1,IF(INDEX('Guest Log'!$C:$C,Q166)="Draw",0.5,0)))))</f>
        <v/>
      </c>
      <c r="L166" s="12" t="str">
        <f>IF(C166="","",IF(C166="Match",32,IF(C166="Tournament",MIN(32*INDEX('Tournament Log'!$D:$D,E166),96),32)))</f>
        <v/>
      </c>
      <c r="M166" s="12" t="str">
        <f t="shared" si="12"/>
        <v/>
      </c>
      <c r="N166" s="12" t="str">
        <f t="shared" si="13"/>
        <v/>
      </c>
      <c r="O166" s="12" t="str">
        <f t="shared" si="14"/>
        <v/>
      </c>
      <c r="P166" s="12" t="str">
        <f>IF(C166="Tournament",INDEX('Tournament Log'!$B:$B,E166),IF(C166="Guest","Guest: "&amp;INDEX('Guest Log'!$H:$H,Q166),""))</f>
        <v/>
      </c>
      <c r="Q166" t="str">
        <f>IFERROR(MATCH($A166,'Guest Log'!$L$4:$L$203,0)+3,"")</f>
        <v/>
      </c>
    </row>
    <row r="167" spans="1:17" ht="15" customHeight="1" x14ac:dyDescent="0.2">
      <c r="A167" s="12">
        <f>166</f>
        <v>166</v>
      </c>
      <c r="B167" s="12" t="str">
        <f>IF(C167="","",IF(C167="Match",INDEX('Match Log'!$A:$A,D167),IF(C167="Tournament",INDEX('Tournament Log'!$A:$A,E167),INDEX('Guest Log'!$A:$A,Q167))))</f>
        <v/>
      </c>
      <c r="C167" s="12" t="str">
        <f t="shared" si="10"/>
        <v/>
      </c>
      <c r="D167" s="31" t="str">
        <f>IFERROR(MATCH($A167,'Match Log'!$K$3:$K$501,0)+2,"")</f>
        <v/>
      </c>
      <c r="E167" s="31" t="str">
        <f>IFERROR(MATCH($A167,'Tournament Log'!$O$4:$O$203,0)+3,"")</f>
        <v/>
      </c>
      <c r="F167" s="12" t="str">
        <f>IF(C167="","",IF(C167="Match",INDEX('Match Log'!$B:$B,D167),IF(C167="Tournament",INDEX('Tournament Log'!$C:$C,E167),INDEX('Guest Log'!$B:$B,Q167))))</f>
        <v/>
      </c>
      <c r="G167" s="12" t="str">
        <f>IF(C167="","",IF(C167="Match",INDEX('Match Log'!$C:$C,D167),IF(C167="Tournament",INDEX('Tournament Log'!$B:$B,E167)&amp;" (Phantom)",INDEX('Guest Log'!$H:$H,Q167)&amp;" (Guest)")))</f>
        <v/>
      </c>
      <c r="H167" s="32" t="str">
        <f t="array" ref="H167">IF(C167="","",IFERROR(LOOKUP(2,1/(($F$1:F166=F167)+($G$1:G166=F167)),IF($F$1:F166=F167,$N$1:N166,$O$1:O166)),1000))</f>
        <v/>
      </c>
      <c r="I167" s="12" t="str">
        <f t="array" ref="I167">IF(C167="","",IF(C167="Tournament",INDEX('Tournament Log'!$J:$J,E167),IF(C167="Guest",IF(INDEX('Guest Log'!$I:$I,Q167)="",1000,INDEX('Guest Log'!$I:$I,Q167)),IFERROR(LOOKUP(2,1/(($F$1:F166=G167)+($G$1:G166=G167)),IF($F$1:F166=G167,$N$1:N166,$O$1:O166)),1000))))</f>
        <v/>
      </c>
      <c r="J167" s="12" t="str">
        <f t="shared" si="11"/>
        <v/>
      </c>
      <c r="K167" s="12" t="str">
        <f>IF(C167="","",IF(C167="Match",IF(INDEX('Match Log'!$D:$D,D167)="Win",1,IF(INDEX('Match Log'!$D:$D,D167)="Draw",0.5,0)),IF(C167="Tournament",INDEX('Tournament Log'!$K:$K,E167),IF(INDEX('Guest Log'!$C:$C,Q167)="Win",1,IF(INDEX('Guest Log'!$C:$C,Q167)="Draw",0.5,0)))))</f>
        <v/>
      </c>
      <c r="L167" s="12" t="str">
        <f>IF(C167="","",IF(C167="Match",32,IF(C167="Tournament",MIN(32*INDEX('Tournament Log'!$D:$D,E167),96),32)))</f>
        <v/>
      </c>
      <c r="M167" s="12" t="str">
        <f t="shared" si="12"/>
        <v/>
      </c>
      <c r="N167" s="12" t="str">
        <f t="shared" si="13"/>
        <v/>
      </c>
      <c r="O167" s="12" t="str">
        <f t="shared" si="14"/>
        <v/>
      </c>
      <c r="P167" s="12" t="str">
        <f>IF(C167="Tournament",INDEX('Tournament Log'!$B:$B,E167),IF(C167="Guest","Guest: "&amp;INDEX('Guest Log'!$H:$H,Q167),""))</f>
        <v/>
      </c>
      <c r="Q167" t="str">
        <f>IFERROR(MATCH($A167,'Guest Log'!$L$4:$L$203,0)+3,"")</f>
        <v/>
      </c>
    </row>
    <row r="168" spans="1:17" ht="15" customHeight="1" x14ac:dyDescent="0.2">
      <c r="A168" s="12">
        <f>167</f>
        <v>167</v>
      </c>
      <c r="B168" s="12" t="str">
        <f>IF(C168="","",IF(C168="Match",INDEX('Match Log'!$A:$A,D168),IF(C168="Tournament",INDEX('Tournament Log'!$A:$A,E168),INDEX('Guest Log'!$A:$A,Q168))))</f>
        <v/>
      </c>
      <c r="C168" s="12" t="str">
        <f t="shared" si="10"/>
        <v/>
      </c>
      <c r="D168" s="31" t="str">
        <f>IFERROR(MATCH($A168,'Match Log'!$K$3:$K$501,0)+2,"")</f>
        <v/>
      </c>
      <c r="E168" s="31" t="str">
        <f>IFERROR(MATCH($A168,'Tournament Log'!$O$4:$O$203,0)+3,"")</f>
        <v/>
      </c>
      <c r="F168" s="12" t="str">
        <f>IF(C168="","",IF(C168="Match",INDEX('Match Log'!$B:$B,D168),IF(C168="Tournament",INDEX('Tournament Log'!$C:$C,E168),INDEX('Guest Log'!$B:$B,Q168))))</f>
        <v/>
      </c>
      <c r="G168" s="12" t="str">
        <f>IF(C168="","",IF(C168="Match",INDEX('Match Log'!$C:$C,D168),IF(C168="Tournament",INDEX('Tournament Log'!$B:$B,E168)&amp;" (Phantom)",INDEX('Guest Log'!$H:$H,Q168)&amp;" (Guest)")))</f>
        <v/>
      </c>
      <c r="H168" s="32" t="str">
        <f t="array" ref="H168">IF(C168="","",IFERROR(LOOKUP(2,1/(($F$1:F167=F168)+($G$1:G167=F168)),IF($F$1:F167=F168,$N$1:N167,$O$1:O167)),1000))</f>
        <v/>
      </c>
      <c r="I168" s="12" t="str">
        <f t="array" ref="I168">IF(C168="","",IF(C168="Tournament",INDEX('Tournament Log'!$J:$J,E168),IF(C168="Guest",IF(INDEX('Guest Log'!$I:$I,Q168)="",1000,INDEX('Guest Log'!$I:$I,Q168)),IFERROR(LOOKUP(2,1/(($F$1:F167=G168)+($G$1:G167=G168)),IF($F$1:F167=G168,$N$1:N167,$O$1:O167)),1000))))</f>
        <v/>
      </c>
      <c r="J168" s="12" t="str">
        <f t="shared" si="11"/>
        <v/>
      </c>
      <c r="K168" s="12" t="str">
        <f>IF(C168="","",IF(C168="Match",IF(INDEX('Match Log'!$D:$D,D168)="Win",1,IF(INDEX('Match Log'!$D:$D,D168)="Draw",0.5,0)),IF(C168="Tournament",INDEX('Tournament Log'!$K:$K,E168),IF(INDEX('Guest Log'!$C:$C,Q168)="Win",1,IF(INDEX('Guest Log'!$C:$C,Q168)="Draw",0.5,0)))))</f>
        <v/>
      </c>
      <c r="L168" s="12" t="str">
        <f>IF(C168="","",IF(C168="Match",32,IF(C168="Tournament",MIN(32*INDEX('Tournament Log'!$D:$D,E168),96),32)))</f>
        <v/>
      </c>
      <c r="M168" s="12" t="str">
        <f t="shared" si="12"/>
        <v/>
      </c>
      <c r="N168" s="12" t="str">
        <f t="shared" si="13"/>
        <v/>
      </c>
      <c r="O168" s="12" t="str">
        <f t="shared" si="14"/>
        <v/>
      </c>
      <c r="P168" s="12" t="str">
        <f>IF(C168="Tournament",INDEX('Tournament Log'!$B:$B,E168),IF(C168="Guest","Guest: "&amp;INDEX('Guest Log'!$H:$H,Q168),""))</f>
        <v/>
      </c>
      <c r="Q168" t="str">
        <f>IFERROR(MATCH($A168,'Guest Log'!$L$4:$L$203,0)+3,"")</f>
        <v/>
      </c>
    </row>
    <row r="169" spans="1:17" ht="15" customHeight="1" x14ac:dyDescent="0.2">
      <c r="A169" s="12">
        <f>168</f>
        <v>168</v>
      </c>
      <c r="B169" s="12" t="str">
        <f>IF(C169="","",IF(C169="Match",INDEX('Match Log'!$A:$A,D169),IF(C169="Tournament",INDEX('Tournament Log'!$A:$A,E169),INDEX('Guest Log'!$A:$A,Q169))))</f>
        <v/>
      </c>
      <c r="C169" s="12" t="str">
        <f t="shared" si="10"/>
        <v/>
      </c>
      <c r="D169" s="31" t="str">
        <f>IFERROR(MATCH($A169,'Match Log'!$K$3:$K$501,0)+2,"")</f>
        <v/>
      </c>
      <c r="E169" s="31" t="str">
        <f>IFERROR(MATCH($A169,'Tournament Log'!$O$4:$O$203,0)+3,"")</f>
        <v/>
      </c>
      <c r="F169" s="12" t="str">
        <f>IF(C169="","",IF(C169="Match",INDEX('Match Log'!$B:$B,D169),IF(C169="Tournament",INDEX('Tournament Log'!$C:$C,E169),INDEX('Guest Log'!$B:$B,Q169))))</f>
        <v/>
      </c>
      <c r="G169" s="12" t="str">
        <f>IF(C169="","",IF(C169="Match",INDEX('Match Log'!$C:$C,D169),IF(C169="Tournament",INDEX('Tournament Log'!$B:$B,E169)&amp;" (Phantom)",INDEX('Guest Log'!$H:$H,Q169)&amp;" (Guest)")))</f>
        <v/>
      </c>
      <c r="H169" s="32" t="str">
        <f t="array" ref="H169">IF(C169="","",IFERROR(LOOKUP(2,1/(($F$1:F168=F169)+($G$1:G168=F169)),IF($F$1:F168=F169,$N$1:N168,$O$1:O168)),1000))</f>
        <v/>
      </c>
      <c r="I169" s="12" t="str">
        <f t="array" ref="I169">IF(C169="","",IF(C169="Tournament",INDEX('Tournament Log'!$J:$J,E169),IF(C169="Guest",IF(INDEX('Guest Log'!$I:$I,Q169)="",1000,INDEX('Guest Log'!$I:$I,Q169)),IFERROR(LOOKUP(2,1/(($F$1:F168=G169)+($G$1:G168=G169)),IF($F$1:F168=G169,$N$1:N168,$O$1:O168)),1000))))</f>
        <v/>
      </c>
      <c r="J169" s="12" t="str">
        <f t="shared" si="11"/>
        <v/>
      </c>
      <c r="K169" s="12" t="str">
        <f>IF(C169="","",IF(C169="Match",IF(INDEX('Match Log'!$D:$D,D169)="Win",1,IF(INDEX('Match Log'!$D:$D,D169)="Draw",0.5,0)),IF(C169="Tournament",INDEX('Tournament Log'!$K:$K,E169),IF(INDEX('Guest Log'!$C:$C,Q169)="Win",1,IF(INDEX('Guest Log'!$C:$C,Q169)="Draw",0.5,0)))))</f>
        <v/>
      </c>
      <c r="L169" s="12" t="str">
        <f>IF(C169="","",IF(C169="Match",32,IF(C169="Tournament",MIN(32*INDEX('Tournament Log'!$D:$D,E169),96),32)))</f>
        <v/>
      </c>
      <c r="M169" s="12" t="str">
        <f t="shared" si="12"/>
        <v/>
      </c>
      <c r="N169" s="12" t="str">
        <f t="shared" si="13"/>
        <v/>
      </c>
      <c r="O169" s="12" t="str">
        <f t="shared" si="14"/>
        <v/>
      </c>
      <c r="P169" s="12" t="str">
        <f>IF(C169="Tournament",INDEX('Tournament Log'!$B:$B,E169),IF(C169="Guest","Guest: "&amp;INDEX('Guest Log'!$H:$H,Q169),""))</f>
        <v/>
      </c>
      <c r="Q169" t="str">
        <f>IFERROR(MATCH($A169,'Guest Log'!$L$4:$L$203,0)+3,"")</f>
        <v/>
      </c>
    </row>
    <row r="170" spans="1:17" ht="15" customHeight="1" x14ac:dyDescent="0.2">
      <c r="A170" s="12">
        <f>169</f>
        <v>169</v>
      </c>
      <c r="B170" s="12" t="str">
        <f>IF(C170="","",IF(C170="Match",INDEX('Match Log'!$A:$A,D170),IF(C170="Tournament",INDEX('Tournament Log'!$A:$A,E170),INDEX('Guest Log'!$A:$A,Q170))))</f>
        <v/>
      </c>
      <c r="C170" s="12" t="str">
        <f t="shared" si="10"/>
        <v/>
      </c>
      <c r="D170" s="31" t="str">
        <f>IFERROR(MATCH($A170,'Match Log'!$K$3:$K$501,0)+2,"")</f>
        <v/>
      </c>
      <c r="E170" s="31" t="str">
        <f>IFERROR(MATCH($A170,'Tournament Log'!$O$4:$O$203,0)+3,"")</f>
        <v/>
      </c>
      <c r="F170" s="12" t="str">
        <f>IF(C170="","",IF(C170="Match",INDEX('Match Log'!$B:$B,D170),IF(C170="Tournament",INDEX('Tournament Log'!$C:$C,E170),INDEX('Guest Log'!$B:$B,Q170))))</f>
        <v/>
      </c>
      <c r="G170" s="12" t="str">
        <f>IF(C170="","",IF(C170="Match",INDEX('Match Log'!$C:$C,D170),IF(C170="Tournament",INDEX('Tournament Log'!$B:$B,E170)&amp;" (Phantom)",INDEX('Guest Log'!$H:$H,Q170)&amp;" (Guest)")))</f>
        <v/>
      </c>
      <c r="H170" s="32" t="str">
        <f t="array" ref="H170">IF(C170="","",IFERROR(LOOKUP(2,1/(($F$1:F169=F170)+($G$1:G169=F170)),IF($F$1:F169=F170,$N$1:N169,$O$1:O169)),1000))</f>
        <v/>
      </c>
      <c r="I170" s="12" t="str">
        <f t="array" ref="I170">IF(C170="","",IF(C170="Tournament",INDEX('Tournament Log'!$J:$J,E170),IF(C170="Guest",IF(INDEX('Guest Log'!$I:$I,Q170)="",1000,INDEX('Guest Log'!$I:$I,Q170)),IFERROR(LOOKUP(2,1/(($F$1:F169=G170)+($G$1:G169=G170)),IF($F$1:F169=G170,$N$1:N169,$O$1:O169)),1000))))</f>
        <v/>
      </c>
      <c r="J170" s="12" t="str">
        <f t="shared" si="11"/>
        <v/>
      </c>
      <c r="K170" s="12" t="str">
        <f>IF(C170="","",IF(C170="Match",IF(INDEX('Match Log'!$D:$D,D170)="Win",1,IF(INDEX('Match Log'!$D:$D,D170)="Draw",0.5,0)),IF(C170="Tournament",INDEX('Tournament Log'!$K:$K,E170),IF(INDEX('Guest Log'!$C:$C,Q170)="Win",1,IF(INDEX('Guest Log'!$C:$C,Q170)="Draw",0.5,0)))))</f>
        <v/>
      </c>
      <c r="L170" s="12" t="str">
        <f>IF(C170="","",IF(C170="Match",32,IF(C170="Tournament",MIN(32*INDEX('Tournament Log'!$D:$D,E170),96),32)))</f>
        <v/>
      </c>
      <c r="M170" s="12" t="str">
        <f t="shared" si="12"/>
        <v/>
      </c>
      <c r="N170" s="12" t="str">
        <f t="shared" si="13"/>
        <v/>
      </c>
      <c r="O170" s="12" t="str">
        <f t="shared" si="14"/>
        <v/>
      </c>
      <c r="P170" s="12" t="str">
        <f>IF(C170="Tournament",INDEX('Tournament Log'!$B:$B,E170),IF(C170="Guest","Guest: "&amp;INDEX('Guest Log'!$H:$H,Q170),""))</f>
        <v/>
      </c>
      <c r="Q170" t="str">
        <f>IFERROR(MATCH($A170,'Guest Log'!$L$4:$L$203,0)+3,"")</f>
        <v/>
      </c>
    </row>
    <row r="171" spans="1:17" ht="15" customHeight="1" x14ac:dyDescent="0.2">
      <c r="A171" s="12">
        <f>170</f>
        <v>170</v>
      </c>
      <c r="B171" s="12" t="str">
        <f>IF(C171="","",IF(C171="Match",INDEX('Match Log'!$A:$A,D171),IF(C171="Tournament",INDEX('Tournament Log'!$A:$A,E171),INDEX('Guest Log'!$A:$A,Q171))))</f>
        <v/>
      </c>
      <c r="C171" s="12" t="str">
        <f t="shared" si="10"/>
        <v/>
      </c>
      <c r="D171" s="31" t="str">
        <f>IFERROR(MATCH($A171,'Match Log'!$K$3:$K$501,0)+2,"")</f>
        <v/>
      </c>
      <c r="E171" s="31" t="str">
        <f>IFERROR(MATCH($A171,'Tournament Log'!$O$4:$O$203,0)+3,"")</f>
        <v/>
      </c>
      <c r="F171" s="12" t="str">
        <f>IF(C171="","",IF(C171="Match",INDEX('Match Log'!$B:$B,D171),IF(C171="Tournament",INDEX('Tournament Log'!$C:$C,E171),INDEX('Guest Log'!$B:$B,Q171))))</f>
        <v/>
      </c>
      <c r="G171" s="12" t="str">
        <f>IF(C171="","",IF(C171="Match",INDEX('Match Log'!$C:$C,D171),IF(C171="Tournament",INDEX('Tournament Log'!$B:$B,E171)&amp;" (Phantom)",INDEX('Guest Log'!$H:$H,Q171)&amp;" (Guest)")))</f>
        <v/>
      </c>
      <c r="H171" s="32" t="str">
        <f t="array" ref="H171">IF(C171="","",IFERROR(LOOKUP(2,1/(($F$1:F170=F171)+($G$1:G170=F171)),IF($F$1:F170=F171,$N$1:N170,$O$1:O170)),1000))</f>
        <v/>
      </c>
      <c r="I171" s="12" t="str">
        <f t="array" ref="I171">IF(C171="","",IF(C171="Tournament",INDEX('Tournament Log'!$J:$J,E171),IF(C171="Guest",IF(INDEX('Guest Log'!$I:$I,Q171)="",1000,INDEX('Guest Log'!$I:$I,Q171)),IFERROR(LOOKUP(2,1/(($F$1:F170=G171)+($G$1:G170=G171)),IF($F$1:F170=G171,$N$1:N170,$O$1:O170)),1000))))</f>
        <v/>
      </c>
      <c r="J171" s="12" t="str">
        <f t="shared" si="11"/>
        <v/>
      </c>
      <c r="K171" s="12" t="str">
        <f>IF(C171="","",IF(C171="Match",IF(INDEX('Match Log'!$D:$D,D171)="Win",1,IF(INDEX('Match Log'!$D:$D,D171)="Draw",0.5,0)),IF(C171="Tournament",INDEX('Tournament Log'!$K:$K,E171),IF(INDEX('Guest Log'!$C:$C,Q171)="Win",1,IF(INDEX('Guest Log'!$C:$C,Q171)="Draw",0.5,0)))))</f>
        <v/>
      </c>
      <c r="L171" s="12" t="str">
        <f>IF(C171="","",IF(C171="Match",32,IF(C171="Tournament",MIN(32*INDEX('Tournament Log'!$D:$D,E171),96),32)))</f>
        <v/>
      </c>
      <c r="M171" s="12" t="str">
        <f t="shared" si="12"/>
        <v/>
      </c>
      <c r="N171" s="12" t="str">
        <f t="shared" si="13"/>
        <v/>
      </c>
      <c r="O171" s="12" t="str">
        <f t="shared" si="14"/>
        <v/>
      </c>
      <c r="P171" s="12" t="str">
        <f>IF(C171="Tournament",INDEX('Tournament Log'!$B:$B,E171),IF(C171="Guest","Guest: "&amp;INDEX('Guest Log'!$H:$H,Q171),""))</f>
        <v/>
      </c>
      <c r="Q171" t="str">
        <f>IFERROR(MATCH($A171,'Guest Log'!$L$4:$L$203,0)+3,"")</f>
        <v/>
      </c>
    </row>
    <row r="172" spans="1:17" ht="15" customHeight="1" x14ac:dyDescent="0.2">
      <c r="A172" s="12">
        <f>171</f>
        <v>171</v>
      </c>
      <c r="B172" s="12" t="str">
        <f>IF(C172="","",IF(C172="Match",INDEX('Match Log'!$A:$A,D172),IF(C172="Tournament",INDEX('Tournament Log'!$A:$A,E172),INDEX('Guest Log'!$A:$A,Q172))))</f>
        <v/>
      </c>
      <c r="C172" s="12" t="str">
        <f t="shared" si="10"/>
        <v/>
      </c>
      <c r="D172" s="31" t="str">
        <f>IFERROR(MATCH($A172,'Match Log'!$K$3:$K$501,0)+2,"")</f>
        <v/>
      </c>
      <c r="E172" s="31" t="str">
        <f>IFERROR(MATCH($A172,'Tournament Log'!$O$4:$O$203,0)+3,"")</f>
        <v/>
      </c>
      <c r="F172" s="12" t="str">
        <f>IF(C172="","",IF(C172="Match",INDEX('Match Log'!$B:$B,D172),IF(C172="Tournament",INDEX('Tournament Log'!$C:$C,E172),INDEX('Guest Log'!$B:$B,Q172))))</f>
        <v/>
      </c>
      <c r="G172" s="12" t="str">
        <f>IF(C172="","",IF(C172="Match",INDEX('Match Log'!$C:$C,D172),IF(C172="Tournament",INDEX('Tournament Log'!$B:$B,E172)&amp;" (Phantom)",INDEX('Guest Log'!$H:$H,Q172)&amp;" (Guest)")))</f>
        <v/>
      </c>
      <c r="H172" s="32" t="str">
        <f t="array" ref="H172">IF(C172="","",IFERROR(LOOKUP(2,1/(($F$1:F171=F172)+($G$1:G171=F172)),IF($F$1:F171=F172,$N$1:N171,$O$1:O171)),1000))</f>
        <v/>
      </c>
      <c r="I172" s="12" t="str">
        <f t="array" ref="I172">IF(C172="","",IF(C172="Tournament",INDEX('Tournament Log'!$J:$J,E172),IF(C172="Guest",IF(INDEX('Guest Log'!$I:$I,Q172)="",1000,INDEX('Guest Log'!$I:$I,Q172)),IFERROR(LOOKUP(2,1/(($F$1:F171=G172)+($G$1:G171=G172)),IF($F$1:F171=G172,$N$1:N171,$O$1:O171)),1000))))</f>
        <v/>
      </c>
      <c r="J172" s="12" t="str">
        <f t="shared" si="11"/>
        <v/>
      </c>
      <c r="K172" s="12" t="str">
        <f>IF(C172="","",IF(C172="Match",IF(INDEX('Match Log'!$D:$D,D172)="Win",1,IF(INDEX('Match Log'!$D:$D,D172)="Draw",0.5,0)),IF(C172="Tournament",INDEX('Tournament Log'!$K:$K,E172),IF(INDEX('Guest Log'!$C:$C,Q172)="Win",1,IF(INDEX('Guest Log'!$C:$C,Q172)="Draw",0.5,0)))))</f>
        <v/>
      </c>
      <c r="L172" s="12" t="str">
        <f>IF(C172="","",IF(C172="Match",32,IF(C172="Tournament",MIN(32*INDEX('Tournament Log'!$D:$D,E172),96),32)))</f>
        <v/>
      </c>
      <c r="M172" s="12" t="str">
        <f t="shared" si="12"/>
        <v/>
      </c>
      <c r="N172" s="12" t="str">
        <f t="shared" si="13"/>
        <v/>
      </c>
      <c r="O172" s="12" t="str">
        <f t="shared" si="14"/>
        <v/>
      </c>
      <c r="P172" s="12" t="str">
        <f>IF(C172="Tournament",INDEX('Tournament Log'!$B:$B,E172),IF(C172="Guest","Guest: "&amp;INDEX('Guest Log'!$H:$H,Q172),""))</f>
        <v/>
      </c>
      <c r="Q172" t="str">
        <f>IFERROR(MATCH($A172,'Guest Log'!$L$4:$L$203,0)+3,"")</f>
        <v/>
      </c>
    </row>
    <row r="173" spans="1:17" ht="15" customHeight="1" x14ac:dyDescent="0.2">
      <c r="A173" s="12">
        <f>172</f>
        <v>172</v>
      </c>
      <c r="B173" s="12" t="str">
        <f>IF(C173="","",IF(C173="Match",INDEX('Match Log'!$A:$A,D173),IF(C173="Tournament",INDEX('Tournament Log'!$A:$A,E173),INDEX('Guest Log'!$A:$A,Q173))))</f>
        <v/>
      </c>
      <c r="C173" s="12" t="str">
        <f t="shared" si="10"/>
        <v/>
      </c>
      <c r="D173" s="31" t="str">
        <f>IFERROR(MATCH($A173,'Match Log'!$K$3:$K$501,0)+2,"")</f>
        <v/>
      </c>
      <c r="E173" s="31" t="str">
        <f>IFERROR(MATCH($A173,'Tournament Log'!$O$4:$O$203,0)+3,"")</f>
        <v/>
      </c>
      <c r="F173" s="12" t="str">
        <f>IF(C173="","",IF(C173="Match",INDEX('Match Log'!$B:$B,D173),IF(C173="Tournament",INDEX('Tournament Log'!$C:$C,E173),INDEX('Guest Log'!$B:$B,Q173))))</f>
        <v/>
      </c>
      <c r="G173" s="12" t="str">
        <f>IF(C173="","",IF(C173="Match",INDEX('Match Log'!$C:$C,D173),IF(C173="Tournament",INDEX('Tournament Log'!$B:$B,E173)&amp;" (Phantom)",INDEX('Guest Log'!$H:$H,Q173)&amp;" (Guest)")))</f>
        <v/>
      </c>
      <c r="H173" s="32" t="str">
        <f t="array" ref="H173">IF(C173="","",IFERROR(LOOKUP(2,1/(($F$1:F172=F173)+($G$1:G172=F173)),IF($F$1:F172=F173,$N$1:N172,$O$1:O172)),1000))</f>
        <v/>
      </c>
      <c r="I173" s="12" t="str">
        <f t="array" ref="I173">IF(C173="","",IF(C173="Tournament",INDEX('Tournament Log'!$J:$J,E173),IF(C173="Guest",IF(INDEX('Guest Log'!$I:$I,Q173)="",1000,INDEX('Guest Log'!$I:$I,Q173)),IFERROR(LOOKUP(2,1/(($F$1:F172=G173)+($G$1:G172=G173)),IF($F$1:F172=G173,$N$1:N172,$O$1:O172)),1000))))</f>
        <v/>
      </c>
      <c r="J173" s="12" t="str">
        <f t="shared" si="11"/>
        <v/>
      </c>
      <c r="K173" s="12" t="str">
        <f>IF(C173="","",IF(C173="Match",IF(INDEX('Match Log'!$D:$D,D173)="Win",1,IF(INDEX('Match Log'!$D:$D,D173)="Draw",0.5,0)),IF(C173="Tournament",INDEX('Tournament Log'!$K:$K,E173),IF(INDEX('Guest Log'!$C:$C,Q173)="Win",1,IF(INDEX('Guest Log'!$C:$C,Q173)="Draw",0.5,0)))))</f>
        <v/>
      </c>
      <c r="L173" s="12" t="str">
        <f>IF(C173="","",IF(C173="Match",32,IF(C173="Tournament",MIN(32*INDEX('Tournament Log'!$D:$D,E173),96),32)))</f>
        <v/>
      </c>
      <c r="M173" s="12" t="str">
        <f t="shared" si="12"/>
        <v/>
      </c>
      <c r="N173" s="12" t="str">
        <f t="shared" si="13"/>
        <v/>
      </c>
      <c r="O173" s="12" t="str">
        <f t="shared" si="14"/>
        <v/>
      </c>
      <c r="P173" s="12" t="str">
        <f>IF(C173="Tournament",INDEX('Tournament Log'!$B:$B,E173),IF(C173="Guest","Guest: "&amp;INDEX('Guest Log'!$H:$H,Q173),""))</f>
        <v/>
      </c>
      <c r="Q173" t="str">
        <f>IFERROR(MATCH($A173,'Guest Log'!$L$4:$L$203,0)+3,"")</f>
        <v/>
      </c>
    </row>
    <row r="174" spans="1:17" ht="15" customHeight="1" x14ac:dyDescent="0.2">
      <c r="A174" s="12">
        <f>173</f>
        <v>173</v>
      </c>
      <c r="B174" s="12" t="str">
        <f>IF(C174="","",IF(C174="Match",INDEX('Match Log'!$A:$A,D174),IF(C174="Tournament",INDEX('Tournament Log'!$A:$A,E174),INDEX('Guest Log'!$A:$A,Q174))))</f>
        <v/>
      </c>
      <c r="C174" s="12" t="str">
        <f t="shared" si="10"/>
        <v/>
      </c>
      <c r="D174" s="31" t="str">
        <f>IFERROR(MATCH($A174,'Match Log'!$K$3:$K$501,0)+2,"")</f>
        <v/>
      </c>
      <c r="E174" s="31" t="str">
        <f>IFERROR(MATCH($A174,'Tournament Log'!$O$4:$O$203,0)+3,"")</f>
        <v/>
      </c>
      <c r="F174" s="12" t="str">
        <f>IF(C174="","",IF(C174="Match",INDEX('Match Log'!$B:$B,D174),IF(C174="Tournament",INDEX('Tournament Log'!$C:$C,E174),INDEX('Guest Log'!$B:$B,Q174))))</f>
        <v/>
      </c>
      <c r="G174" s="12" t="str">
        <f>IF(C174="","",IF(C174="Match",INDEX('Match Log'!$C:$C,D174),IF(C174="Tournament",INDEX('Tournament Log'!$B:$B,E174)&amp;" (Phantom)",INDEX('Guest Log'!$H:$H,Q174)&amp;" (Guest)")))</f>
        <v/>
      </c>
      <c r="H174" s="32" t="str">
        <f t="array" ref="H174">IF(C174="","",IFERROR(LOOKUP(2,1/(($F$1:F173=F174)+($G$1:G173=F174)),IF($F$1:F173=F174,$N$1:N173,$O$1:O173)),1000))</f>
        <v/>
      </c>
      <c r="I174" s="12" t="str">
        <f t="array" ref="I174">IF(C174="","",IF(C174="Tournament",INDEX('Tournament Log'!$J:$J,E174),IF(C174="Guest",IF(INDEX('Guest Log'!$I:$I,Q174)="",1000,INDEX('Guest Log'!$I:$I,Q174)),IFERROR(LOOKUP(2,1/(($F$1:F173=G174)+($G$1:G173=G174)),IF($F$1:F173=G174,$N$1:N173,$O$1:O173)),1000))))</f>
        <v/>
      </c>
      <c r="J174" s="12" t="str">
        <f t="shared" si="11"/>
        <v/>
      </c>
      <c r="K174" s="12" t="str">
        <f>IF(C174="","",IF(C174="Match",IF(INDEX('Match Log'!$D:$D,D174)="Win",1,IF(INDEX('Match Log'!$D:$D,D174)="Draw",0.5,0)),IF(C174="Tournament",INDEX('Tournament Log'!$K:$K,E174),IF(INDEX('Guest Log'!$C:$C,Q174)="Win",1,IF(INDEX('Guest Log'!$C:$C,Q174)="Draw",0.5,0)))))</f>
        <v/>
      </c>
      <c r="L174" s="12" t="str">
        <f>IF(C174="","",IF(C174="Match",32,IF(C174="Tournament",MIN(32*INDEX('Tournament Log'!$D:$D,E174),96),32)))</f>
        <v/>
      </c>
      <c r="M174" s="12" t="str">
        <f t="shared" si="12"/>
        <v/>
      </c>
      <c r="N174" s="12" t="str">
        <f t="shared" si="13"/>
        <v/>
      </c>
      <c r="O174" s="12" t="str">
        <f t="shared" si="14"/>
        <v/>
      </c>
      <c r="P174" s="12" t="str">
        <f>IF(C174="Tournament",INDEX('Tournament Log'!$B:$B,E174),IF(C174="Guest","Guest: "&amp;INDEX('Guest Log'!$H:$H,Q174),""))</f>
        <v/>
      </c>
      <c r="Q174" t="str">
        <f>IFERROR(MATCH($A174,'Guest Log'!$L$4:$L$203,0)+3,"")</f>
        <v/>
      </c>
    </row>
    <row r="175" spans="1:17" ht="15" customHeight="1" x14ac:dyDescent="0.2">
      <c r="A175" s="12">
        <f>174</f>
        <v>174</v>
      </c>
      <c r="B175" s="12" t="str">
        <f>IF(C175="","",IF(C175="Match",INDEX('Match Log'!$A:$A,D175),IF(C175="Tournament",INDEX('Tournament Log'!$A:$A,E175),INDEX('Guest Log'!$A:$A,Q175))))</f>
        <v/>
      </c>
      <c r="C175" s="12" t="str">
        <f t="shared" si="10"/>
        <v/>
      </c>
      <c r="D175" s="31" t="str">
        <f>IFERROR(MATCH($A175,'Match Log'!$K$3:$K$501,0)+2,"")</f>
        <v/>
      </c>
      <c r="E175" s="31" t="str">
        <f>IFERROR(MATCH($A175,'Tournament Log'!$O$4:$O$203,0)+3,"")</f>
        <v/>
      </c>
      <c r="F175" s="12" t="str">
        <f>IF(C175="","",IF(C175="Match",INDEX('Match Log'!$B:$B,D175),IF(C175="Tournament",INDEX('Tournament Log'!$C:$C,E175),INDEX('Guest Log'!$B:$B,Q175))))</f>
        <v/>
      </c>
      <c r="G175" s="12" t="str">
        <f>IF(C175="","",IF(C175="Match",INDEX('Match Log'!$C:$C,D175),IF(C175="Tournament",INDEX('Tournament Log'!$B:$B,E175)&amp;" (Phantom)",INDEX('Guest Log'!$H:$H,Q175)&amp;" (Guest)")))</f>
        <v/>
      </c>
      <c r="H175" s="32" t="str">
        <f t="array" ref="H175">IF(C175="","",IFERROR(LOOKUP(2,1/(($F$1:F174=F175)+($G$1:G174=F175)),IF($F$1:F174=F175,$N$1:N174,$O$1:O174)),1000))</f>
        <v/>
      </c>
      <c r="I175" s="12" t="str">
        <f t="array" ref="I175">IF(C175="","",IF(C175="Tournament",INDEX('Tournament Log'!$J:$J,E175),IF(C175="Guest",IF(INDEX('Guest Log'!$I:$I,Q175)="",1000,INDEX('Guest Log'!$I:$I,Q175)),IFERROR(LOOKUP(2,1/(($F$1:F174=G175)+($G$1:G174=G175)),IF($F$1:F174=G175,$N$1:N174,$O$1:O174)),1000))))</f>
        <v/>
      </c>
      <c r="J175" s="12" t="str">
        <f t="shared" si="11"/>
        <v/>
      </c>
      <c r="K175" s="12" t="str">
        <f>IF(C175="","",IF(C175="Match",IF(INDEX('Match Log'!$D:$D,D175)="Win",1,IF(INDEX('Match Log'!$D:$D,D175)="Draw",0.5,0)),IF(C175="Tournament",INDEX('Tournament Log'!$K:$K,E175),IF(INDEX('Guest Log'!$C:$C,Q175)="Win",1,IF(INDEX('Guest Log'!$C:$C,Q175)="Draw",0.5,0)))))</f>
        <v/>
      </c>
      <c r="L175" s="12" t="str">
        <f>IF(C175="","",IF(C175="Match",32,IF(C175="Tournament",MIN(32*INDEX('Tournament Log'!$D:$D,E175),96),32)))</f>
        <v/>
      </c>
      <c r="M175" s="12" t="str">
        <f t="shared" si="12"/>
        <v/>
      </c>
      <c r="N175" s="12" t="str">
        <f t="shared" si="13"/>
        <v/>
      </c>
      <c r="O175" s="12" t="str">
        <f t="shared" si="14"/>
        <v/>
      </c>
      <c r="P175" s="12" t="str">
        <f>IF(C175="Tournament",INDEX('Tournament Log'!$B:$B,E175),IF(C175="Guest","Guest: "&amp;INDEX('Guest Log'!$H:$H,Q175),""))</f>
        <v/>
      </c>
      <c r="Q175" t="str">
        <f>IFERROR(MATCH($A175,'Guest Log'!$L$4:$L$203,0)+3,"")</f>
        <v/>
      </c>
    </row>
    <row r="176" spans="1:17" ht="15" customHeight="1" x14ac:dyDescent="0.2">
      <c r="A176" s="12">
        <f>175</f>
        <v>175</v>
      </c>
      <c r="B176" s="12" t="str">
        <f>IF(C176="","",IF(C176="Match",INDEX('Match Log'!$A:$A,D176),IF(C176="Tournament",INDEX('Tournament Log'!$A:$A,E176),INDEX('Guest Log'!$A:$A,Q176))))</f>
        <v/>
      </c>
      <c r="C176" s="12" t="str">
        <f t="shared" si="10"/>
        <v/>
      </c>
      <c r="D176" s="31" t="str">
        <f>IFERROR(MATCH($A176,'Match Log'!$K$3:$K$501,0)+2,"")</f>
        <v/>
      </c>
      <c r="E176" s="31" t="str">
        <f>IFERROR(MATCH($A176,'Tournament Log'!$O$4:$O$203,0)+3,"")</f>
        <v/>
      </c>
      <c r="F176" s="12" t="str">
        <f>IF(C176="","",IF(C176="Match",INDEX('Match Log'!$B:$B,D176),IF(C176="Tournament",INDEX('Tournament Log'!$C:$C,E176),INDEX('Guest Log'!$B:$B,Q176))))</f>
        <v/>
      </c>
      <c r="G176" s="12" t="str">
        <f>IF(C176="","",IF(C176="Match",INDEX('Match Log'!$C:$C,D176),IF(C176="Tournament",INDEX('Tournament Log'!$B:$B,E176)&amp;" (Phantom)",INDEX('Guest Log'!$H:$H,Q176)&amp;" (Guest)")))</f>
        <v/>
      </c>
      <c r="H176" s="32" t="str">
        <f t="array" ref="H176">IF(C176="","",IFERROR(LOOKUP(2,1/(($F$1:F175=F176)+($G$1:G175=F176)),IF($F$1:F175=F176,$N$1:N175,$O$1:O175)),1000))</f>
        <v/>
      </c>
      <c r="I176" s="12" t="str">
        <f t="array" ref="I176">IF(C176="","",IF(C176="Tournament",INDEX('Tournament Log'!$J:$J,E176),IF(C176="Guest",IF(INDEX('Guest Log'!$I:$I,Q176)="",1000,INDEX('Guest Log'!$I:$I,Q176)),IFERROR(LOOKUP(2,1/(($F$1:F175=G176)+($G$1:G175=G176)),IF($F$1:F175=G176,$N$1:N175,$O$1:O175)),1000))))</f>
        <v/>
      </c>
      <c r="J176" s="12" t="str">
        <f t="shared" si="11"/>
        <v/>
      </c>
      <c r="K176" s="12" t="str">
        <f>IF(C176="","",IF(C176="Match",IF(INDEX('Match Log'!$D:$D,D176)="Win",1,IF(INDEX('Match Log'!$D:$D,D176)="Draw",0.5,0)),IF(C176="Tournament",INDEX('Tournament Log'!$K:$K,E176),IF(INDEX('Guest Log'!$C:$C,Q176)="Win",1,IF(INDEX('Guest Log'!$C:$C,Q176)="Draw",0.5,0)))))</f>
        <v/>
      </c>
      <c r="L176" s="12" t="str">
        <f>IF(C176="","",IF(C176="Match",32,IF(C176="Tournament",MIN(32*INDEX('Tournament Log'!$D:$D,E176),96),32)))</f>
        <v/>
      </c>
      <c r="M176" s="12" t="str">
        <f t="shared" si="12"/>
        <v/>
      </c>
      <c r="N176" s="12" t="str">
        <f t="shared" si="13"/>
        <v/>
      </c>
      <c r="O176" s="12" t="str">
        <f t="shared" si="14"/>
        <v/>
      </c>
      <c r="P176" s="12" t="str">
        <f>IF(C176="Tournament",INDEX('Tournament Log'!$B:$B,E176),IF(C176="Guest","Guest: "&amp;INDEX('Guest Log'!$H:$H,Q176),""))</f>
        <v/>
      </c>
      <c r="Q176" t="str">
        <f>IFERROR(MATCH($A176,'Guest Log'!$L$4:$L$203,0)+3,"")</f>
        <v/>
      </c>
    </row>
    <row r="177" spans="1:17" ht="15" customHeight="1" x14ac:dyDescent="0.2">
      <c r="A177" s="12">
        <f>176</f>
        <v>176</v>
      </c>
      <c r="B177" s="12" t="str">
        <f>IF(C177="","",IF(C177="Match",INDEX('Match Log'!$A:$A,D177),IF(C177="Tournament",INDEX('Tournament Log'!$A:$A,E177),INDEX('Guest Log'!$A:$A,Q177))))</f>
        <v/>
      </c>
      <c r="C177" s="12" t="str">
        <f t="shared" si="10"/>
        <v/>
      </c>
      <c r="D177" s="31" t="str">
        <f>IFERROR(MATCH($A177,'Match Log'!$K$3:$K$501,0)+2,"")</f>
        <v/>
      </c>
      <c r="E177" s="31" t="str">
        <f>IFERROR(MATCH($A177,'Tournament Log'!$O$4:$O$203,0)+3,"")</f>
        <v/>
      </c>
      <c r="F177" s="12" t="str">
        <f>IF(C177="","",IF(C177="Match",INDEX('Match Log'!$B:$B,D177),IF(C177="Tournament",INDEX('Tournament Log'!$C:$C,E177),INDEX('Guest Log'!$B:$B,Q177))))</f>
        <v/>
      </c>
      <c r="G177" s="12" t="str">
        <f>IF(C177="","",IF(C177="Match",INDEX('Match Log'!$C:$C,D177),IF(C177="Tournament",INDEX('Tournament Log'!$B:$B,E177)&amp;" (Phantom)",INDEX('Guest Log'!$H:$H,Q177)&amp;" (Guest)")))</f>
        <v/>
      </c>
      <c r="H177" s="32" t="str">
        <f t="array" ref="H177">IF(C177="","",IFERROR(LOOKUP(2,1/(($F$1:F176=F177)+($G$1:G176=F177)),IF($F$1:F176=F177,$N$1:N176,$O$1:O176)),1000))</f>
        <v/>
      </c>
      <c r="I177" s="12" t="str">
        <f t="array" ref="I177">IF(C177="","",IF(C177="Tournament",INDEX('Tournament Log'!$J:$J,E177),IF(C177="Guest",IF(INDEX('Guest Log'!$I:$I,Q177)="",1000,INDEX('Guest Log'!$I:$I,Q177)),IFERROR(LOOKUP(2,1/(($F$1:F176=G177)+($G$1:G176=G177)),IF($F$1:F176=G177,$N$1:N176,$O$1:O176)),1000))))</f>
        <v/>
      </c>
      <c r="J177" s="12" t="str">
        <f t="shared" si="11"/>
        <v/>
      </c>
      <c r="K177" s="12" t="str">
        <f>IF(C177="","",IF(C177="Match",IF(INDEX('Match Log'!$D:$D,D177)="Win",1,IF(INDEX('Match Log'!$D:$D,D177)="Draw",0.5,0)),IF(C177="Tournament",INDEX('Tournament Log'!$K:$K,E177),IF(INDEX('Guest Log'!$C:$C,Q177)="Win",1,IF(INDEX('Guest Log'!$C:$C,Q177)="Draw",0.5,0)))))</f>
        <v/>
      </c>
      <c r="L177" s="12" t="str">
        <f>IF(C177="","",IF(C177="Match",32,IF(C177="Tournament",MIN(32*INDEX('Tournament Log'!$D:$D,E177),96),32)))</f>
        <v/>
      </c>
      <c r="M177" s="12" t="str">
        <f t="shared" si="12"/>
        <v/>
      </c>
      <c r="N177" s="12" t="str">
        <f t="shared" si="13"/>
        <v/>
      </c>
      <c r="O177" s="12" t="str">
        <f t="shared" si="14"/>
        <v/>
      </c>
      <c r="P177" s="12" t="str">
        <f>IF(C177="Tournament",INDEX('Tournament Log'!$B:$B,E177),IF(C177="Guest","Guest: "&amp;INDEX('Guest Log'!$H:$H,Q177),""))</f>
        <v/>
      </c>
      <c r="Q177" t="str">
        <f>IFERROR(MATCH($A177,'Guest Log'!$L$4:$L$203,0)+3,"")</f>
        <v/>
      </c>
    </row>
    <row r="178" spans="1:17" ht="15" customHeight="1" x14ac:dyDescent="0.2">
      <c r="A178" s="12">
        <f>177</f>
        <v>177</v>
      </c>
      <c r="B178" s="12" t="str">
        <f>IF(C178="","",IF(C178="Match",INDEX('Match Log'!$A:$A,D178),IF(C178="Tournament",INDEX('Tournament Log'!$A:$A,E178),INDEX('Guest Log'!$A:$A,Q178))))</f>
        <v/>
      </c>
      <c r="C178" s="12" t="str">
        <f t="shared" si="10"/>
        <v/>
      </c>
      <c r="D178" s="31" t="str">
        <f>IFERROR(MATCH($A178,'Match Log'!$K$3:$K$501,0)+2,"")</f>
        <v/>
      </c>
      <c r="E178" s="31" t="str">
        <f>IFERROR(MATCH($A178,'Tournament Log'!$O$4:$O$203,0)+3,"")</f>
        <v/>
      </c>
      <c r="F178" s="12" t="str">
        <f>IF(C178="","",IF(C178="Match",INDEX('Match Log'!$B:$B,D178),IF(C178="Tournament",INDEX('Tournament Log'!$C:$C,E178),INDEX('Guest Log'!$B:$B,Q178))))</f>
        <v/>
      </c>
      <c r="G178" s="12" t="str">
        <f>IF(C178="","",IF(C178="Match",INDEX('Match Log'!$C:$C,D178),IF(C178="Tournament",INDEX('Tournament Log'!$B:$B,E178)&amp;" (Phantom)",INDEX('Guest Log'!$H:$H,Q178)&amp;" (Guest)")))</f>
        <v/>
      </c>
      <c r="H178" s="32" t="str">
        <f t="array" ref="H178">IF(C178="","",IFERROR(LOOKUP(2,1/(($F$1:F177=F178)+($G$1:G177=F178)),IF($F$1:F177=F178,$N$1:N177,$O$1:O177)),1000))</f>
        <v/>
      </c>
      <c r="I178" s="12" t="str">
        <f t="array" ref="I178">IF(C178="","",IF(C178="Tournament",INDEX('Tournament Log'!$J:$J,E178),IF(C178="Guest",IF(INDEX('Guest Log'!$I:$I,Q178)="",1000,INDEX('Guest Log'!$I:$I,Q178)),IFERROR(LOOKUP(2,1/(($F$1:F177=G178)+($G$1:G177=G178)),IF($F$1:F177=G178,$N$1:N177,$O$1:O177)),1000))))</f>
        <v/>
      </c>
      <c r="J178" s="12" t="str">
        <f t="shared" si="11"/>
        <v/>
      </c>
      <c r="K178" s="12" t="str">
        <f>IF(C178="","",IF(C178="Match",IF(INDEX('Match Log'!$D:$D,D178)="Win",1,IF(INDEX('Match Log'!$D:$D,D178)="Draw",0.5,0)),IF(C178="Tournament",INDEX('Tournament Log'!$K:$K,E178),IF(INDEX('Guest Log'!$C:$C,Q178)="Win",1,IF(INDEX('Guest Log'!$C:$C,Q178)="Draw",0.5,0)))))</f>
        <v/>
      </c>
      <c r="L178" s="12" t="str">
        <f>IF(C178="","",IF(C178="Match",32,IF(C178="Tournament",MIN(32*INDEX('Tournament Log'!$D:$D,E178),96),32)))</f>
        <v/>
      </c>
      <c r="M178" s="12" t="str">
        <f t="shared" si="12"/>
        <v/>
      </c>
      <c r="N178" s="12" t="str">
        <f t="shared" si="13"/>
        <v/>
      </c>
      <c r="O178" s="12" t="str">
        <f t="shared" si="14"/>
        <v/>
      </c>
      <c r="P178" s="12" t="str">
        <f>IF(C178="Tournament",INDEX('Tournament Log'!$B:$B,E178),IF(C178="Guest","Guest: "&amp;INDEX('Guest Log'!$H:$H,Q178),""))</f>
        <v/>
      </c>
      <c r="Q178" t="str">
        <f>IFERROR(MATCH($A178,'Guest Log'!$L$4:$L$203,0)+3,"")</f>
        <v/>
      </c>
    </row>
    <row r="179" spans="1:17" ht="15" customHeight="1" x14ac:dyDescent="0.2">
      <c r="A179" s="12">
        <f>178</f>
        <v>178</v>
      </c>
      <c r="B179" s="12" t="str">
        <f>IF(C179="","",IF(C179="Match",INDEX('Match Log'!$A:$A,D179),IF(C179="Tournament",INDEX('Tournament Log'!$A:$A,E179),INDEX('Guest Log'!$A:$A,Q179))))</f>
        <v/>
      </c>
      <c r="C179" s="12" t="str">
        <f t="shared" si="10"/>
        <v/>
      </c>
      <c r="D179" s="31" t="str">
        <f>IFERROR(MATCH($A179,'Match Log'!$K$3:$K$501,0)+2,"")</f>
        <v/>
      </c>
      <c r="E179" s="31" t="str">
        <f>IFERROR(MATCH($A179,'Tournament Log'!$O$4:$O$203,0)+3,"")</f>
        <v/>
      </c>
      <c r="F179" s="12" t="str">
        <f>IF(C179="","",IF(C179="Match",INDEX('Match Log'!$B:$B,D179),IF(C179="Tournament",INDEX('Tournament Log'!$C:$C,E179),INDEX('Guest Log'!$B:$B,Q179))))</f>
        <v/>
      </c>
      <c r="G179" s="12" t="str">
        <f>IF(C179="","",IF(C179="Match",INDEX('Match Log'!$C:$C,D179),IF(C179="Tournament",INDEX('Tournament Log'!$B:$B,E179)&amp;" (Phantom)",INDEX('Guest Log'!$H:$H,Q179)&amp;" (Guest)")))</f>
        <v/>
      </c>
      <c r="H179" s="32" t="str">
        <f t="array" ref="H179">IF(C179="","",IFERROR(LOOKUP(2,1/(($F$1:F178=F179)+($G$1:G178=F179)),IF($F$1:F178=F179,$N$1:N178,$O$1:O178)),1000))</f>
        <v/>
      </c>
      <c r="I179" s="12" t="str">
        <f t="array" ref="I179">IF(C179="","",IF(C179="Tournament",INDEX('Tournament Log'!$J:$J,E179),IF(C179="Guest",IF(INDEX('Guest Log'!$I:$I,Q179)="",1000,INDEX('Guest Log'!$I:$I,Q179)),IFERROR(LOOKUP(2,1/(($F$1:F178=G179)+($G$1:G178=G179)),IF($F$1:F178=G179,$N$1:N178,$O$1:O178)),1000))))</f>
        <v/>
      </c>
      <c r="J179" s="12" t="str">
        <f t="shared" si="11"/>
        <v/>
      </c>
      <c r="K179" s="12" t="str">
        <f>IF(C179="","",IF(C179="Match",IF(INDEX('Match Log'!$D:$D,D179)="Win",1,IF(INDEX('Match Log'!$D:$D,D179)="Draw",0.5,0)),IF(C179="Tournament",INDEX('Tournament Log'!$K:$K,E179),IF(INDEX('Guest Log'!$C:$C,Q179)="Win",1,IF(INDEX('Guest Log'!$C:$C,Q179)="Draw",0.5,0)))))</f>
        <v/>
      </c>
      <c r="L179" s="12" t="str">
        <f>IF(C179="","",IF(C179="Match",32,IF(C179="Tournament",MIN(32*INDEX('Tournament Log'!$D:$D,E179),96),32)))</f>
        <v/>
      </c>
      <c r="M179" s="12" t="str">
        <f t="shared" si="12"/>
        <v/>
      </c>
      <c r="N179" s="12" t="str">
        <f t="shared" si="13"/>
        <v/>
      </c>
      <c r="O179" s="12" t="str">
        <f t="shared" si="14"/>
        <v/>
      </c>
      <c r="P179" s="12" t="str">
        <f>IF(C179="Tournament",INDEX('Tournament Log'!$B:$B,E179),IF(C179="Guest","Guest: "&amp;INDEX('Guest Log'!$H:$H,Q179),""))</f>
        <v/>
      </c>
      <c r="Q179" t="str">
        <f>IFERROR(MATCH($A179,'Guest Log'!$L$4:$L$203,0)+3,"")</f>
        <v/>
      </c>
    </row>
    <row r="180" spans="1:17" ht="15" customHeight="1" x14ac:dyDescent="0.2">
      <c r="A180" s="12">
        <f>179</f>
        <v>179</v>
      </c>
      <c r="B180" s="12" t="str">
        <f>IF(C180="","",IF(C180="Match",INDEX('Match Log'!$A:$A,D180),IF(C180="Tournament",INDEX('Tournament Log'!$A:$A,E180),INDEX('Guest Log'!$A:$A,Q180))))</f>
        <v/>
      </c>
      <c r="C180" s="12" t="str">
        <f t="shared" si="10"/>
        <v/>
      </c>
      <c r="D180" s="31" t="str">
        <f>IFERROR(MATCH($A180,'Match Log'!$K$3:$K$501,0)+2,"")</f>
        <v/>
      </c>
      <c r="E180" s="31" t="str">
        <f>IFERROR(MATCH($A180,'Tournament Log'!$O$4:$O$203,0)+3,"")</f>
        <v/>
      </c>
      <c r="F180" s="12" t="str">
        <f>IF(C180="","",IF(C180="Match",INDEX('Match Log'!$B:$B,D180),IF(C180="Tournament",INDEX('Tournament Log'!$C:$C,E180),INDEX('Guest Log'!$B:$B,Q180))))</f>
        <v/>
      </c>
      <c r="G180" s="12" t="str">
        <f>IF(C180="","",IF(C180="Match",INDEX('Match Log'!$C:$C,D180),IF(C180="Tournament",INDEX('Tournament Log'!$B:$B,E180)&amp;" (Phantom)",INDEX('Guest Log'!$H:$H,Q180)&amp;" (Guest)")))</f>
        <v/>
      </c>
      <c r="H180" s="32" t="str">
        <f t="array" ref="H180">IF(C180="","",IFERROR(LOOKUP(2,1/(($F$1:F179=F180)+($G$1:G179=F180)),IF($F$1:F179=F180,$N$1:N179,$O$1:O179)),1000))</f>
        <v/>
      </c>
      <c r="I180" s="12" t="str">
        <f t="array" ref="I180">IF(C180="","",IF(C180="Tournament",INDEX('Tournament Log'!$J:$J,E180),IF(C180="Guest",IF(INDEX('Guest Log'!$I:$I,Q180)="",1000,INDEX('Guest Log'!$I:$I,Q180)),IFERROR(LOOKUP(2,1/(($F$1:F179=G180)+($G$1:G179=G180)),IF($F$1:F179=G180,$N$1:N179,$O$1:O179)),1000))))</f>
        <v/>
      </c>
      <c r="J180" s="12" t="str">
        <f t="shared" si="11"/>
        <v/>
      </c>
      <c r="K180" s="12" t="str">
        <f>IF(C180="","",IF(C180="Match",IF(INDEX('Match Log'!$D:$D,D180)="Win",1,IF(INDEX('Match Log'!$D:$D,D180)="Draw",0.5,0)),IF(C180="Tournament",INDEX('Tournament Log'!$K:$K,E180),IF(INDEX('Guest Log'!$C:$C,Q180)="Win",1,IF(INDEX('Guest Log'!$C:$C,Q180)="Draw",0.5,0)))))</f>
        <v/>
      </c>
      <c r="L180" s="12" t="str">
        <f>IF(C180="","",IF(C180="Match",32,IF(C180="Tournament",MIN(32*INDEX('Tournament Log'!$D:$D,E180),96),32)))</f>
        <v/>
      </c>
      <c r="M180" s="12" t="str">
        <f t="shared" si="12"/>
        <v/>
      </c>
      <c r="N180" s="12" t="str">
        <f t="shared" si="13"/>
        <v/>
      </c>
      <c r="O180" s="12" t="str">
        <f t="shared" si="14"/>
        <v/>
      </c>
      <c r="P180" s="12" t="str">
        <f>IF(C180="Tournament",INDEX('Tournament Log'!$B:$B,E180),IF(C180="Guest","Guest: "&amp;INDEX('Guest Log'!$H:$H,Q180),""))</f>
        <v/>
      </c>
      <c r="Q180" t="str">
        <f>IFERROR(MATCH($A180,'Guest Log'!$L$4:$L$203,0)+3,"")</f>
        <v/>
      </c>
    </row>
    <row r="181" spans="1:17" ht="15" customHeight="1" x14ac:dyDescent="0.2">
      <c r="A181" s="12">
        <f>180</f>
        <v>180</v>
      </c>
      <c r="B181" s="12" t="str">
        <f>IF(C181="","",IF(C181="Match",INDEX('Match Log'!$A:$A,D181),IF(C181="Tournament",INDEX('Tournament Log'!$A:$A,E181),INDEX('Guest Log'!$A:$A,Q181))))</f>
        <v/>
      </c>
      <c r="C181" s="12" t="str">
        <f t="shared" si="10"/>
        <v/>
      </c>
      <c r="D181" s="31" t="str">
        <f>IFERROR(MATCH($A181,'Match Log'!$K$3:$K$501,0)+2,"")</f>
        <v/>
      </c>
      <c r="E181" s="31" t="str">
        <f>IFERROR(MATCH($A181,'Tournament Log'!$O$4:$O$203,0)+3,"")</f>
        <v/>
      </c>
      <c r="F181" s="12" t="str">
        <f>IF(C181="","",IF(C181="Match",INDEX('Match Log'!$B:$B,D181),IF(C181="Tournament",INDEX('Tournament Log'!$C:$C,E181),INDEX('Guest Log'!$B:$B,Q181))))</f>
        <v/>
      </c>
      <c r="G181" s="12" t="str">
        <f>IF(C181="","",IF(C181="Match",INDEX('Match Log'!$C:$C,D181),IF(C181="Tournament",INDEX('Tournament Log'!$B:$B,E181)&amp;" (Phantom)",INDEX('Guest Log'!$H:$H,Q181)&amp;" (Guest)")))</f>
        <v/>
      </c>
      <c r="H181" s="32" t="str">
        <f t="array" ref="H181">IF(C181="","",IFERROR(LOOKUP(2,1/(($F$1:F180=F181)+($G$1:G180=F181)),IF($F$1:F180=F181,$N$1:N180,$O$1:O180)),1000))</f>
        <v/>
      </c>
      <c r="I181" s="12" t="str">
        <f t="array" ref="I181">IF(C181="","",IF(C181="Tournament",INDEX('Tournament Log'!$J:$J,E181),IF(C181="Guest",IF(INDEX('Guest Log'!$I:$I,Q181)="",1000,INDEX('Guest Log'!$I:$I,Q181)),IFERROR(LOOKUP(2,1/(($F$1:F180=G181)+($G$1:G180=G181)),IF($F$1:F180=G181,$N$1:N180,$O$1:O180)),1000))))</f>
        <v/>
      </c>
      <c r="J181" s="12" t="str">
        <f t="shared" si="11"/>
        <v/>
      </c>
      <c r="K181" s="12" t="str">
        <f>IF(C181="","",IF(C181="Match",IF(INDEX('Match Log'!$D:$D,D181)="Win",1,IF(INDEX('Match Log'!$D:$D,D181)="Draw",0.5,0)),IF(C181="Tournament",INDEX('Tournament Log'!$K:$K,E181),IF(INDEX('Guest Log'!$C:$C,Q181)="Win",1,IF(INDEX('Guest Log'!$C:$C,Q181)="Draw",0.5,0)))))</f>
        <v/>
      </c>
      <c r="L181" s="12" t="str">
        <f>IF(C181="","",IF(C181="Match",32,IF(C181="Tournament",MIN(32*INDEX('Tournament Log'!$D:$D,E181),96),32)))</f>
        <v/>
      </c>
      <c r="M181" s="12" t="str">
        <f t="shared" si="12"/>
        <v/>
      </c>
      <c r="N181" s="12" t="str">
        <f t="shared" si="13"/>
        <v/>
      </c>
      <c r="O181" s="12" t="str">
        <f t="shared" si="14"/>
        <v/>
      </c>
      <c r="P181" s="12" t="str">
        <f>IF(C181="Tournament",INDEX('Tournament Log'!$B:$B,E181),IF(C181="Guest","Guest: "&amp;INDEX('Guest Log'!$H:$H,Q181),""))</f>
        <v/>
      </c>
      <c r="Q181" t="str">
        <f>IFERROR(MATCH($A181,'Guest Log'!$L$4:$L$203,0)+3,"")</f>
        <v/>
      </c>
    </row>
    <row r="182" spans="1:17" ht="15" customHeight="1" x14ac:dyDescent="0.2">
      <c r="A182" s="12">
        <f>181</f>
        <v>181</v>
      </c>
      <c r="B182" s="12" t="str">
        <f>IF(C182="","",IF(C182="Match",INDEX('Match Log'!$A:$A,D182),IF(C182="Tournament",INDEX('Tournament Log'!$A:$A,E182),INDEX('Guest Log'!$A:$A,Q182))))</f>
        <v/>
      </c>
      <c r="C182" s="12" t="str">
        <f t="shared" si="10"/>
        <v/>
      </c>
      <c r="D182" s="31" t="str">
        <f>IFERROR(MATCH($A182,'Match Log'!$K$3:$K$501,0)+2,"")</f>
        <v/>
      </c>
      <c r="E182" s="31" t="str">
        <f>IFERROR(MATCH($A182,'Tournament Log'!$O$4:$O$203,0)+3,"")</f>
        <v/>
      </c>
      <c r="F182" s="12" t="str">
        <f>IF(C182="","",IF(C182="Match",INDEX('Match Log'!$B:$B,D182),IF(C182="Tournament",INDEX('Tournament Log'!$C:$C,E182),INDEX('Guest Log'!$B:$B,Q182))))</f>
        <v/>
      </c>
      <c r="G182" s="12" t="str">
        <f>IF(C182="","",IF(C182="Match",INDEX('Match Log'!$C:$C,D182),IF(C182="Tournament",INDEX('Tournament Log'!$B:$B,E182)&amp;" (Phantom)",INDEX('Guest Log'!$H:$H,Q182)&amp;" (Guest)")))</f>
        <v/>
      </c>
      <c r="H182" s="32" t="str">
        <f t="array" ref="H182">IF(C182="","",IFERROR(LOOKUP(2,1/(($F$1:F181=F182)+($G$1:G181=F182)),IF($F$1:F181=F182,$N$1:N181,$O$1:O181)),1000))</f>
        <v/>
      </c>
      <c r="I182" s="12" t="str">
        <f t="array" ref="I182">IF(C182="","",IF(C182="Tournament",INDEX('Tournament Log'!$J:$J,E182),IF(C182="Guest",IF(INDEX('Guest Log'!$I:$I,Q182)="",1000,INDEX('Guest Log'!$I:$I,Q182)),IFERROR(LOOKUP(2,1/(($F$1:F181=G182)+($G$1:G181=G182)),IF($F$1:F181=G182,$N$1:N181,$O$1:O181)),1000))))</f>
        <v/>
      </c>
      <c r="J182" s="12" t="str">
        <f t="shared" si="11"/>
        <v/>
      </c>
      <c r="K182" s="12" t="str">
        <f>IF(C182="","",IF(C182="Match",IF(INDEX('Match Log'!$D:$D,D182)="Win",1,IF(INDEX('Match Log'!$D:$D,D182)="Draw",0.5,0)),IF(C182="Tournament",INDEX('Tournament Log'!$K:$K,E182),IF(INDEX('Guest Log'!$C:$C,Q182)="Win",1,IF(INDEX('Guest Log'!$C:$C,Q182)="Draw",0.5,0)))))</f>
        <v/>
      </c>
      <c r="L182" s="12" t="str">
        <f>IF(C182="","",IF(C182="Match",32,IF(C182="Tournament",MIN(32*INDEX('Tournament Log'!$D:$D,E182),96),32)))</f>
        <v/>
      </c>
      <c r="M182" s="12" t="str">
        <f t="shared" si="12"/>
        <v/>
      </c>
      <c r="N182" s="12" t="str">
        <f t="shared" si="13"/>
        <v/>
      </c>
      <c r="O182" s="12" t="str">
        <f t="shared" si="14"/>
        <v/>
      </c>
      <c r="P182" s="12" t="str">
        <f>IF(C182="Tournament",INDEX('Tournament Log'!$B:$B,E182),IF(C182="Guest","Guest: "&amp;INDEX('Guest Log'!$H:$H,Q182),""))</f>
        <v/>
      </c>
      <c r="Q182" t="str">
        <f>IFERROR(MATCH($A182,'Guest Log'!$L$4:$L$203,0)+3,"")</f>
        <v/>
      </c>
    </row>
    <row r="183" spans="1:17" ht="15" customHeight="1" x14ac:dyDescent="0.2">
      <c r="A183" s="12">
        <f>182</f>
        <v>182</v>
      </c>
      <c r="B183" s="12" t="str">
        <f>IF(C183="","",IF(C183="Match",INDEX('Match Log'!$A:$A,D183),IF(C183="Tournament",INDEX('Tournament Log'!$A:$A,E183),INDEX('Guest Log'!$A:$A,Q183))))</f>
        <v/>
      </c>
      <c r="C183" s="12" t="str">
        <f t="shared" si="10"/>
        <v/>
      </c>
      <c r="D183" s="31" t="str">
        <f>IFERROR(MATCH($A183,'Match Log'!$K$3:$K$501,0)+2,"")</f>
        <v/>
      </c>
      <c r="E183" s="31" t="str">
        <f>IFERROR(MATCH($A183,'Tournament Log'!$O$4:$O$203,0)+3,"")</f>
        <v/>
      </c>
      <c r="F183" s="12" t="str">
        <f>IF(C183="","",IF(C183="Match",INDEX('Match Log'!$B:$B,D183),IF(C183="Tournament",INDEX('Tournament Log'!$C:$C,E183),INDEX('Guest Log'!$B:$B,Q183))))</f>
        <v/>
      </c>
      <c r="G183" s="12" t="str">
        <f>IF(C183="","",IF(C183="Match",INDEX('Match Log'!$C:$C,D183),IF(C183="Tournament",INDEX('Tournament Log'!$B:$B,E183)&amp;" (Phantom)",INDEX('Guest Log'!$H:$H,Q183)&amp;" (Guest)")))</f>
        <v/>
      </c>
      <c r="H183" s="32" t="str">
        <f t="array" ref="H183">IF(C183="","",IFERROR(LOOKUP(2,1/(($F$1:F182=F183)+($G$1:G182=F183)),IF($F$1:F182=F183,$N$1:N182,$O$1:O182)),1000))</f>
        <v/>
      </c>
      <c r="I183" s="12" t="str">
        <f t="array" ref="I183">IF(C183="","",IF(C183="Tournament",INDEX('Tournament Log'!$J:$J,E183),IF(C183="Guest",IF(INDEX('Guest Log'!$I:$I,Q183)="",1000,INDEX('Guest Log'!$I:$I,Q183)),IFERROR(LOOKUP(2,1/(($F$1:F182=G183)+($G$1:G182=G183)),IF($F$1:F182=G183,$N$1:N182,$O$1:O182)),1000))))</f>
        <v/>
      </c>
      <c r="J183" s="12" t="str">
        <f t="shared" si="11"/>
        <v/>
      </c>
      <c r="K183" s="12" t="str">
        <f>IF(C183="","",IF(C183="Match",IF(INDEX('Match Log'!$D:$D,D183)="Win",1,IF(INDEX('Match Log'!$D:$D,D183)="Draw",0.5,0)),IF(C183="Tournament",INDEX('Tournament Log'!$K:$K,E183),IF(INDEX('Guest Log'!$C:$C,Q183)="Win",1,IF(INDEX('Guest Log'!$C:$C,Q183)="Draw",0.5,0)))))</f>
        <v/>
      </c>
      <c r="L183" s="12" t="str">
        <f>IF(C183="","",IF(C183="Match",32,IF(C183="Tournament",MIN(32*INDEX('Tournament Log'!$D:$D,E183),96),32)))</f>
        <v/>
      </c>
      <c r="M183" s="12" t="str">
        <f t="shared" si="12"/>
        <v/>
      </c>
      <c r="N183" s="12" t="str">
        <f t="shared" si="13"/>
        <v/>
      </c>
      <c r="O183" s="12" t="str">
        <f t="shared" si="14"/>
        <v/>
      </c>
      <c r="P183" s="12" t="str">
        <f>IF(C183="Tournament",INDEX('Tournament Log'!$B:$B,E183),IF(C183="Guest","Guest: "&amp;INDEX('Guest Log'!$H:$H,Q183),""))</f>
        <v/>
      </c>
      <c r="Q183" t="str">
        <f>IFERROR(MATCH($A183,'Guest Log'!$L$4:$L$203,0)+3,"")</f>
        <v/>
      </c>
    </row>
    <row r="184" spans="1:17" ht="15" customHeight="1" x14ac:dyDescent="0.2">
      <c r="A184" s="12">
        <f>183</f>
        <v>183</v>
      </c>
      <c r="B184" s="12" t="str">
        <f>IF(C184="","",IF(C184="Match",INDEX('Match Log'!$A:$A,D184),IF(C184="Tournament",INDEX('Tournament Log'!$A:$A,E184),INDEX('Guest Log'!$A:$A,Q184))))</f>
        <v/>
      </c>
      <c r="C184" s="12" t="str">
        <f t="shared" si="10"/>
        <v/>
      </c>
      <c r="D184" s="31" t="str">
        <f>IFERROR(MATCH($A184,'Match Log'!$K$3:$K$501,0)+2,"")</f>
        <v/>
      </c>
      <c r="E184" s="31" t="str">
        <f>IFERROR(MATCH($A184,'Tournament Log'!$O$4:$O$203,0)+3,"")</f>
        <v/>
      </c>
      <c r="F184" s="12" t="str">
        <f>IF(C184="","",IF(C184="Match",INDEX('Match Log'!$B:$B,D184),IF(C184="Tournament",INDEX('Tournament Log'!$C:$C,E184),INDEX('Guest Log'!$B:$B,Q184))))</f>
        <v/>
      </c>
      <c r="G184" s="12" t="str">
        <f>IF(C184="","",IF(C184="Match",INDEX('Match Log'!$C:$C,D184),IF(C184="Tournament",INDEX('Tournament Log'!$B:$B,E184)&amp;" (Phantom)",INDEX('Guest Log'!$H:$H,Q184)&amp;" (Guest)")))</f>
        <v/>
      </c>
      <c r="H184" s="32" t="str">
        <f t="array" ref="H184">IF(C184="","",IFERROR(LOOKUP(2,1/(($F$1:F183=F184)+($G$1:G183=F184)),IF($F$1:F183=F184,$N$1:N183,$O$1:O183)),1000))</f>
        <v/>
      </c>
      <c r="I184" s="12" t="str">
        <f t="array" ref="I184">IF(C184="","",IF(C184="Tournament",INDEX('Tournament Log'!$J:$J,E184),IF(C184="Guest",IF(INDEX('Guest Log'!$I:$I,Q184)="",1000,INDEX('Guest Log'!$I:$I,Q184)),IFERROR(LOOKUP(2,1/(($F$1:F183=G184)+($G$1:G183=G184)),IF($F$1:F183=G184,$N$1:N183,$O$1:O183)),1000))))</f>
        <v/>
      </c>
      <c r="J184" s="12" t="str">
        <f t="shared" si="11"/>
        <v/>
      </c>
      <c r="K184" s="12" t="str">
        <f>IF(C184="","",IF(C184="Match",IF(INDEX('Match Log'!$D:$D,D184)="Win",1,IF(INDEX('Match Log'!$D:$D,D184)="Draw",0.5,0)),IF(C184="Tournament",INDEX('Tournament Log'!$K:$K,E184),IF(INDEX('Guest Log'!$C:$C,Q184)="Win",1,IF(INDEX('Guest Log'!$C:$C,Q184)="Draw",0.5,0)))))</f>
        <v/>
      </c>
      <c r="L184" s="12" t="str">
        <f>IF(C184="","",IF(C184="Match",32,IF(C184="Tournament",MIN(32*INDEX('Tournament Log'!$D:$D,E184),96),32)))</f>
        <v/>
      </c>
      <c r="M184" s="12" t="str">
        <f t="shared" si="12"/>
        <v/>
      </c>
      <c r="N184" s="12" t="str">
        <f t="shared" si="13"/>
        <v/>
      </c>
      <c r="O184" s="12" t="str">
        <f t="shared" si="14"/>
        <v/>
      </c>
      <c r="P184" s="12" t="str">
        <f>IF(C184="Tournament",INDEX('Tournament Log'!$B:$B,E184),IF(C184="Guest","Guest: "&amp;INDEX('Guest Log'!$H:$H,Q184),""))</f>
        <v/>
      </c>
      <c r="Q184" t="str">
        <f>IFERROR(MATCH($A184,'Guest Log'!$L$4:$L$203,0)+3,"")</f>
        <v/>
      </c>
    </row>
    <row r="185" spans="1:17" ht="15" customHeight="1" x14ac:dyDescent="0.2">
      <c r="A185" s="12">
        <f>184</f>
        <v>184</v>
      </c>
      <c r="B185" s="12" t="str">
        <f>IF(C185="","",IF(C185="Match",INDEX('Match Log'!$A:$A,D185),IF(C185="Tournament",INDEX('Tournament Log'!$A:$A,E185),INDEX('Guest Log'!$A:$A,Q185))))</f>
        <v/>
      </c>
      <c r="C185" s="12" t="str">
        <f t="shared" si="10"/>
        <v/>
      </c>
      <c r="D185" s="31" t="str">
        <f>IFERROR(MATCH($A185,'Match Log'!$K$3:$K$501,0)+2,"")</f>
        <v/>
      </c>
      <c r="E185" s="31" t="str">
        <f>IFERROR(MATCH($A185,'Tournament Log'!$O$4:$O$203,0)+3,"")</f>
        <v/>
      </c>
      <c r="F185" s="12" t="str">
        <f>IF(C185="","",IF(C185="Match",INDEX('Match Log'!$B:$B,D185),IF(C185="Tournament",INDEX('Tournament Log'!$C:$C,E185),INDEX('Guest Log'!$B:$B,Q185))))</f>
        <v/>
      </c>
      <c r="G185" s="12" t="str">
        <f>IF(C185="","",IF(C185="Match",INDEX('Match Log'!$C:$C,D185),IF(C185="Tournament",INDEX('Tournament Log'!$B:$B,E185)&amp;" (Phantom)",INDEX('Guest Log'!$H:$H,Q185)&amp;" (Guest)")))</f>
        <v/>
      </c>
      <c r="H185" s="32" t="str">
        <f t="array" ref="H185">IF(C185="","",IFERROR(LOOKUP(2,1/(($F$1:F184=F185)+($G$1:G184=F185)),IF($F$1:F184=F185,$N$1:N184,$O$1:O184)),1000))</f>
        <v/>
      </c>
      <c r="I185" s="12" t="str">
        <f t="array" ref="I185">IF(C185="","",IF(C185="Tournament",INDEX('Tournament Log'!$J:$J,E185),IF(C185="Guest",IF(INDEX('Guest Log'!$I:$I,Q185)="",1000,INDEX('Guest Log'!$I:$I,Q185)),IFERROR(LOOKUP(2,1/(($F$1:F184=G185)+($G$1:G184=G185)),IF($F$1:F184=G185,$N$1:N184,$O$1:O184)),1000))))</f>
        <v/>
      </c>
      <c r="J185" s="12" t="str">
        <f t="shared" si="11"/>
        <v/>
      </c>
      <c r="K185" s="12" t="str">
        <f>IF(C185="","",IF(C185="Match",IF(INDEX('Match Log'!$D:$D,D185)="Win",1,IF(INDEX('Match Log'!$D:$D,D185)="Draw",0.5,0)),IF(C185="Tournament",INDEX('Tournament Log'!$K:$K,E185),IF(INDEX('Guest Log'!$C:$C,Q185)="Win",1,IF(INDEX('Guest Log'!$C:$C,Q185)="Draw",0.5,0)))))</f>
        <v/>
      </c>
      <c r="L185" s="12" t="str">
        <f>IF(C185="","",IF(C185="Match",32,IF(C185="Tournament",MIN(32*INDEX('Tournament Log'!$D:$D,E185),96),32)))</f>
        <v/>
      </c>
      <c r="M185" s="12" t="str">
        <f t="shared" si="12"/>
        <v/>
      </c>
      <c r="N185" s="12" t="str">
        <f t="shared" si="13"/>
        <v/>
      </c>
      <c r="O185" s="12" t="str">
        <f t="shared" si="14"/>
        <v/>
      </c>
      <c r="P185" s="12" t="str">
        <f>IF(C185="Tournament",INDEX('Tournament Log'!$B:$B,E185),IF(C185="Guest","Guest: "&amp;INDEX('Guest Log'!$H:$H,Q185),""))</f>
        <v/>
      </c>
      <c r="Q185" t="str">
        <f>IFERROR(MATCH($A185,'Guest Log'!$L$4:$L$203,0)+3,"")</f>
        <v/>
      </c>
    </row>
    <row r="186" spans="1:17" ht="15" customHeight="1" x14ac:dyDescent="0.2">
      <c r="A186" s="12">
        <f>185</f>
        <v>185</v>
      </c>
      <c r="B186" s="12" t="str">
        <f>IF(C186="","",IF(C186="Match",INDEX('Match Log'!$A:$A,D186),IF(C186="Tournament",INDEX('Tournament Log'!$A:$A,E186),INDEX('Guest Log'!$A:$A,Q186))))</f>
        <v/>
      </c>
      <c r="C186" s="12" t="str">
        <f t="shared" si="10"/>
        <v/>
      </c>
      <c r="D186" s="31" t="str">
        <f>IFERROR(MATCH($A186,'Match Log'!$K$3:$K$501,0)+2,"")</f>
        <v/>
      </c>
      <c r="E186" s="31" t="str">
        <f>IFERROR(MATCH($A186,'Tournament Log'!$O$4:$O$203,0)+3,"")</f>
        <v/>
      </c>
      <c r="F186" s="12" t="str">
        <f>IF(C186="","",IF(C186="Match",INDEX('Match Log'!$B:$B,D186),IF(C186="Tournament",INDEX('Tournament Log'!$C:$C,E186),INDEX('Guest Log'!$B:$B,Q186))))</f>
        <v/>
      </c>
      <c r="G186" s="12" t="str">
        <f>IF(C186="","",IF(C186="Match",INDEX('Match Log'!$C:$C,D186),IF(C186="Tournament",INDEX('Tournament Log'!$B:$B,E186)&amp;" (Phantom)",INDEX('Guest Log'!$H:$H,Q186)&amp;" (Guest)")))</f>
        <v/>
      </c>
      <c r="H186" s="32" t="str">
        <f t="array" ref="H186">IF(C186="","",IFERROR(LOOKUP(2,1/(($F$1:F185=F186)+($G$1:G185=F186)),IF($F$1:F185=F186,$N$1:N185,$O$1:O185)),1000))</f>
        <v/>
      </c>
      <c r="I186" s="12" t="str">
        <f t="array" ref="I186">IF(C186="","",IF(C186="Tournament",INDEX('Tournament Log'!$J:$J,E186),IF(C186="Guest",IF(INDEX('Guest Log'!$I:$I,Q186)="",1000,INDEX('Guest Log'!$I:$I,Q186)),IFERROR(LOOKUP(2,1/(($F$1:F185=G186)+($G$1:G185=G186)),IF($F$1:F185=G186,$N$1:N185,$O$1:O185)),1000))))</f>
        <v/>
      </c>
      <c r="J186" s="12" t="str">
        <f t="shared" si="11"/>
        <v/>
      </c>
      <c r="K186" s="12" t="str">
        <f>IF(C186="","",IF(C186="Match",IF(INDEX('Match Log'!$D:$D,D186)="Win",1,IF(INDEX('Match Log'!$D:$D,D186)="Draw",0.5,0)),IF(C186="Tournament",INDEX('Tournament Log'!$K:$K,E186),IF(INDEX('Guest Log'!$C:$C,Q186)="Win",1,IF(INDEX('Guest Log'!$C:$C,Q186)="Draw",0.5,0)))))</f>
        <v/>
      </c>
      <c r="L186" s="12" t="str">
        <f>IF(C186="","",IF(C186="Match",32,IF(C186="Tournament",MIN(32*INDEX('Tournament Log'!$D:$D,E186),96),32)))</f>
        <v/>
      </c>
      <c r="M186" s="12" t="str">
        <f t="shared" si="12"/>
        <v/>
      </c>
      <c r="N186" s="12" t="str">
        <f t="shared" si="13"/>
        <v/>
      </c>
      <c r="O186" s="12" t="str">
        <f t="shared" si="14"/>
        <v/>
      </c>
      <c r="P186" s="12" t="str">
        <f>IF(C186="Tournament",INDEX('Tournament Log'!$B:$B,E186),IF(C186="Guest","Guest: "&amp;INDEX('Guest Log'!$H:$H,Q186),""))</f>
        <v/>
      </c>
      <c r="Q186" t="str">
        <f>IFERROR(MATCH($A186,'Guest Log'!$L$4:$L$203,0)+3,"")</f>
        <v/>
      </c>
    </row>
    <row r="187" spans="1:17" ht="15" customHeight="1" x14ac:dyDescent="0.2">
      <c r="A187" s="12">
        <f>186</f>
        <v>186</v>
      </c>
      <c r="B187" s="12" t="str">
        <f>IF(C187="","",IF(C187="Match",INDEX('Match Log'!$A:$A,D187),IF(C187="Tournament",INDEX('Tournament Log'!$A:$A,E187),INDEX('Guest Log'!$A:$A,Q187))))</f>
        <v/>
      </c>
      <c r="C187" s="12" t="str">
        <f t="shared" si="10"/>
        <v/>
      </c>
      <c r="D187" s="31" t="str">
        <f>IFERROR(MATCH($A187,'Match Log'!$K$3:$K$501,0)+2,"")</f>
        <v/>
      </c>
      <c r="E187" s="31" t="str">
        <f>IFERROR(MATCH($A187,'Tournament Log'!$O$4:$O$203,0)+3,"")</f>
        <v/>
      </c>
      <c r="F187" s="12" t="str">
        <f>IF(C187="","",IF(C187="Match",INDEX('Match Log'!$B:$B,D187),IF(C187="Tournament",INDEX('Tournament Log'!$C:$C,E187),INDEX('Guest Log'!$B:$B,Q187))))</f>
        <v/>
      </c>
      <c r="G187" s="12" t="str">
        <f>IF(C187="","",IF(C187="Match",INDEX('Match Log'!$C:$C,D187),IF(C187="Tournament",INDEX('Tournament Log'!$B:$B,E187)&amp;" (Phantom)",INDEX('Guest Log'!$H:$H,Q187)&amp;" (Guest)")))</f>
        <v/>
      </c>
      <c r="H187" s="32" t="str">
        <f t="array" ref="H187">IF(C187="","",IFERROR(LOOKUP(2,1/(($F$1:F186=F187)+($G$1:G186=F187)),IF($F$1:F186=F187,$N$1:N186,$O$1:O186)),1000))</f>
        <v/>
      </c>
      <c r="I187" s="12" t="str">
        <f t="array" ref="I187">IF(C187="","",IF(C187="Tournament",INDEX('Tournament Log'!$J:$J,E187),IF(C187="Guest",IF(INDEX('Guest Log'!$I:$I,Q187)="",1000,INDEX('Guest Log'!$I:$I,Q187)),IFERROR(LOOKUP(2,1/(($F$1:F186=G187)+($G$1:G186=G187)),IF($F$1:F186=G187,$N$1:N186,$O$1:O186)),1000))))</f>
        <v/>
      </c>
      <c r="J187" s="12" t="str">
        <f t="shared" si="11"/>
        <v/>
      </c>
      <c r="K187" s="12" t="str">
        <f>IF(C187="","",IF(C187="Match",IF(INDEX('Match Log'!$D:$D,D187)="Win",1,IF(INDEX('Match Log'!$D:$D,D187)="Draw",0.5,0)),IF(C187="Tournament",INDEX('Tournament Log'!$K:$K,E187),IF(INDEX('Guest Log'!$C:$C,Q187)="Win",1,IF(INDEX('Guest Log'!$C:$C,Q187)="Draw",0.5,0)))))</f>
        <v/>
      </c>
      <c r="L187" s="12" t="str">
        <f>IF(C187="","",IF(C187="Match",32,IF(C187="Tournament",MIN(32*INDEX('Tournament Log'!$D:$D,E187),96),32)))</f>
        <v/>
      </c>
      <c r="M187" s="12" t="str">
        <f t="shared" si="12"/>
        <v/>
      </c>
      <c r="N187" s="12" t="str">
        <f t="shared" si="13"/>
        <v/>
      </c>
      <c r="O187" s="12" t="str">
        <f t="shared" si="14"/>
        <v/>
      </c>
      <c r="P187" s="12" t="str">
        <f>IF(C187="Tournament",INDEX('Tournament Log'!$B:$B,E187),IF(C187="Guest","Guest: "&amp;INDEX('Guest Log'!$H:$H,Q187),""))</f>
        <v/>
      </c>
      <c r="Q187" t="str">
        <f>IFERROR(MATCH($A187,'Guest Log'!$L$4:$L$203,0)+3,"")</f>
        <v/>
      </c>
    </row>
    <row r="188" spans="1:17" ht="15" customHeight="1" x14ac:dyDescent="0.2">
      <c r="A188" s="12">
        <f>187</f>
        <v>187</v>
      </c>
      <c r="B188" s="12" t="str">
        <f>IF(C188="","",IF(C188="Match",INDEX('Match Log'!$A:$A,D188),IF(C188="Tournament",INDEX('Tournament Log'!$A:$A,E188),INDEX('Guest Log'!$A:$A,Q188))))</f>
        <v/>
      </c>
      <c r="C188" s="12" t="str">
        <f t="shared" si="10"/>
        <v/>
      </c>
      <c r="D188" s="31" t="str">
        <f>IFERROR(MATCH($A188,'Match Log'!$K$3:$K$501,0)+2,"")</f>
        <v/>
      </c>
      <c r="E188" s="31" t="str">
        <f>IFERROR(MATCH($A188,'Tournament Log'!$O$4:$O$203,0)+3,"")</f>
        <v/>
      </c>
      <c r="F188" s="12" t="str">
        <f>IF(C188="","",IF(C188="Match",INDEX('Match Log'!$B:$B,D188),IF(C188="Tournament",INDEX('Tournament Log'!$C:$C,E188),INDEX('Guest Log'!$B:$B,Q188))))</f>
        <v/>
      </c>
      <c r="G188" s="12" t="str">
        <f>IF(C188="","",IF(C188="Match",INDEX('Match Log'!$C:$C,D188),IF(C188="Tournament",INDEX('Tournament Log'!$B:$B,E188)&amp;" (Phantom)",INDEX('Guest Log'!$H:$H,Q188)&amp;" (Guest)")))</f>
        <v/>
      </c>
      <c r="H188" s="32" t="str">
        <f t="array" ref="H188">IF(C188="","",IFERROR(LOOKUP(2,1/(($F$1:F187=F188)+($G$1:G187=F188)),IF($F$1:F187=F188,$N$1:N187,$O$1:O187)),1000))</f>
        <v/>
      </c>
      <c r="I188" s="12" t="str">
        <f t="array" ref="I188">IF(C188="","",IF(C188="Tournament",INDEX('Tournament Log'!$J:$J,E188),IF(C188="Guest",IF(INDEX('Guest Log'!$I:$I,Q188)="",1000,INDEX('Guest Log'!$I:$I,Q188)),IFERROR(LOOKUP(2,1/(($F$1:F187=G188)+($G$1:G187=G188)),IF($F$1:F187=G188,$N$1:N187,$O$1:O187)),1000))))</f>
        <v/>
      </c>
      <c r="J188" s="12" t="str">
        <f t="shared" si="11"/>
        <v/>
      </c>
      <c r="K188" s="12" t="str">
        <f>IF(C188="","",IF(C188="Match",IF(INDEX('Match Log'!$D:$D,D188)="Win",1,IF(INDEX('Match Log'!$D:$D,D188)="Draw",0.5,0)),IF(C188="Tournament",INDEX('Tournament Log'!$K:$K,E188),IF(INDEX('Guest Log'!$C:$C,Q188)="Win",1,IF(INDEX('Guest Log'!$C:$C,Q188)="Draw",0.5,0)))))</f>
        <v/>
      </c>
      <c r="L188" s="12" t="str">
        <f>IF(C188="","",IF(C188="Match",32,IF(C188="Tournament",MIN(32*INDEX('Tournament Log'!$D:$D,E188),96),32)))</f>
        <v/>
      </c>
      <c r="M188" s="12" t="str">
        <f t="shared" si="12"/>
        <v/>
      </c>
      <c r="N188" s="12" t="str">
        <f t="shared" si="13"/>
        <v/>
      </c>
      <c r="O188" s="12" t="str">
        <f t="shared" si="14"/>
        <v/>
      </c>
      <c r="P188" s="12" t="str">
        <f>IF(C188="Tournament",INDEX('Tournament Log'!$B:$B,E188),IF(C188="Guest","Guest: "&amp;INDEX('Guest Log'!$H:$H,Q188),""))</f>
        <v/>
      </c>
      <c r="Q188" t="str">
        <f>IFERROR(MATCH($A188,'Guest Log'!$L$4:$L$203,0)+3,"")</f>
        <v/>
      </c>
    </row>
    <row r="189" spans="1:17" ht="15" customHeight="1" x14ac:dyDescent="0.2">
      <c r="A189" s="12">
        <f>188</f>
        <v>188</v>
      </c>
      <c r="B189" s="12" t="str">
        <f>IF(C189="","",IF(C189="Match",INDEX('Match Log'!$A:$A,D189),IF(C189="Tournament",INDEX('Tournament Log'!$A:$A,E189),INDEX('Guest Log'!$A:$A,Q189))))</f>
        <v/>
      </c>
      <c r="C189" s="12" t="str">
        <f t="shared" si="10"/>
        <v/>
      </c>
      <c r="D189" s="31" t="str">
        <f>IFERROR(MATCH($A189,'Match Log'!$K$3:$K$501,0)+2,"")</f>
        <v/>
      </c>
      <c r="E189" s="31" t="str">
        <f>IFERROR(MATCH($A189,'Tournament Log'!$O$4:$O$203,0)+3,"")</f>
        <v/>
      </c>
      <c r="F189" s="12" t="str">
        <f>IF(C189="","",IF(C189="Match",INDEX('Match Log'!$B:$B,D189),IF(C189="Tournament",INDEX('Tournament Log'!$C:$C,E189),INDEX('Guest Log'!$B:$B,Q189))))</f>
        <v/>
      </c>
      <c r="G189" s="12" t="str">
        <f>IF(C189="","",IF(C189="Match",INDEX('Match Log'!$C:$C,D189),IF(C189="Tournament",INDEX('Tournament Log'!$B:$B,E189)&amp;" (Phantom)",INDEX('Guest Log'!$H:$H,Q189)&amp;" (Guest)")))</f>
        <v/>
      </c>
      <c r="H189" s="32" t="str">
        <f t="array" ref="H189">IF(C189="","",IFERROR(LOOKUP(2,1/(($F$1:F188=F189)+($G$1:G188=F189)),IF($F$1:F188=F189,$N$1:N188,$O$1:O188)),1000))</f>
        <v/>
      </c>
      <c r="I189" s="12" t="str">
        <f t="array" ref="I189">IF(C189="","",IF(C189="Tournament",INDEX('Tournament Log'!$J:$J,E189),IF(C189="Guest",IF(INDEX('Guest Log'!$I:$I,Q189)="",1000,INDEX('Guest Log'!$I:$I,Q189)),IFERROR(LOOKUP(2,1/(($F$1:F188=G189)+($G$1:G188=G189)),IF($F$1:F188=G189,$N$1:N188,$O$1:O188)),1000))))</f>
        <v/>
      </c>
      <c r="J189" s="12" t="str">
        <f t="shared" si="11"/>
        <v/>
      </c>
      <c r="K189" s="12" t="str">
        <f>IF(C189="","",IF(C189="Match",IF(INDEX('Match Log'!$D:$D,D189)="Win",1,IF(INDEX('Match Log'!$D:$D,D189)="Draw",0.5,0)),IF(C189="Tournament",INDEX('Tournament Log'!$K:$K,E189),IF(INDEX('Guest Log'!$C:$C,Q189)="Win",1,IF(INDEX('Guest Log'!$C:$C,Q189)="Draw",0.5,0)))))</f>
        <v/>
      </c>
      <c r="L189" s="12" t="str">
        <f>IF(C189="","",IF(C189="Match",32,IF(C189="Tournament",MIN(32*INDEX('Tournament Log'!$D:$D,E189),96),32)))</f>
        <v/>
      </c>
      <c r="M189" s="12" t="str">
        <f t="shared" si="12"/>
        <v/>
      </c>
      <c r="N189" s="12" t="str">
        <f t="shared" si="13"/>
        <v/>
      </c>
      <c r="O189" s="12" t="str">
        <f t="shared" si="14"/>
        <v/>
      </c>
      <c r="P189" s="12" t="str">
        <f>IF(C189="Tournament",INDEX('Tournament Log'!$B:$B,E189),IF(C189="Guest","Guest: "&amp;INDEX('Guest Log'!$H:$H,Q189),""))</f>
        <v/>
      </c>
      <c r="Q189" t="str">
        <f>IFERROR(MATCH($A189,'Guest Log'!$L$4:$L$203,0)+3,"")</f>
        <v/>
      </c>
    </row>
    <row r="190" spans="1:17" ht="15" customHeight="1" x14ac:dyDescent="0.2">
      <c r="A190" s="12">
        <f>189</f>
        <v>189</v>
      </c>
      <c r="B190" s="12" t="str">
        <f>IF(C190="","",IF(C190="Match",INDEX('Match Log'!$A:$A,D190),IF(C190="Tournament",INDEX('Tournament Log'!$A:$A,E190),INDEX('Guest Log'!$A:$A,Q190))))</f>
        <v/>
      </c>
      <c r="C190" s="12" t="str">
        <f t="shared" si="10"/>
        <v/>
      </c>
      <c r="D190" s="31" t="str">
        <f>IFERROR(MATCH($A190,'Match Log'!$K$3:$K$501,0)+2,"")</f>
        <v/>
      </c>
      <c r="E190" s="31" t="str">
        <f>IFERROR(MATCH($A190,'Tournament Log'!$O$4:$O$203,0)+3,"")</f>
        <v/>
      </c>
      <c r="F190" s="12" t="str">
        <f>IF(C190="","",IF(C190="Match",INDEX('Match Log'!$B:$B,D190),IF(C190="Tournament",INDEX('Tournament Log'!$C:$C,E190),INDEX('Guest Log'!$B:$B,Q190))))</f>
        <v/>
      </c>
      <c r="G190" s="12" t="str">
        <f>IF(C190="","",IF(C190="Match",INDEX('Match Log'!$C:$C,D190),IF(C190="Tournament",INDEX('Tournament Log'!$B:$B,E190)&amp;" (Phantom)",INDEX('Guest Log'!$H:$H,Q190)&amp;" (Guest)")))</f>
        <v/>
      </c>
      <c r="H190" s="32" t="str">
        <f t="array" ref="H190">IF(C190="","",IFERROR(LOOKUP(2,1/(($F$1:F189=F190)+($G$1:G189=F190)),IF($F$1:F189=F190,$N$1:N189,$O$1:O189)),1000))</f>
        <v/>
      </c>
      <c r="I190" s="12" t="str">
        <f t="array" ref="I190">IF(C190="","",IF(C190="Tournament",INDEX('Tournament Log'!$J:$J,E190),IF(C190="Guest",IF(INDEX('Guest Log'!$I:$I,Q190)="",1000,INDEX('Guest Log'!$I:$I,Q190)),IFERROR(LOOKUP(2,1/(($F$1:F189=G190)+($G$1:G189=G190)),IF($F$1:F189=G190,$N$1:N189,$O$1:O189)),1000))))</f>
        <v/>
      </c>
      <c r="J190" s="12" t="str">
        <f t="shared" si="11"/>
        <v/>
      </c>
      <c r="K190" s="12" t="str">
        <f>IF(C190="","",IF(C190="Match",IF(INDEX('Match Log'!$D:$D,D190)="Win",1,IF(INDEX('Match Log'!$D:$D,D190)="Draw",0.5,0)),IF(C190="Tournament",INDEX('Tournament Log'!$K:$K,E190),IF(INDEX('Guest Log'!$C:$C,Q190)="Win",1,IF(INDEX('Guest Log'!$C:$C,Q190)="Draw",0.5,0)))))</f>
        <v/>
      </c>
      <c r="L190" s="12" t="str">
        <f>IF(C190="","",IF(C190="Match",32,IF(C190="Tournament",MIN(32*INDEX('Tournament Log'!$D:$D,E190),96),32)))</f>
        <v/>
      </c>
      <c r="M190" s="12" t="str">
        <f t="shared" si="12"/>
        <v/>
      </c>
      <c r="N190" s="12" t="str">
        <f t="shared" si="13"/>
        <v/>
      </c>
      <c r="O190" s="12" t="str">
        <f t="shared" si="14"/>
        <v/>
      </c>
      <c r="P190" s="12" t="str">
        <f>IF(C190="Tournament",INDEX('Tournament Log'!$B:$B,E190),IF(C190="Guest","Guest: "&amp;INDEX('Guest Log'!$H:$H,Q190),""))</f>
        <v/>
      </c>
      <c r="Q190" t="str">
        <f>IFERROR(MATCH($A190,'Guest Log'!$L$4:$L$203,0)+3,"")</f>
        <v/>
      </c>
    </row>
    <row r="191" spans="1:17" ht="15" customHeight="1" x14ac:dyDescent="0.2">
      <c r="A191" s="12">
        <f>190</f>
        <v>190</v>
      </c>
      <c r="B191" s="12" t="str">
        <f>IF(C191="","",IF(C191="Match",INDEX('Match Log'!$A:$A,D191),IF(C191="Tournament",INDEX('Tournament Log'!$A:$A,E191),INDEX('Guest Log'!$A:$A,Q191))))</f>
        <v/>
      </c>
      <c r="C191" s="12" t="str">
        <f t="shared" si="10"/>
        <v/>
      </c>
      <c r="D191" s="31" t="str">
        <f>IFERROR(MATCH($A191,'Match Log'!$K$3:$K$501,0)+2,"")</f>
        <v/>
      </c>
      <c r="E191" s="31" t="str">
        <f>IFERROR(MATCH($A191,'Tournament Log'!$O$4:$O$203,0)+3,"")</f>
        <v/>
      </c>
      <c r="F191" s="12" t="str">
        <f>IF(C191="","",IF(C191="Match",INDEX('Match Log'!$B:$B,D191),IF(C191="Tournament",INDEX('Tournament Log'!$C:$C,E191),INDEX('Guest Log'!$B:$B,Q191))))</f>
        <v/>
      </c>
      <c r="G191" s="12" t="str">
        <f>IF(C191="","",IF(C191="Match",INDEX('Match Log'!$C:$C,D191),IF(C191="Tournament",INDEX('Tournament Log'!$B:$B,E191)&amp;" (Phantom)",INDEX('Guest Log'!$H:$H,Q191)&amp;" (Guest)")))</f>
        <v/>
      </c>
      <c r="H191" s="32" t="str">
        <f t="array" ref="H191">IF(C191="","",IFERROR(LOOKUP(2,1/(($F$1:F190=F191)+($G$1:G190=F191)),IF($F$1:F190=F191,$N$1:N190,$O$1:O190)),1000))</f>
        <v/>
      </c>
      <c r="I191" s="12" t="str">
        <f t="array" ref="I191">IF(C191="","",IF(C191="Tournament",INDEX('Tournament Log'!$J:$J,E191),IF(C191="Guest",IF(INDEX('Guest Log'!$I:$I,Q191)="",1000,INDEX('Guest Log'!$I:$I,Q191)),IFERROR(LOOKUP(2,1/(($F$1:F190=G191)+($G$1:G190=G191)),IF($F$1:F190=G191,$N$1:N190,$O$1:O190)),1000))))</f>
        <v/>
      </c>
      <c r="J191" s="12" t="str">
        <f t="shared" si="11"/>
        <v/>
      </c>
      <c r="K191" s="12" t="str">
        <f>IF(C191="","",IF(C191="Match",IF(INDEX('Match Log'!$D:$D,D191)="Win",1,IF(INDEX('Match Log'!$D:$D,D191)="Draw",0.5,0)),IF(C191="Tournament",INDEX('Tournament Log'!$K:$K,E191),IF(INDEX('Guest Log'!$C:$C,Q191)="Win",1,IF(INDEX('Guest Log'!$C:$C,Q191)="Draw",0.5,0)))))</f>
        <v/>
      </c>
      <c r="L191" s="12" t="str">
        <f>IF(C191="","",IF(C191="Match",32,IF(C191="Tournament",MIN(32*INDEX('Tournament Log'!$D:$D,E191),96),32)))</f>
        <v/>
      </c>
      <c r="M191" s="12" t="str">
        <f t="shared" si="12"/>
        <v/>
      </c>
      <c r="N191" s="12" t="str">
        <f t="shared" si="13"/>
        <v/>
      </c>
      <c r="O191" s="12" t="str">
        <f t="shared" si="14"/>
        <v/>
      </c>
      <c r="P191" s="12" t="str">
        <f>IF(C191="Tournament",INDEX('Tournament Log'!$B:$B,E191),IF(C191="Guest","Guest: "&amp;INDEX('Guest Log'!$H:$H,Q191),""))</f>
        <v/>
      </c>
      <c r="Q191" t="str">
        <f>IFERROR(MATCH($A191,'Guest Log'!$L$4:$L$203,0)+3,"")</f>
        <v/>
      </c>
    </row>
    <row r="192" spans="1:17" ht="15" customHeight="1" x14ac:dyDescent="0.2">
      <c r="A192" s="12">
        <f>191</f>
        <v>191</v>
      </c>
      <c r="B192" s="12" t="str">
        <f>IF(C192="","",IF(C192="Match",INDEX('Match Log'!$A:$A,D192),IF(C192="Tournament",INDEX('Tournament Log'!$A:$A,E192),INDEX('Guest Log'!$A:$A,Q192))))</f>
        <v/>
      </c>
      <c r="C192" s="12" t="str">
        <f t="shared" si="10"/>
        <v/>
      </c>
      <c r="D192" s="31" t="str">
        <f>IFERROR(MATCH($A192,'Match Log'!$K$3:$K$501,0)+2,"")</f>
        <v/>
      </c>
      <c r="E192" s="31" t="str">
        <f>IFERROR(MATCH($A192,'Tournament Log'!$O$4:$O$203,0)+3,"")</f>
        <v/>
      </c>
      <c r="F192" s="12" t="str">
        <f>IF(C192="","",IF(C192="Match",INDEX('Match Log'!$B:$B,D192),IF(C192="Tournament",INDEX('Tournament Log'!$C:$C,E192),INDEX('Guest Log'!$B:$B,Q192))))</f>
        <v/>
      </c>
      <c r="G192" s="12" t="str">
        <f>IF(C192="","",IF(C192="Match",INDEX('Match Log'!$C:$C,D192),IF(C192="Tournament",INDEX('Tournament Log'!$B:$B,E192)&amp;" (Phantom)",INDEX('Guest Log'!$H:$H,Q192)&amp;" (Guest)")))</f>
        <v/>
      </c>
      <c r="H192" s="32" t="str">
        <f t="array" ref="H192">IF(C192="","",IFERROR(LOOKUP(2,1/(($F$1:F191=F192)+($G$1:G191=F192)),IF($F$1:F191=F192,$N$1:N191,$O$1:O191)),1000))</f>
        <v/>
      </c>
      <c r="I192" s="12" t="str">
        <f t="array" ref="I192">IF(C192="","",IF(C192="Tournament",INDEX('Tournament Log'!$J:$J,E192),IF(C192="Guest",IF(INDEX('Guest Log'!$I:$I,Q192)="",1000,INDEX('Guest Log'!$I:$I,Q192)),IFERROR(LOOKUP(2,1/(($F$1:F191=G192)+($G$1:G191=G192)),IF($F$1:F191=G192,$N$1:N191,$O$1:O191)),1000))))</f>
        <v/>
      </c>
      <c r="J192" s="12" t="str">
        <f t="shared" si="11"/>
        <v/>
      </c>
      <c r="K192" s="12" t="str">
        <f>IF(C192="","",IF(C192="Match",IF(INDEX('Match Log'!$D:$D,D192)="Win",1,IF(INDEX('Match Log'!$D:$D,D192)="Draw",0.5,0)),IF(C192="Tournament",INDEX('Tournament Log'!$K:$K,E192),IF(INDEX('Guest Log'!$C:$C,Q192)="Win",1,IF(INDEX('Guest Log'!$C:$C,Q192)="Draw",0.5,0)))))</f>
        <v/>
      </c>
      <c r="L192" s="12" t="str">
        <f>IF(C192="","",IF(C192="Match",32,IF(C192="Tournament",MIN(32*INDEX('Tournament Log'!$D:$D,E192),96),32)))</f>
        <v/>
      </c>
      <c r="M192" s="12" t="str">
        <f t="shared" si="12"/>
        <v/>
      </c>
      <c r="N192" s="12" t="str">
        <f t="shared" si="13"/>
        <v/>
      </c>
      <c r="O192" s="12" t="str">
        <f t="shared" si="14"/>
        <v/>
      </c>
      <c r="P192" s="12" t="str">
        <f>IF(C192="Tournament",INDEX('Tournament Log'!$B:$B,E192),IF(C192="Guest","Guest: "&amp;INDEX('Guest Log'!$H:$H,Q192),""))</f>
        <v/>
      </c>
      <c r="Q192" t="str">
        <f>IFERROR(MATCH($A192,'Guest Log'!$L$4:$L$203,0)+3,"")</f>
        <v/>
      </c>
    </row>
    <row r="193" spans="1:17" ht="15" customHeight="1" x14ac:dyDescent="0.2">
      <c r="A193" s="12">
        <f>192</f>
        <v>192</v>
      </c>
      <c r="B193" s="12" t="str">
        <f>IF(C193="","",IF(C193="Match",INDEX('Match Log'!$A:$A,D193),IF(C193="Tournament",INDEX('Tournament Log'!$A:$A,E193),INDEX('Guest Log'!$A:$A,Q193))))</f>
        <v/>
      </c>
      <c r="C193" s="12" t="str">
        <f t="shared" si="10"/>
        <v/>
      </c>
      <c r="D193" s="31" t="str">
        <f>IFERROR(MATCH($A193,'Match Log'!$K$3:$K$501,0)+2,"")</f>
        <v/>
      </c>
      <c r="E193" s="31" t="str">
        <f>IFERROR(MATCH($A193,'Tournament Log'!$O$4:$O$203,0)+3,"")</f>
        <v/>
      </c>
      <c r="F193" s="12" t="str">
        <f>IF(C193="","",IF(C193="Match",INDEX('Match Log'!$B:$B,D193),IF(C193="Tournament",INDEX('Tournament Log'!$C:$C,E193),INDEX('Guest Log'!$B:$B,Q193))))</f>
        <v/>
      </c>
      <c r="G193" s="12" t="str">
        <f>IF(C193="","",IF(C193="Match",INDEX('Match Log'!$C:$C,D193),IF(C193="Tournament",INDEX('Tournament Log'!$B:$B,E193)&amp;" (Phantom)",INDEX('Guest Log'!$H:$H,Q193)&amp;" (Guest)")))</f>
        <v/>
      </c>
      <c r="H193" s="32" t="str">
        <f t="array" ref="H193">IF(C193="","",IFERROR(LOOKUP(2,1/(($F$1:F192=F193)+($G$1:G192=F193)),IF($F$1:F192=F193,$N$1:N192,$O$1:O192)),1000))</f>
        <v/>
      </c>
      <c r="I193" s="12" t="str">
        <f t="array" ref="I193">IF(C193="","",IF(C193="Tournament",INDEX('Tournament Log'!$J:$J,E193),IF(C193="Guest",IF(INDEX('Guest Log'!$I:$I,Q193)="",1000,INDEX('Guest Log'!$I:$I,Q193)),IFERROR(LOOKUP(2,1/(($F$1:F192=G193)+($G$1:G192=G193)),IF($F$1:F192=G193,$N$1:N192,$O$1:O192)),1000))))</f>
        <v/>
      </c>
      <c r="J193" s="12" t="str">
        <f t="shared" si="11"/>
        <v/>
      </c>
      <c r="K193" s="12" t="str">
        <f>IF(C193="","",IF(C193="Match",IF(INDEX('Match Log'!$D:$D,D193)="Win",1,IF(INDEX('Match Log'!$D:$D,D193)="Draw",0.5,0)),IF(C193="Tournament",INDEX('Tournament Log'!$K:$K,E193),IF(INDEX('Guest Log'!$C:$C,Q193)="Win",1,IF(INDEX('Guest Log'!$C:$C,Q193)="Draw",0.5,0)))))</f>
        <v/>
      </c>
      <c r="L193" s="12" t="str">
        <f>IF(C193="","",IF(C193="Match",32,IF(C193="Tournament",MIN(32*INDEX('Tournament Log'!$D:$D,E193),96),32)))</f>
        <v/>
      </c>
      <c r="M193" s="12" t="str">
        <f t="shared" si="12"/>
        <v/>
      </c>
      <c r="N193" s="12" t="str">
        <f t="shared" si="13"/>
        <v/>
      </c>
      <c r="O193" s="12" t="str">
        <f t="shared" si="14"/>
        <v/>
      </c>
      <c r="P193" s="12" t="str">
        <f>IF(C193="Tournament",INDEX('Tournament Log'!$B:$B,E193),IF(C193="Guest","Guest: "&amp;INDEX('Guest Log'!$H:$H,Q193),""))</f>
        <v/>
      </c>
      <c r="Q193" t="str">
        <f>IFERROR(MATCH($A193,'Guest Log'!$L$4:$L$203,0)+3,"")</f>
        <v/>
      </c>
    </row>
    <row r="194" spans="1:17" ht="15" customHeight="1" x14ac:dyDescent="0.2">
      <c r="A194" s="12">
        <f>193</f>
        <v>193</v>
      </c>
      <c r="B194" s="12" t="str">
        <f>IF(C194="","",IF(C194="Match",INDEX('Match Log'!$A:$A,D194),IF(C194="Tournament",INDEX('Tournament Log'!$A:$A,E194),INDEX('Guest Log'!$A:$A,Q194))))</f>
        <v/>
      </c>
      <c r="C194" s="12" t="str">
        <f t="shared" ref="C194:C257" si="15">IF(D194&lt;&gt;"","Match",IF(E194&lt;&gt;"","Tournament",IF(Q194&lt;&gt;"","Guest","")))</f>
        <v/>
      </c>
      <c r="D194" s="31" t="str">
        <f>IFERROR(MATCH($A194,'Match Log'!$K$3:$K$501,0)+2,"")</f>
        <v/>
      </c>
      <c r="E194" s="31" t="str">
        <f>IFERROR(MATCH($A194,'Tournament Log'!$O$4:$O$203,0)+3,"")</f>
        <v/>
      </c>
      <c r="F194" s="12" t="str">
        <f>IF(C194="","",IF(C194="Match",INDEX('Match Log'!$B:$B,D194),IF(C194="Tournament",INDEX('Tournament Log'!$C:$C,E194),INDEX('Guest Log'!$B:$B,Q194))))</f>
        <v/>
      </c>
      <c r="G194" s="12" t="str">
        <f>IF(C194="","",IF(C194="Match",INDEX('Match Log'!$C:$C,D194),IF(C194="Tournament",INDEX('Tournament Log'!$B:$B,E194)&amp;" (Phantom)",INDEX('Guest Log'!$H:$H,Q194)&amp;" (Guest)")))</f>
        <v/>
      </c>
      <c r="H194" s="32" t="str">
        <f t="array" ref="H194">IF(C194="","",IFERROR(LOOKUP(2,1/(($F$1:F193=F194)+($G$1:G193=F194)),IF($F$1:F193=F194,$N$1:N193,$O$1:O193)),1000))</f>
        <v/>
      </c>
      <c r="I194" s="12" t="str">
        <f t="array" ref="I194">IF(C194="","",IF(C194="Tournament",INDEX('Tournament Log'!$J:$J,E194),IF(C194="Guest",IF(INDEX('Guest Log'!$I:$I,Q194)="",1000,INDEX('Guest Log'!$I:$I,Q194)),IFERROR(LOOKUP(2,1/(($F$1:F193=G194)+($G$1:G193=G194)),IF($F$1:F193=G194,$N$1:N193,$O$1:O193)),1000))))</f>
        <v/>
      </c>
      <c r="J194" s="12" t="str">
        <f t="shared" ref="J194:J257" si="16">IF(C194="","",1/(1+10^((I194-H194)/400)))</f>
        <v/>
      </c>
      <c r="K194" s="12" t="str">
        <f>IF(C194="","",IF(C194="Match",IF(INDEX('Match Log'!$D:$D,D194)="Win",1,IF(INDEX('Match Log'!$D:$D,D194)="Draw",0.5,0)),IF(C194="Tournament",INDEX('Tournament Log'!$K:$K,E194),IF(INDEX('Guest Log'!$C:$C,Q194)="Win",1,IF(INDEX('Guest Log'!$C:$C,Q194)="Draw",0.5,0)))))</f>
        <v/>
      </c>
      <c r="L194" s="12" t="str">
        <f>IF(C194="","",IF(C194="Match",32,IF(C194="Tournament",MIN(32*INDEX('Tournament Log'!$D:$D,E194),96),32)))</f>
        <v/>
      </c>
      <c r="M194" s="12" t="str">
        <f t="shared" ref="M194:M257" si="17">IF(C194="","",ROUND(L194*(K194-J194),0))</f>
        <v/>
      </c>
      <c r="N194" s="12" t="str">
        <f t="shared" ref="N194:N257" si="18">IF(C194="","",H194+M194)</f>
        <v/>
      </c>
      <c r="O194" s="12" t="str">
        <f t="shared" ref="O194:O257" si="19">IF(C194="","",IF(C194="Match",I194-M194,""))</f>
        <v/>
      </c>
      <c r="P194" s="12" t="str">
        <f>IF(C194="Tournament",INDEX('Tournament Log'!$B:$B,E194),IF(C194="Guest","Guest: "&amp;INDEX('Guest Log'!$H:$H,Q194),""))</f>
        <v/>
      </c>
      <c r="Q194" t="str">
        <f>IFERROR(MATCH($A194,'Guest Log'!$L$4:$L$203,0)+3,"")</f>
        <v/>
      </c>
    </row>
    <row r="195" spans="1:17" ht="15" customHeight="1" x14ac:dyDescent="0.2">
      <c r="A195" s="12">
        <f>194</f>
        <v>194</v>
      </c>
      <c r="B195" s="12" t="str">
        <f>IF(C195="","",IF(C195="Match",INDEX('Match Log'!$A:$A,D195),IF(C195="Tournament",INDEX('Tournament Log'!$A:$A,E195),INDEX('Guest Log'!$A:$A,Q195))))</f>
        <v/>
      </c>
      <c r="C195" s="12" t="str">
        <f t="shared" si="15"/>
        <v/>
      </c>
      <c r="D195" s="31" t="str">
        <f>IFERROR(MATCH($A195,'Match Log'!$K$3:$K$501,0)+2,"")</f>
        <v/>
      </c>
      <c r="E195" s="31" t="str">
        <f>IFERROR(MATCH($A195,'Tournament Log'!$O$4:$O$203,0)+3,"")</f>
        <v/>
      </c>
      <c r="F195" s="12" t="str">
        <f>IF(C195="","",IF(C195="Match",INDEX('Match Log'!$B:$B,D195),IF(C195="Tournament",INDEX('Tournament Log'!$C:$C,E195),INDEX('Guest Log'!$B:$B,Q195))))</f>
        <v/>
      </c>
      <c r="G195" s="12" t="str">
        <f>IF(C195="","",IF(C195="Match",INDEX('Match Log'!$C:$C,D195),IF(C195="Tournament",INDEX('Tournament Log'!$B:$B,E195)&amp;" (Phantom)",INDEX('Guest Log'!$H:$H,Q195)&amp;" (Guest)")))</f>
        <v/>
      </c>
      <c r="H195" s="32" t="str">
        <f t="array" ref="H195">IF(C195="","",IFERROR(LOOKUP(2,1/(($F$1:F194=F195)+($G$1:G194=F195)),IF($F$1:F194=F195,$N$1:N194,$O$1:O194)),1000))</f>
        <v/>
      </c>
      <c r="I195" s="12" t="str">
        <f t="array" ref="I195">IF(C195="","",IF(C195="Tournament",INDEX('Tournament Log'!$J:$J,E195),IF(C195="Guest",IF(INDEX('Guest Log'!$I:$I,Q195)="",1000,INDEX('Guest Log'!$I:$I,Q195)),IFERROR(LOOKUP(2,1/(($F$1:F194=G195)+($G$1:G194=G195)),IF($F$1:F194=G195,$N$1:N194,$O$1:O194)),1000))))</f>
        <v/>
      </c>
      <c r="J195" s="12" t="str">
        <f t="shared" si="16"/>
        <v/>
      </c>
      <c r="K195" s="12" t="str">
        <f>IF(C195="","",IF(C195="Match",IF(INDEX('Match Log'!$D:$D,D195)="Win",1,IF(INDEX('Match Log'!$D:$D,D195)="Draw",0.5,0)),IF(C195="Tournament",INDEX('Tournament Log'!$K:$K,E195),IF(INDEX('Guest Log'!$C:$C,Q195)="Win",1,IF(INDEX('Guest Log'!$C:$C,Q195)="Draw",0.5,0)))))</f>
        <v/>
      </c>
      <c r="L195" s="12" t="str">
        <f>IF(C195="","",IF(C195="Match",32,IF(C195="Tournament",MIN(32*INDEX('Tournament Log'!$D:$D,E195),96),32)))</f>
        <v/>
      </c>
      <c r="M195" s="12" t="str">
        <f t="shared" si="17"/>
        <v/>
      </c>
      <c r="N195" s="12" t="str">
        <f t="shared" si="18"/>
        <v/>
      </c>
      <c r="O195" s="12" t="str">
        <f t="shared" si="19"/>
        <v/>
      </c>
      <c r="P195" s="12" t="str">
        <f>IF(C195="Tournament",INDEX('Tournament Log'!$B:$B,E195),IF(C195="Guest","Guest: "&amp;INDEX('Guest Log'!$H:$H,Q195),""))</f>
        <v/>
      </c>
      <c r="Q195" t="str">
        <f>IFERROR(MATCH($A195,'Guest Log'!$L$4:$L$203,0)+3,"")</f>
        <v/>
      </c>
    </row>
    <row r="196" spans="1:17" ht="15" customHeight="1" x14ac:dyDescent="0.2">
      <c r="A196" s="12">
        <f>195</f>
        <v>195</v>
      </c>
      <c r="B196" s="12" t="str">
        <f>IF(C196="","",IF(C196="Match",INDEX('Match Log'!$A:$A,D196),IF(C196="Tournament",INDEX('Tournament Log'!$A:$A,E196),INDEX('Guest Log'!$A:$A,Q196))))</f>
        <v/>
      </c>
      <c r="C196" s="12" t="str">
        <f t="shared" si="15"/>
        <v/>
      </c>
      <c r="D196" s="31" t="str">
        <f>IFERROR(MATCH($A196,'Match Log'!$K$3:$K$501,0)+2,"")</f>
        <v/>
      </c>
      <c r="E196" s="31" t="str">
        <f>IFERROR(MATCH($A196,'Tournament Log'!$O$4:$O$203,0)+3,"")</f>
        <v/>
      </c>
      <c r="F196" s="12" t="str">
        <f>IF(C196="","",IF(C196="Match",INDEX('Match Log'!$B:$B,D196),IF(C196="Tournament",INDEX('Tournament Log'!$C:$C,E196),INDEX('Guest Log'!$B:$B,Q196))))</f>
        <v/>
      </c>
      <c r="G196" s="12" t="str">
        <f>IF(C196="","",IF(C196="Match",INDEX('Match Log'!$C:$C,D196),IF(C196="Tournament",INDEX('Tournament Log'!$B:$B,E196)&amp;" (Phantom)",INDEX('Guest Log'!$H:$H,Q196)&amp;" (Guest)")))</f>
        <v/>
      </c>
      <c r="H196" s="32" t="str">
        <f t="array" ref="H196">IF(C196="","",IFERROR(LOOKUP(2,1/(($F$1:F195=F196)+($G$1:G195=F196)),IF($F$1:F195=F196,$N$1:N195,$O$1:O195)),1000))</f>
        <v/>
      </c>
      <c r="I196" s="12" t="str">
        <f t="array" ref="I196">IF(C196="","",IF(C196="Tournament",INDEX('Tournament Log'!$J:$J,E196),IF(C196="Guest",IF(INDEX('Guest Log'!$I:$I,Q196)="",1000,INDEX('Guest Log'!$I:$I,Q196)),IFERROR(LOOKUP(2,1/(($F$1:F195=G196)+($G$1:G195=G196)),IF($F$1:F195=G196,$N$1:N195,$O$1:O195)),1000))))</f>
        <v/>
      </c>
      <c r="J196" s="12" t="str">
        <f t="shared" si="16"/>
        <v/>
      </c>
      <c r="K196" s="12" t="str">
        <f>IF(C196="","",IF(C196="Match",IF(INDEX('Match Log'!$D:$D,D196)="Win",1,IF(INDEX('Match Log'!$D:$D,D196)="Draw",0.5,0)),IF(C196="Tournament",INDEX('Tournament Log'!$K:$K,E196),IF(INDEX('Guest Log'!$C:$C,Q196)="Win",1,IF(INDEX('Guest Log'!$C:$C,Q196)="Draw",0.5,0)))))</f>
        <v/>
      </c>
      <c r="L196" s="12" t="str">
        <f>IF(C196="","",IF(C196="Match",32,IF(C196="Tournament",MIN(32*INDEX('Tournament Log'!$D:$D,E196),96),32)))</f>
        <v/>
      </c>
      <c r="M196" s="12" t="str">
        <f t="shared" si="17"/>
        <v/>
      </c>
      <c r="N196" s="12" t="str">
        <f t="shared" si="18"/>
        <v/>
      </c>
      <c r="O196" s="12" t="str">
        <f t="shared" si="19"/>
        <v/>
      </c>
      <c r="P196" s="12" t="str">
        <f>IF(C196="Tournament",INDEX('Tournament Log'!$B:$B,E196),IF(C196="Guest","Guest: "&amp;INDEX('Guest Log'!$H:$H,Q196),""))</f>
        <v/>
      </c>
      <c r="Q196" t="str">
        <f>IFERROR(MATCH($A196,'Guest Log'!$L$4:$L$203,0)+3,"")</f>
        <v/>
      </c>
    </row>
    <row r="197" spans="1:17" ht="15" customHeight="1" x14ac:dyDescent="0.2">
      <c r="A197" s="12">
        <f>196</f>
        <v>196</v>
      </c>
      <c r="B197" s="12" t="str">
        <f>IF(C197="","",IF(C197="Match",INDEX('Match Log'!$A:$A,D197),IF(C197="Tournament",INDEX('Tournament Log'!$A:$A,E197),INDEX('Guest Log'!$A:$A,Q197))))</f>
        <v/>
      </c>
      <c r="C197" s="12" t="str">
        <f t="shared" si="15"/>
        <v/>
      </c>
      <c r="D197" s="31" t="str">
        <f>IFERROR(MATCH($A197,'Match Log'!$K$3:$K$501,0)+2,"")</f>
        <v/>
      </c>
      <c r="E197" s="31" t="str">
        <f>IFERROR(MATCH($A197,'Tournament Log'!$O$4:$O$203,0)+3,"")</f>
        <v/>
      </c>
      <c r="F197" s="12" t="str">
        <f>IF(C197="","",IF(C197="Match",INDEX('Match Log'!$B:$B,D197),IF(C197="Tournament",INDEX('Tournament Log'!$C:$C,E197),INDEX('Guest Log'!$B:$B,Q197))))</f>
        <v/>
      </c>
      <c r="G197" s="12" t="str">
        <f>IF(C197="","",IF(C197="Match",INDEX('Match Log'!$C:$C,D197),IF(C197="Tournament",INDEX('Tournament Log'!$B:$B,E197)&amp;" (Phantom)",INDEX('Guest Log'!$H:$H,Q197)&amp;" (Guest)")))</f>
        <v/>
      </c>
      <c r="H197" s="32" t="str">
        <f t="array" ref="H197">IF(C197="","",IFERROR(LOOKUP(2,1/(($F$1:F196=F197)+($G$1:G196=F197)),IF($F$1:F196=F197,$N$1:N196,$O$1:O196)),1000))</f>
        <v/>
      </c>
      <c r="I197" s="12" t="str">
        <f t="array" ref="I197">IF(C197="","",IF(C197="Tournament",INDEX('Tournament Log'!$J:$J,E197),IF(C197="Guest",IF(INDEX('Guest Log'!$I:$I,Q197)="",1000,INDEX('Guest Log'!$I:$I,Q197)),IFERROR(LOOKUP(2,1/(($F$1:F196=G197)+($G$1:G196=G197)),IF($F$1:F196=G197,$N$1:N196,$O$1:O196)),1000))))</f>
        <v/>
      </c>
      <c r="J197" s="12" t="str">
        <f t="shared" si="16"/>
        <v/>
      </c>
      <c r="K197" s="12" t="str">
        <f>IF(C197="","",IF(C197="Match",IF(INDEX('Match Log'!$D:$D,D197)="Win",1,IF(INDEX('Match Log'!$D:$D,D197)="Draw",0.5,0)),IF(C197="Tournament",INDEX('Tournament Log'!$K:$K,E197),IF(INDEX('Guest Log'!$C:$C,Q197)="Win",1,IF(INDEX('Guest Log'!$C:$C,Q197)="Draw",0.5,0)))))</f>
        <v/>
      </c>
      <c r="L197" s="12" t="str">
        <f>IF(C197="","",IF(C197="Match",32,IF(C197="Tournament",MIN(32*INDEX('Tournament Log'!$D:$D,E197),96),32)))</f>
        <v/>
      </c>
      <c r="M197" s="12" t="str">
        <f t="shared" si="17"/>
        <v/>
      </c>
      <c r="N197" s="12" t="str">
        <f t="shared" si="18"/>
        <v/>
      </c>
      <c r="O197" s="12" t="str">
        <f t="shared" si="19"/>
        <v/>
      </c>
      <c r="P197" s="12" t="str">
        <f>IF(C197="Tournament",INDEX('Tournament Log'!$B:$B,E197),IF(C197="Guest","Guest: "&amp;INDEX('Guest Log'!$H:$H,Q197),""))</f>
        <v/>
      </c>
      <c r="Q197" t="str">
        <f>IFERROR(MATCH($A197,'Guest Log'!$L$4:$L$203,0)+3,"")</f>
        <v/>
      </c>
    </row>
    <row r="198" spans="1:17" ht="15" customHeight="1" x14ac:dyDescent="0.2">
      <c r="A198" s="12">
        <f>197</f>
        <v>197</v>
      </c>
      <c r="B198" s="12" t="str">
        <f>IF(C198="","",IF(C198="Match",INDEX('Match Log'!$A:$A,D198),IF(C198="Tournament",INDEX('Tournament Log'!$A:$A,E198),INDEX('Guest Log'!$A:$A,Q198))))</f>
        <v/>
      </c>
      <c r="C198" s="12" t="str">
        <f t="shared" si="15"/>
        <v/>
      </c>
      <c r="D198" s="31" t="str">
        <f>IFERROR(MATCH($A198,'Match Log'!$K$3:$K$501,0)+2,"")</f>
        <v/>
      </c>
      <c r="E198" s="31" t="str">
        <f>IFERROR(MATCH($A198,'Tournament Log'!$O$4:$O$203,0)+3,"")</f>
        <v/>
      </c>
      <c r="F198" s="12" t="str">
        <f>IF(C198="","",IF(C198="Match",INDEX('Match Log'!$B:$B,D198),IF(C198="Tournament",INDEX('Tournament Log'!$C:$C,E198),INDEX('Guest Log'!$B:$B,Q198))))</f>
        <v/>
      </c>
      <c r="G198" s="12" t="str">
        <f>IF(C198="","",IF(C198="Match",INDEX('Match Log'!$C:$C,D198),IF(C198="Tournament",INDEX('Tournament Log'!$B:$B,E198)&amp;" (Phantom)",INDEX('Guest Log'!$H:$H,Q198)&amp;" (Guest)")))</f>
        <v/>
      </c>
      <c r="H198" s="32" t="str">
        <f t="array" ref="H198">IF(C198="","",IFERROR(LOOKUP(2,1/(($F$1:F197=F198)+($G$1:G197=F198)),IF($F$1:F197=F198,$N$1:N197,$O$1:O197)),1000))</f>
        <v/>
      </c>
      <c r="I198" s="12" t="str">
        <f t="array" ref="I198">IF(C198="","",IF(C198="Tournament",INDEX('Tournament Log'!$J:$J,E198),IF(C198="Guest",IF(INDEX('Guest Log'!$I:$I,Q198)="",1000,INDEX('Guest Log'!$I:$I,Q198)),IFERROR(LOOKUP(2,1/(($F$1:F197=G198)+($G$1:G197=G198)),IF($F$1:F197=G198,$N$1:N197,$O$1:O197)),1000))))</f>
        <v/>
      </c>
      <c r="J198" s="12" t="str">
        <f t="shared" si="16"/>
        <v/>
      </c>
      <c r="K198" s="12" t="str">
        <f>IF(C198="","",IF(C198="Match",IF(INDEX('Match Log'!$D:$D,D198)="Win",1,IF(INDEX('Match Log'!$D:$D,D198)="Draw",0.5,0)),IF(C198="Tournament",INDEX('Tournament Log'!$K:$K,E198),IF(INDEX('Guest Log'!$C:$C,Q198)="Win",1,IF(INDEX('Guest Log'!$C:$C,Q198)="Draw",0.5,0)))))</f>
        <v/>
      </c>
      <c r="L198" s="12" t="str">
        <f>IF(C198="","",IF(C198="Match",32,IF(C198="Tournament",MIN(32*INDEX('Tournament Log'!$D:$D,E198),96),32)))</f>
        <v/>
      </c>
      <c r="M198" s="12" t="str">
        <f t="shared" si="17"/>
        <v/>
      </c>
      <c r="N198" s="12" t="str">
        <f t="shared" si="18"/>
        <v/>
      </c>
      <c r="O198" s="12" t="str">
        <f t="shared" si="19"/>
        <v/>
      </c>
      <c r="P198" s="12" t="str">
        <f>IF(C198="Tournament",INDEX('Tournament Log'!$B:$B,E198),IF(C198="Guest","Guest: "&amp;INDEX('Guest Log'!$H:$H,Q198),""))</f>
        <v/>
      </c>
      <c r="Q198" t="str">
        <f>IFERROR(MATCH($A198,'Guest Log'!$L$4:$L$203,0)+3,"")</f>
        <v/>
      </c>
    </row>
    <row r="199" spans="1:17" ht="15" customHeight="1" x14ac:dyDescent="0.2">
      <c r="A199" s="12">
        <f>198</f>
        <v>198</v>
      </c>
      <c r="B199" s="12" t="str">
        <f>IF(C199="","",IF(C199="Match",INDEX('Match Log'!$A:$A,D199),IF(C199="Tournament",INDEX('Tournament Log'!$A:$A,E199),INDEX('Guest Log'!$A:$A,Q199))))</f>
        <v/>
      </c>
      <c r="C199" s="12" t="str">
        <f t="shared" si="15"/>
        <v/>
      </c>
      <c r="D199" s="31" t="str">
        <f>IFERROR(MATCH($A199,'Match Log'!$K$3:$K$501,0)+2,"")</f>
        <v/>
      </c>
      <c r="E199" s="31" t="str">
        <f>IFERROR(MATCH($A199,'Tournament Log'!$O$4:$O$203,0)+3,"")</f>
        <v/>
      </c>
      <c r="F199" s="12" t="str">
        <f>IF(C199="","",IF(C199="Match",INDEX('Match Log'!$B:$B,D199),IF(C199="Tournament",INDEX('Tournament Log'!$C:$C,E199),INDEX('Guest Log'!$B:$B,Q199))))</f>
        <v/>
      </c>
      <c r="G199" s="12" t="str">
        <f>IF(C199="","",IF(C199="Match",INDEX('Match Log'!$C:$C,D199),IF(C199="Tournament",INDEX('Tournament Log'!$B:$B,E199)&amp;" (Phantom)",INDEX('Guest Log'!$H:$H,Q199)&amp;" (Guest)")))</f>
        <v/>
      </c>
      <c r="H199" s="32" t="str">
        <f t="array" ref="H199">IF(C199="","",IFERROR(LOOKUP(2,1/(($F$1:F198=F199)+($G$1:G198=F199)),IF($F$1:F198=F199,$N$1:N198,$O$1:O198)),1000))</f>
        <v/>
      </c>
      <c r="I199" s="12" t="str">
        <f t="array" ref="I199">IF(C199="","",IF(C199="Tournament",INDEX('Tournament Log'!$J:$J,E199),IF(C199="Guest",IF(INDEX('Guest Log'!$I:$I,Q199)="",1000,INDEX('Guest Log'!$I:$I,Q199)),IFERROR(LOOKUP(2,1/(($F$1:F198=G199)+($G$1:G198=G199)),IF($F$1:F198=G199,$N$1:N198,$O$1:O198)),1000))))</f>
        <v/>
      </c>
      <c r="J199" s="12" t="str">
        <f t="shared" si="16"/>
        <v/>
      </c>
      <c r="K199" s="12" t="str">
        <f>IF(C199="","",IF(C199="Match",IF(INDEX('Match Log'!$D:$D,D199)="Win",1,IF(INDEX('Match Log'!$D:$D,D199)="Draw",0.5,0)),IF(C199="Tournament",INDEX('Tournament Log'!$K:$K,E199),IF(INDEX('Guest Log'!$C:$C,Q199)="Win",1,IF(INDEX('Guest Log'!$C:$C,Q199)="Draw",0.5,0)))))</f>
        <v/>
      </c>
      <c r="L199" s="12" t="str">
        <f>IF(C199="","",IF(C199="Match",32,IF(C199="Tournament",MIN(32*INDEX('Tournament Log'!$D:$D,E199),96),32)))</f>
        <v/>
      </c>
      <c r="M199" s="12" t="str">
        <f t="shared" si="17"/>
        <v/>
      </c>
      <c r="N199" s="12" t="str">
        <f t="shared" si="18"/>
        <v/>
      </c>
      <c r="O199" s="12" t="str">
        <f t="shared" si="19"/>
        <v/>
      </c>
      <c r="P199" s="12" t="str">
        <f>IF(C199="Tournament",INDEX('Tournament Log'!$B:$B,E199),IF(C199="Guest","Guest: "&amp;INDEX('Guest Log'!$H:$H,Q199),""))</f>
        <v/>
      </c>
      <c r="Q199" t="str">
        <f>IFERROR(MATCH($A199,'Guest Log'!$L$4:$L$203,0)+3,"")</f>
        <v/>
      </c>
    </row>
    <row r="200" spans="1:17" ht="15" customHeight="1" x14ac:dyDescent="0.2">
      <c r="A200" s="12">
        <f>199</f>
        <v>199</v>
      </c>
      <c r="B200" s="12" t="str">
        <f>IF(C200="","",IF(C200="Match",INDEX('Match Log'!$A:$A,D200),IF(C200="Tournament",INDEX('Tournament Log'!$A:$A,E200),INDEX('Guest Log'!$A:$A,Q200))))</f>
        <v/>
      </c>
      <c r="C200" s="12" t="str">
        <f t="shared" si="15"/>
        <v/>
      </c>
      <c r="D200" s="31" t="str">
        <f>IFERROR(MATCH($A200,'Match Log'!$K$3:$K$501,0)+2,"")</f>
        <v/>
      </c>
      <c r="E200" s="31" t="str">
        <f>IFERROR(MATCH($A200,'Tournament Log'!$O$4:$O$203,0)+3,"")</f>
        <v/>
      </c>
      <c r="F200" s="12" t="str">
        <f>IF(C200="","",IF(C200="Match",INDEX('Match Log'!$B:$B,D200),IF(C200="Tournament",INDEX('Tournament Log'!$C:$C,E200),INDEX('Guest Log'!$B:$B,Q200))))</f>
        <v/>
      </c>
      <c r="G200" s="12" t="str">
        <f>IF(C200="","",IF(C200="Match",INDEX('Match Log'!$C:$C,D200),IF(C200="Tournament",INDEX('Tournament Log'!$B:$B,E200)&amp;" (Phantom)",INDEX('Guest Log'!$H:$H,Q200)&amp;" (Guest)")))</f>
        <v/>
      </c>
      <c r="H200" s="32" t="str">
        <f t="array" ref="H200">IF(C200="","",IFERROR(LOOKUP(2,1/(($F$1:F199=F200)+($G$1:G199=F200)),IF($F$1:F199=F200,$N$1:N199,$O$1:O199)),1000))</f>
        <v/>
      </c>
      <c r="I200" s="12" t="str">
        <f t="array" ref="I200">IF(C200="","",IF(C200="Tournament",INDEX('Tournament Log'!$J:$J,E200),IF(C200="Guest",IF(INDEX('Guest Log'!$I:$I,Q200)="",1000,INDEX('Guest Log'!$I:$I,Q200)),IFERROR(LOOKUP(2,1/(($F$1:F199=G200)+($G$1:G199=G200)),IF($F$1:F199=G200,$N$1:N199,$O$1:O199)),1000))))</f>
        <v/>
      </c>
      <c r="J200" s="12" t="str">
        <f t="shared" si="16"/>
        <v/>
      </c>
      <c r="K200" s="12" t="str">
        <f>IF(C200="","",IF(C200="Match",IF(INDEX('Match Log'!$D:$D,D200)="Win",1,IF(INDEX('Match Log'!$D:$D,D200)="Draw",0.5,0)),IF(C200="Tournament",INDEX('Tournament Log'!$K:$K,E200),IF(INDEX('Guest Log'!$C:$C,Q200)="Win",1,IF(INDEX('Guest Log'!$C:$C,Q200)="Draw",0.5,0)))))</f>
        <v/>
      </c>
      <c r="L200" s="12" t="str">
        <f>IF(C200="","",IF(C200="Match",32,IF(C200="Tournament",MIN(32*INDEX('Tournament Log'!$D:$D,E200),96),32)))</f>
        <v/>
      </c>
      <c r="M200" s="12" t="str">
        <f t="shared" si="17"/>
        <v/>
      </c>
      <c r="N200" s="12" t="str">
        <f t="shared" si="18"/>
        <v/>
      </c>
      <c r="O200" s="12" t="str">
        <f t="shared" si="19"/>
        <v/>
      </c>
      <c r="P200" s="12" t="str">
        <f>IF(C200="Tournament",INDEX('Tournament Log'!$B:$B,E200),IF(C200="Guest","Guest: "&amp;INDEX('Guest Log'!$H:$H,Q200),""))</f>
        <v/>
      </c>
      <c r="Q200" t="str">
        <f>IFERROR(MATCH($A200,'Guest Log'!$L$4:$L$203,0)+3,"")</f>
        <v/>
      </c>
    </row>
    <row r="201" spans="1:17" ht="15" customHeight="1" x14ac:dyDescent="0.2">
      <c r="A201" s="12">
        <f>200</f>
        <v>200</v>
      </c>
      <c r="B201" s="12" t="str">
        <f>IF(C201="","",IF(C201="Match",INDEX('Match Log'!$A:$A,D201),IF(C201="Tournament",INDEX('Tournament Log'!$A:$A,E201),INDEX('Guest Log'!$A:$A,Q201))))</f>
        <v/>
      </c>
      <c r="C201" s="12" t="str">
        <f t="shared" si="15"/>
        <v/>
      </c>
      <c r="D201" s="31" t="str">
        <f>IFERROR(MATCH($A201,'Match Log'!$K$3:$K$501,0)+2,"")</f>
        <v/>
      </c>
      <c r="E201" s="31" t="str">
        <f>IFERROR(MATCH($A201,'Tournament Log'!$O$4:$O$203,0)+3,"")</f>
        <v/>
      </c>
      <c r="F201" s="12" t="str">
        <f>IF(C201="","",IF(C201="Match",INDEX('Match Log'!$B:$B,D201),IF(C201="Tournament",INDEX('Tournament Log'!$C:$C,E201),INDEX('Guest Log'!$B:$B,Q201))))</f>
        <v/>
      </c>
      <c r="G201" s="12" t="str">
        <f>IF(C201="","",IF(C201="Match",INDEX('Match Log'!$C:$C,D201),IF(C201="Tournament",INDEX('Tournament Log'!$B:$B,E201)&amp;" (Phantom)",INDEX('Guest Log'!$H:$H,Q201)&amp;" (Guest)")))</f>
        <v/>
      </c>
      <c r="H201" s="32" t="str">
        <f t="array" ref="H201">IF(C201="","",IFERROR(LOOKUP(2,1/(($F$1:F200=F201)+($G$1:G200=F201)),IF($F$1:F200=F201,$N$1:N200,$O$1:O200)),1000))</f>
        <v/>
      </c>
      <c r="I201" s="12" t="str">
        <f t="array" ref="I201">IF(C201="","",IF(C201="Tournament",INDEX('Tournament Log'!$J:$J,E201),IF(C201="Guest",IF(INDEX('Guest Log'!$I:$I,Q201)="",1000,INDEX('Guest Log'!$I:$I,Q201)),IFERROR(LOOKUP(2,1/(($F$1:F200=G201)+($G$1:G200=G201)),IF($F$1:F200=G201,$N$1:N200,$O$1:O200)),1000))))</f>
        <v/>
      </c>
      <c r="J201" s="12" t="str">
        <f t="shared" si="16"/>
        <v/>
      </c>
      <c r="K201" s="12" t="str">
        <f>IF(C201="","",IF(C201="Match",IF(INDEX('Match Log'!$D:$D,D201)="Win",1,IF(INDEX('Match Log'!$D:$D,D201)="Draw",0.5,0)),IF(C201="Tournament",INDEX('Tournament Log'!$K:$K,E201),IF(INDEX('Guest Log'!$C:$C,Q201)="Win",1,IF(INDEX('Guest Log'!$C:$C,Q201)="Draw",0.5,0)))))</f>
        <v/>
      </c>
      <c r="L201" s="12" t="str">
        <f>IF(C201="","",IF(C201="Match",32,IF(C201="Tournament",MIN(32*INDEX('Tournament Log'!$D:$D,E201),96),32)))</f>
        <v/>
      </c>
      <c r="M201" s="12" t="str">
        <f t="shared" si="17"/>
        <v/>
      </c>
      <c r="N201" s="12" t="str">
        <f t="shared" si="18"/>
        <v/>
      </c>
      <c r="O201" s="12" t="str">
        <f t="shared" si="19"/>
        <v/>
      </c>
      <c r="P201" s="12" t="str">
        <f>IF(C201="Tournament",INDEX('Tournament Log'!$B:$B,E201),IF(C201="Guest","Guest: "&amp;INDEX('Guest Log'!$H:$H,Q201),""))</f>
        <v/>
      </c>
      <c r="Q201" t="str">
        <f>IFERROR(MATCH($A201,'Guest Log'!$L$4:$L$203,0)+3,"")</f>
        <v/>
      </c>
    </row>
    <row r="202" spans="1:17" ht="15" customHeight="1" x14ac:dyDescent="0.2">
      <c r="A202" s="12">
        <f>201</f>
        <v>201</v>
      </c>
      <c r="B202" s="12" t="str">
        <f>IF(C202="","",IF(C202="Match",INDEX('Match Log'!$A:$A,D202),IF(C202="Tournament",INDEX('Tournament Log'!$A:$A,E202),INDEX('Guest Log'!$A:$A,Q202))))</f>
        <v/>
      </c>
      <c r="C202" s="12" t="str">
        <f t="shared" si="15"/>
        <v/>
      </c>
      <c r="D202" s="31" t="str">
        <f>IFERROR(MATCH($A202,'Match Log'!$K$3:$K$501,0)+2,"")</f>
        <v/>
      </c>
      <c r="E202" s="31" t="str">
        <f>IFERROR(MATCH($A202,'Tournament Log'!$O$4:$O$203,0)+3,"")</f>
        <v/>
      </c>
      <c r="F202" s="12" t="str">
        <f>IF(C202="","",IF(C202="Match",INDEX('Match Log'!$B:$B,D202),IF(C202="Tournament",INDEX('Tournament Log'!$C:$C,E202),INDEX('Guest Log'!$B:$B,Q202))))</f>
        <v/>
      </c>
      <c r="G202" s="12" t="str">
        <f>IF(C202="","",IF(C202="Match",INDEX('Match Log'!$C:$C,D202),IF(C202="Tournament",INDEX('Tournament Log'!$B:$B,E202)&amp;" (Phantom)",INDEX('Guest Log'!$H:$H,Q202)&amp;" (Guest)")))</f>
        <v/>
      </c>
      <c r="H202" s="32" t="str">
        <f t="array" ref="H202">IF(C202="","",IFERROR(LOOKUP(2,1/(($F$1:F201=F202)+($G$1:G201=F202)),IF($F$1:F201=F202,$N$1:N201,$O$1:O201)),1000))</f>
        <v/>
      </c>
      <c r="I202" s="12" t="str">
        <f t="array" ref="I202">IF(C202="","",IF(C202="Tournament",INDEX('Tournament Log'!$J:$J,E202),IF(C202="Guest",IF(INDEX('Guest Log'!$I:$I,Q202)="",1000,INDEX('Guest Log'!$I:$I,Q202)),IFERROR(LOOKUP(2,1/(($F$1:F201=G202)+($G$1:G201=G202)),IF($F$1:F201=G202,$N$1:N201,$O$1:O201)),1000))))</f>
        <v/>
      </c>
      <c r="J202" s="12" t="str">
        <f t="shared" si="16"/>
        <v/>
      </c>
      <c r="K202" s="12" t="str">
        <f>IF(C202="","",IF(C202="Match",IF(INDEX('Match Log'!$D:$D,D202)="Win",1,IF(INDEX('Match Log'!$D:$D,D202)="Draw",0.5,0)),IF(C202="Tournament",INDEX('Tournament Log'!$K:$K,E202),IF(INDEX('Guest Log'!$C:$C,Q202)="Win",1,IF(INDEX('Guest Log'!$C:$C,Q202)="Draw",0.5,0)))))</f>
        <v/>
      </c>
      <c r="L202" s="12" t="str">
        <f>IF(C202="","",IF(C202="Match",32,IF(C202="Tournament",MIN(32*INDEX('Tournament Log'!$D:$D,E202),96),32)))</f>
        <v/>
      </c>
      <c r="M202" s="12" t="str">
        <f t="shared" si="17"/>
        <v/>
      </c>
      <c r="N202" s="12" t="str">
        <f t="shared" si="18"/>
        <v/>
      </c>
      <c r="O202" s="12" t="str">
        <f t="shared" si="19"/>
        <v/>
      </c>
      <c r="P202" s="12" t="str">
        <f>IF(C202="Tournament",INDEX('Tournament Log'!$B:$B,E202),IF(C202="Guest","Guest: "&amp;INDEX('Guest Log'!$H:$H,Q202),""))</f>
        <v/>
      </c>
      <c r="Q202" t="str">
        <f>IFERROR(MATCH($A202,'Guest Log'!$L$4:$L$203,0)+3,"")</f>
        <v/>
      </c>
    </row>
    <row r="203" spans="1:17" ht="15" customHeight="1" x14ac:dyDescent="0.2">
      <c r="A203" s="12">
        <f>202</f>
        <v>202</v>
      </c>
      <c r="B203" s="12" t="str">
        <f>IF(C203="","",IF(C203="Match",INDEX('Match Log'!$A:$A,D203),IF(C203="Tournament",INDEX('Tournament Log'!$A:$A,E203),INDEX('Guest Log'!$A:$A,Q203))))</f>
        <v/>
      </c>
      <c r="C203" s="12" t="str">
        <f t="shared" si="15"/>
        <v/>
      </c>
      <c r="D203" s="31" t="str">
        <f>IFERROR(MATCH($A203,'Match Log'!$K$3:$K$501,0)+2,"")</f>
        <v/>
      </c>
      <c r="E203" s="31" t="str">
        <f>IFERROR(MATCH($A203,'Tournament Log'!$O$4:$O$203,0)+3,"")</f>
        <v/>
      </c>
      <c r="F203" s="12" t="str">
        <f>IF(C203="","",IF(C203="Match",INDEX('Match Log'!$B:$B,D203),IF(C203="Tournament",INDEX('Tournament Log'!$C:$C,E203),INDEX('Guest Log'!$B:$B,Q203))))</f>
        <v/>
      </c>
      <c r="G203" s="12" t="str">
        <f>IF(C203="","",IF(C203="Match",INDEX('Match Log'!$C:$C,D203),IF(C203="Tournament",INDEX('Tournament Log'!$B:$B,E203)&amp;" (Phantom)",INDEX('Guest Log'!$H:$H,Q203)&amp;" (Guest)")))</f>
        <v/>
      </c>
      <c r="H203" s="32" t="str">
        <f t="array" ref="H203">IF(C203="","",IFERROR(LOOKUP(2,1/(($F$1:F202=F203)+($G$1:G202=F203)),IF($F$1:F202=F203,$N$1:N202,$O$1:O202)),1000))</f>
        <v/>
      </c>
      <c r="I203" s="12" t="str">
        <f t="array" ref="I203">IF(C203="","",IF(C203="Tournament",INDEX('Tournament Log'!$J:$J,E203),IF(C203="Guest",IF(INDEX('Guest Log'!$I:$I,Q203)="",1000,INDEX('Guest Log'!$I:$I,Q203)),IFERROR(LOOKUP(2,1/(($F$1:F202=G203)+($G$1:G202=G203)),IF($F$1:F202=G203,$N$1:N202,$O$1:O202)),1000))))</f>
        <v/>
      </c>
      <c r="J203" s="12" t="str">
        <f t="shared" si="16"/>
        <v/>
      </c>
      <c r="K203" s="12" t="str">
        <f>IF(C203="","",IF(C203="Match",IF(INDEX('Match Log'!$D:$D,D203)="Win",1,IF(INDEX('Match Log'!$D:$D,D203)="Draw",0.5,0)),IF(C203="Tournament",INDEX('Tournament Log'!$K:$K,E203),IF(INDEX('Guest Log'!$C:$C,Q203)="Win",1,IF(INDEX('Guest Log'!$C:$C,Q203)="Draw",0.5,0)))))</f>
        <v/>
      </c>
      <c r="L203" s="12" t="str">
        <f>IF(C203="","",IF(C203="Match",32,IF(C203="Tournament",MIN(32*INDEX('Tournament Log'!$D:$D,E203),96),32)))</f>
        <v/>
      </c>
      <c r="M203" s="12" t="str">
        <f t="shared" si="17"/>
        <v/>
      </c>
      <c r="N203" s="12" t="str">
        <f t="shared" si="18"/>
        <v/>
      </c>
      <c r="O203" s="12" t="str">
        <f t="shared" si="19"/>
        <v/>
      </c>
      <c r="P203" s="12" t="str">
        <f>IF(C203="Tournament",INDEX('Tournament Log'!$B:$B,E203),IF(C203="Guest","Guest: "&amp;INDEX('Guest Log'!$H:$H,Q203),""))</f>
        <v/>
      </c>
      <c r="Q203" t="str">
        <f>IFERROR(MATCH($A203,'Guest Log'!$L$4:$L$203,0)+3,"")</f>
        <v/>
      </c>
    </row>
    <row r="204" spans="1:17" ht="15" customHeight="1" x14ac:dyDescent="0.2">
      <c r="A204" s="12">
        <f>203</f>
        <v>203</v>
      </c>
      <c r="B204" s="12" t="str">
        <f>IF(C204="","",IF(C204="Match",INDEX('Match Log'!$A:$A,D204),IF(C204="Tournament",INDEX('Tournament Log'!$A:$A,E204),INDEX('Guest Log'!$A:$A,Q204))))</f>
        <v/>
      </c>
      <c r="C204" s="12" t="str">
        <f t="shared" si="15"/>
        <v/>
      </c>
      <c r="D204" s="31" t="str">
        <f>IFERROR(MATCH($A204,'Match Log'!$K$3:$K$501,0)+2,"")</f>
        <v/>
      </c>
      <c r="E204" s="31" t="str">
        <f>IFERROR(MATCH($A204,'Tournament Log'!$O$4:$O$203,0)+3,"")</f>
        <v/>
      </c>
      <c r="F204" s="12" t="str">
        <f>IF(C204="","",IF(C204="Match",INDEX('Match Log'!$B:$B,D204),IF(C204="Tournament",INDEX('Tournament Log'!$C:$C,E204),INDEX('Guest Log'!$B:$B,Q204))))</f>
        <v/>
      </c>
      <c r="G204" s="12" t="str">
        <f>IF(C204="","",IF(C204="Match",INDEX('Match Log'!$C:$C,D204),IF(C204="Tournament",INDEX('Tournament Log'!$B:$B,E204)&amp;" (Phantom)",INDEX('Guest Log'!$H:$H,Q204)&amp;" (Guest)")))</f>
        <v/>
      </c>
      <c r="H204" s="32" t="str">
        <f t="array" ref="H204">IF(C204="","",IFERROR(LOOKUP(2,1/(($F$1:F203=F204)+($G$1:G203=F204)),IF($F$1:F203=F204,$N$1:N203,$O$1:O203)),1000))</f>
        <v/>
      </c>
      <c r="I204" s="12" t="str">
        <f t="array" ref="I204">IF(C204="","",IF(C204="Tournament",INDEX('Tournament Log'!$J:$J,E204),IF(C204="Guest",IF(INDEX('Guest Log'!$I:$I,Q204)="",1000,INDEX('Guest Log'!$I:$I,Q204)),IFERROR(LOOKUP(2,1/(($F$1:F203=G204)+($G$1:G203=G204)),IF($F$1:F203=G204,$N$1:N203,$O$1:O203)),1000))))</f>
        <v/>
      </c>
      <c r="J204" s="12" t="str">
        <f t="shared" si="16"/>
        <v/>
      </c>
      <c r="K204" s="12" t="str">
        <f>IF(C204="","",IF(C204="Match",IF(INDEX('Match Log'!$D:$D,D204)="Win",1,IF(INDEX('Match Log'!$D:$D,D204)="Draw",0.5,0)),IF(C204="Tournament",INDEX('Tournament Log'!$K:$K,E204),IF(INDEX('Guest Log'!$C:$C,Q204)="Win",1,IF(INDEX('Guest Log'!$C:$C,Q204)="Draw",0.5,0)))))</f>
        <v/>
      </c>
      <c r="L204" s="12" t="str">
        <f>IF(C204="","",IF(C204="Match",32,IF(C204="Tournament",MIN(32*INDEX('Tournament Log'!$D:$D,E204),96),32)))</f>
        <v/>
      </c>
      <c r="M204" s="12" t="str">
        <f t="shared" si="17"/>
        <v/>
      </c>
      <c r="N204" s="12" t="str">
        <f t="shared" si="18"/>
        <v/>
      </c>
      <c r="O204" s="12" t="str">
        <f t="shared" si="19"/>
        <v/>
      </c>
      <c r="P204" s="12" t="str">
        <f>IF(C204="Tournament",INDEX('Tournament Log'!$B:$B,E204),IF(C204="Guest","Guest: "&amp;INDEX('Guest Log'!$H:$H,Q204),""))</f>
        <v/>
      </c>
      <c r="Q204" t="str">
        <f>IFERROR(MATCH($A204,'Guest Log'!$L$4:$L$203,0)+3,"")</f>
        <v/>
      </c>
    </row>
    <row r="205" spans="1:17" ht="15" customHeight="1" x14ac:dyDescent="0.2">
      <c r="A205" s="12">
        <f>204</f>
        <v>204</v>
      </c>
      <c r="B205" s="12" t="str">
        <f>IF(C205="","",IF(C205="Match",INDEX('Match Log'!$A:$A,D205),IF(C205="Tournament",INDEX('Tournament Log'!$A:$A,E205),INDEX('Guest Log'!$A:$A,Q205))))</f>
        <v/>
      </c>
      <c r="C205" s="12" t="str">
        <f t="shared" si="15"/>
        <v/>
      </c>
      <c r="D205" s="31" t="str">
        <f>IFERROR(MATCH($A205,'Match Log'!$K$3:$K$501,0)+2,"")</f>
        <v/>
      </c>
      <c r="E205" s="31" t="str">
        <f>IFERROR(MATCH($A205,'Tournament Log'!$O$4:$O$203,0)+3,"")</f>
        <v/>
      </c>
      <c r="F205" s="12" t="str">
        <f>IF(C205="","",IF(C205="Match",INDEX('Match Log'!$B:$B,D205),IF(C205="Tournament",INDEX('Tournament Log'!$C:$C,E205),INDEX('Guest Log'!$B:$B,Q205))))</f>
        <v/>
      </c>
      <c r="G205" s="12" t="str">
        <f>IF(C205="","",IF(C205="Match",INDEX('Match Log'!$C:$C,D205),IF(C205="Tournament",INDEX('Tournament Log'!$B:$B,E205)&amp;" (Phantom)",INDEX('Guest Log'!$H:$H,Q205)&amp;" (Guest)")))</f>
        <v/>
      </c>
      <c r="H205" s="32" t="str">
        <f t="array" ref="H205">IF(C205="","",IFERROR(LOOKUP(2,1/(($F$1:F204=F205)+($G$1:G204=F205)),IF($F$1:F204=F205,$N$1:N204,$O$1:O204)),1000))</f>
        <v/>
      </c>
      <c r="I205" s="12" t="str">
        <f t="array" ref="I205">IF(C205="","",IF(C205="Tournament",INDEX('Tournament Log'!$J:$J,E205),IF(C205="Guest",IF(INDEX('Guest Log'!$I:$I,Q205)="",1000,INDEX('Guest Log'!$I:$I,Q205)),IFERROR(LOOKUP(2,1/(($F$1:F204=G205)+($G$1:G204=G205)),IF($F$1:F204=G205,$N$1:N204,$O$1:O204)),1000))))</f>
        <v/>
      </c>
      <c r="J205" s="12" t="str">
        <f t="shared" si="16"/>
        <v/>
      </c>
      <c r="K205" s="12" t="str">
        <f>IF(C205="","",IF(C205="Match",IF(INDEX('Match Log'!$D:$D,D205)="Win",1,IF(INDEX('Match Log'!$D:$D,D205)="Draw",0.5,0)),IF(C205="Tournament",INDEX('Tournament Log'!$K:$K,E205),IF(INDEX('Guest Log'!$C:$C,Q205)="Win",1,IF(INDEX('Guest Log'!$C:$C,Q205)="Draw",0.5,0)))))</f>
        <v/>
      </c>
      <c r="L205" s="12" t="str">
        <f>IF(C205="","",IF(C205="Match",32,IF(C205="Tournament",MIN(32*INDEX('Tournament Log'!$D:$D,E205),96),32)))</f>
        <v/>
      </c>
      <c r="M205" s="12" t="str">
        <f t="shared" si="17"/>
        <v/>
      </c>
      <c r="N205" s="12" t="str">
        <f t="shared" si="18"/>
        <v/>
      </c>
      <c r="O205" s="12" t="str">
        <f t="shared" si="19"/>
        <v/>
      </c>
      <c r="P205" s="12" t="str">
        <f>IF(C205="Tournament",INDEX('Tournament Log'!$B:$B,E205),IF(C205="Guest","Guest: "&amp;INDEX('Guest Log'!$H:$H,Q205),""))</f>
        <v/>
      </c>
      <c r="Q205" t="str">
        <f>IFERROR(MATCH($A205,'Guest Log'!$L$4:$L$203,0)+3,"")</f>
        <v/>
      </c>
    </row>
    <row r="206" spans="1:17" ht="15" customHeight="1" x14ac:dyDescent="0.2">
      <c r="A206" s="12">
        <f>205</f>
        <v>205</v>
      </c>
      <c r="B206" s="12" t="str">
        <f>IF(C206="","",IF(C206="Match",INDEX('Match Log'!$A:$A,D206),IF(C206="Tournament",INDEX('Tournament Log'!$A:$A,E206),INDEX('Guest Log'!$A:$A,Q206))))</f>
        <v/>
      </c>
      <c r="C206" s="12" t="str">
        <f t="shared" si="15"/>
        <v/>
      </c>
      <c r="D206" s="31" t="str">
        <f>IFERROR(MATCH($A206,'Match Log'!$K$3:$K$501,0)+2,"")</f>
        <v/>
      </c>
      <c r="E206" s="31" t="str">
        <f>IFERROR(MATCH($A206,'Tournament Log'!$O$4:$O$203,0)+3,"")</f>
        <v/>
      </c>
      <c r="F206" s="12" t="str">
        <f>IF(C206="","",IF(C206="Match",INDEX('Match Log'!$B:$B,D206),IF(C206="Tournament",INDEX('Tournament Log'!$C:$C,E206),INDEX('Guest Log'!$B:$B,Q206))))</f>
        <v/>
      </c>
      <c r="G206" s="12" t="str">
        <f>IF(C206="","",IF(C206="Match",INDEX('Match Log'!$C:$C,D206),IF(C206="Tournament",INDEX('Tournament Log'!$B:$B,E206)&amp;" (Phantom)",INDEX('Guest Log'!$H:$H,Q206)&amp;" (Guest)")))</f>
        <v/>
      </c>
      <c r="H206" s="32" t="str">
        <f t="array" ref="H206">IF(C206="","",IFERROR(LOOKUP(2,1/(($F$1:F205=F206)+($G$1:G205=F206)),IF($F$1:F205=F206,$N$1:N205,$O$1:O205)),1000))</f>
        <v/>
      </c>
      <c r="I206" s="12" t="str">
        <f t="array" ref="I206">IF(C206="","",IF(C206="Tournament",INDEX('Tournament Log'!$J:$J,E206),IF(C206="Guest",IF(INDEX('Guest Log'!$I:$I,Q206)="",1000,INDEX('Guest Log'!$I:$I,Q206)),IFERROR(LOOKUP(2,1/(($F$1:F205=G206)+($G$1:G205=G206)),IF($F$1:F205=G206,$N$1:N205,$O$1:O205)),1000))))</f>
        <v/>
      </c>
      <c r="J206" s="12" t="str">
        <f t="shared" si="16"/>
        <v/>
      </c>
      <c r="K206" s="12" t="str">
        <f>IF(C206="","",IF(C206="Match",IF(INDEX('Match Log'!$D:$D,D206)="Win",1,IF(INDEX('Match Log'!$D:$D,D206)="Draw",0.5,0)),IF(C206="Tournament",INDEX('Tournament Log'!$K:$K,E206),IF(INDEX('Guest Log'!$C:$C,Q206)="Win",1,IF(INDEX('Guest Log'!$C:$C,Q206)="Draw",0.5,0)))))</f>
        <v/>
      </c>
      <c r="L206" s="12" t="str">
        <f>IF(C206="","",IF(C206="Match",32,IF(C206="Tournament",MIN(32*INDEX('Tournament Log'!$D:$D,E206),96),32)))</f>
        <v/>
      </c>
      <c r="M206" s="12" t="str">
        <f t="shared" si="17"/>
        <v/>
      </c>
      <c r="N206" s="12" t="str">
        <f t="shared" si="18"/>
        <v/>
      </c>
      <c r="O206" s="12" t="str">
        <f t="shared" si="19"/>
        <v/>
      </c>
      <c r="P206" s="12" t="str">
        <f>IF(C206="Tournament",INDEX('Tournament Log'!$B:$B,E206),IF(C206="Guest","Guest: "&amp;INDEX('Guest Log'!$H:$H,Q206),""))</f>
        <v/>
      </c>
      <c r="Q206" t="str">
        <f>IFERROR(MATCH($A206,'Guest Log'!$L$4:$L$203,0)+3,"")</f>
        <v/>
      </c>
    </row>
    <row r="207" spans="1:17" ht="15" customHeight="1" x14ac:dyDescent="0.2">
      <c r="A207" s="12">
        <f>206</f>
        <v>206</v>
      </c>
      <c r="B207" s="12" t="str">
        <f>IF(C207="","",IF(C207="Match",INDEX('Match Log'!$A:$A,D207),IF(C207="Tournament",INDEX('Tournament Log'!$A:$A,E207),INDEX('Guest Log'!$A:$A,Q207))))</f>
        <v/>
      </c>
      <c r="C207" s="12" t="str">
        <f t="shared" si="15"/>
        <v/>
      </c>
      <c r="D207" s="31" t="str">
        <f>IFERROR(MATCH($A207,'Match Log'!$K$3:$K$501,0)+2,"")</f>
        <v/>
      </c>
      <c r="E207" s="31" t="str">
        <f>IFERROR(MATCH($A207,'Tournament Log'!$O$4:$O$203,0)+3,"")</f>
        <v/>
      </c>
      <c r="F207" s="12" t="str">
        <f>IF(C207="","",IF(C207="Match",INDEX('Match Log'!$B:$B,D207),IF(C207="Tournament",INDEX('Tournament Log'!$C:$C,E207),INDEX('Guest Log'!$B:$B,Q207))))</f>
        <v/>
      </c>
      <c r="G207" s="12" t="str">
        <f>IF(C207="","",IF(C207="Match",INDEX('Match Log'!$C:$C,D207),IF(C207="Tournament",INDEX('Tournament Log'!$B:$B,E207)&amp;" (Phantom)",INDEX('Guest Log'!$H:$H,Q207)&amp;" (Guest)")))</f>
        <v/>
      </c>
      <c r="H207" s="32" t="str">
        <f t="array" ref="H207">IF(C207="","",IFERROR(LOOKUP(2,1/(($F$1:F206=F207)+($G$1:G206=F207)),IF($F$1:F206=F207,$N$1:N206,$O$1:O206)),1000))</f>
        <v/>
      </c>
      <c r="I207" s="12" t="str">
        <f t="array" ref="I207">IF(C207="","",IF(C207="Tournament",INDEX('Tournament Log'!$J:$J,E207),IF(C207="Guest",IF(INDEX('Guest Log'!$I:$I,Q207)="",1000,INDEX('Guest Log'!$I:$I,Q207)),IFERROR(LOOKUP(2,1/(($F$1:F206=G207)+($G$1:G206=G207)),IF($F$1:F206=G207,$N$1:N206,$O$1:O206)),1000))))</f>
        <v/>
      </c>
      <c r="J207" s="12" t="str">
        <f t="shared" si="16"/>
        <v/>
      </c>
      <c r="K207" s="12" t="str">
        <f>IF(C207="","",IF(C207="Match",IF(INDEX('Match Log'!$D:$D,D207)="Win",1,IF(INDEX('Match Log'!$D:$D,D207)="Draw",0.5,0)),IF(C207="Tournament",INDEX('Tournament Log'!$K:$K,E207),IF(INDEX('Guest Log'!$C:$C,Q207)="Win",1,IF(INDEX('Guest Log'!$C:$C,Q207)="Draw",0.5,0)))))</f>
        <v/>
      </c>
      <c r="L207" s="12" t="str">
        <f>IF(C207="","",IF(C207="Match",32,IF(C207="Tournament",MIN(32*INDEX('Tournament Log'!$D:$D,E207),96),32)))</f>
        <v/>
      </c>
      <c r="M207" s="12" t="str">
        <f t="shared" si="17"/>
        <v/>
      </c>
      <c r="N207" s="12" t="str">
        <f t="shared" si="18"/>
        <v/>
      </c>
      <c r="O207" s="12" t="str">
        <f t="shared" si="19"/>
        <v/>
      </c>
      <c r="P207" s="12" t="str">
        <f>IF(C207="Tournament",INDEX('Tournament Log'!$B:$B,E207),IF(C207="Guest","Guest: "&amp;INDEX('Guest Log'!$H:$H,Q207),""))</f>
        <v/>
      </c>
      <c r="Q207" t="str">
        <f>IFERROR(MATCH($A207,'Guest Log'!$L$4:$L$203,0)+3,"")</f>
        <v/>
      </c>
    </row>
    <row r="208" spans="1:17" ht="15" customHeight="1" x14ac:dyDescent="0.2">
      <c r="A208" s="12">
        <f>207</f>
        <v>207</v>
      </c>
      <c r="B208" s="12" t="str">
        <f>IF(C208="","",IF(C208="Match",INDEX('Match Log'!$A:$A,D208),IF(C208="Tournament",INDEX('Tournament Log'!$A:$A,E208),INDEX('Guest Log'!$A:$A,Q208))))</f>
        <v/>
      </c>
      <c r="C208" s="12" t="str">
        <f t="shared" si="15"/>
        <v/>
      </c>
      <c r="D208" s="31" t="str">
        <f>IFERROR(MATCH($A208,'Match Log'!$K$3:$K$501,0)+2,"")</f>
        <v/>
      </c>
      <c r="E208" s="31" t="str">
        <f>IFERROR(MATCH($A208,'Tournament Log'!$O$4:$O$203,0)+3,"")</f>
        <v/>
      </c>
      <c r="F208" s="12" t="str">
        <f>IF(C208="","",IF(C208="Match",INDEX('Match Log'!$B:$B,D208),IF(C208="Tournament",INDEX('Tournament Log'!$C:$C,E208),INDEX('Guest Log'!$B:$B,Q208))))</f>
        <v/>
      </c>
      <c r="G208" s="12" t="str">
        <f>IF(C208="","",IF(C208="Match",INDEX('Match Log'!$C:$C,D208),IF(C208="Tournament",INDEX('Tournament Log'!$B:$B,E208)&amp;" (Phantom)",INDEX('Guest Log'!$H:$H,Q208)&amp;" (Guest)")))</f>
        <v/>
      </c>
      <c r="H208" s="32" t="str">
        <f t="array" ref="H208">IF(C208="","",IFERROR(LOOKUP(2,1/(($F$1:F207=F208)+($G$1:G207=F208)),IF($F$1:F207=F208,$N$1:N207,$O$1:O207)),1000))</f>
        <v/>
      </c>
      <c r="I208" s="12" t="str">
        <f t="array" ref="I208">IF(C208="","",IF(C208="Tournament",INDEX('Tournament Log'!$J:$J,E208),IF(C208="Guest",IF(INDEX('Guest Log'!$I:$I,Q208)="",1000,INDEX('Guest Log'!$I:$I,Q208)),IFERROR(LOOKUP(2,1/(($F$1:F207=G208)+($G$1:G207=G208)),IF($F$1:F207=G208,$N$1:N207,$O$1:O207)),1000))))</f>
        <v/>
      </c>
      <c r="J208" s="12" t="str">
        <f t="shared" si="16"/>
        <v/>
      </c>
      <c r="K208" s="12" t="str">
        <f>IF(C208="","",IF(C208="Match",IF(INDEX('Match Log'!$D:$D,D208)="Win",1,IF(INDEX('Match Log'!$D:$D,D208)="Draw",0.5,0)),IF(C208="Tournament",INDEX('Tournament Log'!$K:$K,E208),IF(INDEX('Guest Log'!$C:$C,Q208)="Win",1,IF(INDEX('Guest Log'!$C:$C,Q208)="Draw",0.5,0)))))</f>
        <v/>
      </c>
      <c r="L208" s="12" t="str">
        <f>IF(C208="","",IF(C208="Match",32,IF(C208="Tournament",MIN(32*INDEX('Tournament Log'!$D:$D,E208),96),32)))</f>
        <v/>
      </c>
      <c r="M208" s="12" t="str">
        <f t="shared" si="17"/>
        <v/>
      </c>
      <c r="N208" s="12" t="str">
        <f t="shared" si="18"/>
        <v/>
      </c>
      <c r="O208" s="12" t="str">
        <f t="shared" si="19"/>
        <v/>
      </c>
      <c r="P208" s="12" t="str">
        <f>IF(C208="Tournament",INDEX('Tournament Log'!$B:$B,E208),IF(C208="Guest","Guest: "&amp;INDEX('Guest Log'!$H:$H,Q208),""))</f>
        <v/>
      </c>
      <c r="Q208" t="str">
        <f>IFERROR(MATCH($A208,'Guest Log'!$L$4:$L$203,0)+3,"")</f>
        <v/>
      </c>
    </row>
    <row r="209" spans="1:17" ht="15" customHeight="1" x14ac:dyDescent="0.2">
      <c r="A209" s="12">
        <f>208</f>
        <v>208</v>
      </c>
      <c r="B209" s="12" t="str">
        <f>IF(C209="","",IF(C209="Match",INDEX('Match Log'!$A:$A,D209),IF(C209="Tournament",INDEX('Tournament Log'!$A:$A,E209),INDEX('Guest Log'!$A:$A,Q209))))</f>
        <v/>
      </c>
      <c r="C209" s="12" t="str">
        <f t="shared" si="15"/>
        <v/>
      </c>
      <c r="D209" s="31" t="str">
        <f>IFERROR(MATCH($A209,'Match Log'!$K$3:$K$501,0)+2,"")</f>
        <v/>
      </c>
      <c r="E209" s="31" t="str">
        <f>IFERROR(MATCH($A209,'Tournament Log'!$O$4:$O$203,0)+3,"")</f>
        <v/>
      </c>
      <c r="F209" s="12" t="str">
        <f>IF(C209="","",IF(C209="Match",INDEX('Match Log'!$B:$B,D209),IF(C209="Tournament",INDEX('Tournament Log'!$C:$C,E209),INDEX('Guest Log'!$B:$B,Q209))))</f>
        <v/>
      </c>
      <c r="G209" s="12" t="str">
        <f>IF(C209="","",IF(C209="Match",INDEX('Match Log'!$C:$C,D209),IF(C209="Tournament",INDEX('Tournament Log'!$B:$B,E209)&amp;" (Phantom)",INDEX('Guest Log'!$H:$H,Q209)&amp;" (Guest)")))</f>
        <v/>
      </c>
      <c r="H209" s="32" t="str">
        <f t="array" ref="H209">IF(C209="","",IFERROR(LOOKUP(2,1/(($F$1:F208=F209)+($G$1:G208=F209)),IF($F$1:F208=F209,$N$1:N208,$O$1:O208)),1000))</f>
        <v/>
      </c>
      <c r="I209" s="12" t="str">
        <f t="array" ref="I209">IF(C209="","",IF(C209="Tournament",INDEX('Tournament Log'!$J:$J,E209),IF(C209="Guest",IF(INDEX('Guest Log'!$I:$I,Q209)="",1000,INDEX('Guest Log'!$I:$I,Q209)),IFERROR(LOOKUP(2,1/(($F$1:F208=G209)+($G$1:G208=G209)),IF($F$1:F208=G209,$N$1:N208,$O$1:O208)),1000))))</f>
        <v/>
      </c>
      <c r="J209" s="12" t="str">
        <f t="shared" si="16"/>
        <v/>
      </c>
      <c r="K209" s="12" t="str">
        <f>IF(C209="","",IF(C209="Match",IF(INDEX('Match Log'!$D:$D,D209)="Win",1,IF(INDEX('Match Log'!$D:$D,D209)="Draw",0.5,0)),IF(C209="Tournament",INDEX('Tournament Log'!$K:$K,E209),IF(INDEX('Guest Log'!$C:$C,Q209)="Win",1,IF(INDEX('Guest Log'!$C:$C,Q209)="Draw",0.5,0)))))</f>
        <v/>
      </c>
      <c r="L209" s="12" t="str">
        <f>IF(C209="","",IF(C209="Match",32,IF(C209="Tournament",MIN(32*INDEX('Tournament Log'!$D:$D,E209),96),32)))</f>
        <v/>
      </c>
      <c r="M209" s="12" t="str">
        <f t="shared" si="17"/>
        <v/>
      </c>
      <c r="N209" s="12" t="str">
        <f t="shared" si="18"/>
        <v/>
      </c>
      <c r="O209" s="12" t="str">
        <f t="shared" si="19"/>
        <v/>
      </c>
      <c r="P209" s="12" t="str">
        <f>IF(C209="Tournament",INDEX('Tournament Log'!$B:$B,E209),IF(C209="Guest","Guest: "&amp;INDEX('Guest Log'!$H:$H,Q209),""))</f>
        <v/>
      </c>
      <c r="Q209" t="str">
        <f>IFERROR(MATCH($A209,'Guest Log'!$L$4:$L$203,0)+3,"")</f>
        <v/>
      </c>
    </row>
    <row r="210" spans="1:17" ht="15" customHeight="1" x14ac:dyDescent="0.2">
      <c r="A210" s="12">
        <f>209</f>
        <v>209</v>
      </c>
      <c r="B210" s="12" t="str">
        <f>IF(C210="","",IF(C210="Match",INDEX('Match Log'!$A:$A,D210),IF(C210="Tournament",INDEX('Tournament Log'!$A:$A,E210),INDEX('Guest Log'!$A:$A,Q210))))</f>
        <v/>
      </c>
      <c r="C210" s="12" t="str">
        <f t="shared" si="15"/>
        <v/>
      </c>
      <c r="D210" s="31" t="str">
        <f>IFERROR(MATCH($A210,'Match Log'!$K$3:$K$501,0)+2,"")</f>
        <v/>
      </c>
      <c r="E210" s="31" t="str">
        <f>IFERROR(MATCH($A210,'Tournament Log'!$O$4:$O$203,0)+3,"")</f>
        <v/>
      </c>
      <c r="F210" s="12" t="str">
        <f>IF(C210="","",IF(C210="Match",INDEX('Match Log'!$B:$B,D210),IF(C210="Tournament",INDEX('Tournament Log'!$C:$C,E210),INDEX('Guest Log'!$B:$B,Q210))))</f>
        <v/>
      </c>
      <c r="G210" s="12" t="str">
        <f>IF(C210="","",IF(C210="Match",INDEX('Match Log'!$C:$C,D210),IF(C210="Tournament",INDEX('Tournament Log'!$B:$B,E210)&amp;" (Phantom)",INDEX('Guest Log'!$H:$H,Q210)&amp;" (Guest)")))</f>
        <v/>
      </c>
      <c r="H210" s="32" t="str">
        <f t="array" ref="H210">IF(C210="","",IFERROR(LOOKUP(2,1/(($F$1:F209=F210)+($G$1:G209=F210)),IF($F$1:F209=F210,$N$1:N209,$O$1:O209)),1000))</f>
        <v/>
      </c>
      <c r="I210" s="12" t="str">
        <f t="array" ref="I210">IF(C210="","",IF(C210="Tournament",INDEX('Tournament Log'!$J:$J,E210),IF(C210="Guest",IF(INDEX('Guest Log'!$I:$I,Q210)="",1000,INDEX('Guest Log'!$I:$I,Q210)),IFERROR(LOOKUP(2,1/(($F$1:F209=G210)+($G$1:G209=G210)),IF($F$1:F209=G210,$N$1:N209,$O$1:O209)),1000))))</f>
        <v/>
      </c>
      <c r="J210" s="12" t="str">
        <f t="shared" si="16"/>
        <v/>
      </c>
      <c r="K210" s="12" t="str">
        <f>IF(C210="","",IF(C210="Match",IF(INDEX('Match Log'!$D:$D,D210)="Win",1,IF(INDEX('Match Log'!$D:$D,D210)="Draw",0.5,0)),IF(C210="Tournament",INDEX('Tournament Log'!$K:$K,E210),IF(INDEX('Guest Log'!$C:$C,Q210)="Win",1,IF(INDEX('Guest Log'!$C:$C,Q210)="Draw",0.5,0)))))</f>
        <v/>
      </c>
      <c r="L210" s="12" t="str">
        <f>IF(C210="","",IF(C210="Match",32,IF(C210="Tournament",MIN(32*INDEX('Tournament Log'!$D:$D,E210),96),32)))</f>
        <v/>
      </c>
      <c r="M210" s="12" t="str">
        <f t="shared" si="17"/>
        <v/>
      </c>
      <c r="N210" s="12" t="str">
        <f t="shared" si="18"/>
        <v/>
      </c>
      <c r="O210" s="12" t="str">
        <f t="shared" si="19"/>
        <v/>
      </c>
      <c r="P210" s="12" t="str">
        <f>IF(C210="Tournament",INDEX('Tournament Log'!$B:$B,E210),IF(C210="Guest","Guest: "&amp;INDEX('Guest Log'!$H:$H,Q210),""))</f>
        <v/>
      </c>
      <c r="Q210" t="str">
        <f>IFERROR(MATCH($A210,'Guest Log'!$L$4:$L$203,0)+3,"")</f>
        <v/>
      </c>
    </row>
    <row r="211" spans="1:17" ht="15" customHeight="1" x14ac:dyDescent="0.2">
      <c r="A211" s="12">
        <f>210</f>
        <v>210</v>
      </c>
      <c r="B211" s="12" t="str">
        <f>IF(C211="","",IF(C211="Match",INDEX('Match Log'!$A:$A,D211),IF(C211="Tournament",INDEX('Tournament Log'!$A:$A,E211),INDEX('Guest Log'!$A:$A,Q211))))</f>
        <v/>
      </c>
      <c r="C211" s="12" t="str">
        <f t="shared" si="15"/>
        <v/>
      </c>
      <c r="D211" s="31" t="str">
        <f>IFERROR(MATCH($A211,'Match Log'!$K$3:$K$501,0)+2,"")</f>
        <v/>
      </c>
      <c r="E211" s="31" t="str">
        <f>IFERROR(MATCH($A211,'Tournament Log'!$O$4:$O$203,0)+3,"")</f>
        <v/>
      </c>
      <c r="F211" s="12" t="str">
        <f>IF(C211="","",IF(C211="Match",INDEX('Match Log'!$B:$B,D211),IF(C211="Tournament",INDEX('Tournament Log'!$C:$C,E211),INDEX('Guest Log'!$B:$B,Q211))))</f>
        <v/>
      </c>
      <c r="G211" s="12" t="str">
        <f>IF(C211="","",IF(C211="Match",INDEX('Match Log'!$C:$C,D211),IF(C211="Tournament",INDEX('Tournament Log'!$B:$B,E211)&amp;" (Phantom)",INDEX('Guest Log'!$H:$H,Q211)&amp;" (Guest)")))</f>
        <v/>
      </c>
      <c r="H211" s="32" t="str">
        <f t="array" ref="H211">IF(C211="","",IFERROR(LOOKUP(2,1/(($F$1:F210=F211)+($G$1:G210=F211)),IF($F$1:F210=F211,$N$1:N210,$O$1:O210)),1000))</f>
        <v/>
      </c>
      <c r="I211" s="12" t="str">
        <f t="array" ref="I211">IF(C211="","",IF(C211="Tournament",INDEX('Tournament Log'!$J:$J,E211),IF(C211="Guest",IF(INDEX('Guest Log'!$I:$I,Q211)="",1000,INDEX('Guest Log'!$I:$I,Q211)),IFERROR(LOOKUP(2,1/(($F$1:F210=G211)+($G$1:G210=G211)),IF($F$1:F210=G211,$N$1:N210,$O$1:O210)),1000))))</f>
        <v/>
      </c>
      <c r="J211" s="12" t="str">
        <f t="shared" si="16"/>
        <v/>
      </c>
      <c r="K211" s="12" t="str">
        <f>IF(C211="","",IF(C211="Match",IF(INDEX('Match Log'!$D:$D,D211)="Win",1,IF(INDEX('Match Log'!$D:$D,D211)="Draw",0.5,0)),IF(C211="Tournament",INDEX('Tournament Log'!$K:$K,E211),IF(INDEX('Guest Log'!$C:$C,Q211)="Win",1,IF(INDEX('Guest Log'!$C:$C,Q211)="Draw",0.5,0)))))</f>
        <v/>
      </c>
      <c r="L211" s="12" t="str">
        <f>IF(C211="","",IF(C211="Match",32,IF(C211="Tournament",MIN(32*INDEX('Tournament Log'!$D:$D,E211),96),32)))</f>
        <v/>
      </c>
      <c r="M211" s="12" t="str">
        <f t="shared" si="17"/>
        <v/>
      </c>
      <c r="N211" s="12" t="str">
        <f t="shared" si="18"/>
        <v/>
      </c>
      <c r="O211" s="12" t="str">
        <f t="shared" si="19"/>
        <v/>
      </c>
      <c r="P211" s="12" t="str">
        <f>IF(C211="Tournament",INDEX('Tournament Log'!$B:$B,E211),IF(C211="Guest","Guest: "&amp;INDEX('Guest Log'!$H:$H,Q211),""))</f>
        <v/>
      </c>
      <c r="Q211" t="str">
        <f>IFERROR(MATCH($A211,'Guest Log'!$L$4:$L$203,0)+3,"")</f>
        <v/>
      </c>
    </row>
    <row r="212" spans="1:17" ht="15" customHeight="1" x14ac:dyDescent="0.2">
      <c r="A212" s="12">
        <f>211</f>
        <v>211</v>
      </c>
      <c r="B212" s="12" t="str">
        <f>IF(C212="","",IF(C212="Match",INDEX('Match Log'!$A:$A,D212),IF(C212="Tournament",INDEX('Tournament Log'!$A:$A,E212),INDEX('Guest Log'!$A:$A,Q212))))</f>
        <v/>
      </c>
      <c r="C212" s="12" t="str">
        <f t="shared" si="15"/>
        <v/>
      </c>
      <c r="D212" s="31" t="str">
        <f>IFERROR(MATCH($A212,'Match Log'!$K$3:$K$501,0)+2,"")</f>
        <v/>
      </c>
      <c r="E212" s="31" t="str">
        <f>IFERROR(MATCH($A212,'Tournament Log'!$O$4:$O$203,0)+3,"")</f>
        <v/>
      </c>
      <c r="F212" s="12" t="str">
        <f>IF(C212="","",IF(C212="Match",INDEX('Match Log'!$B:$B,D212),IF(C212="Tournament",INDEX('Tournament Log'!$C:$C,E212),INDEX('Guest Log'!$B:$B,Q212))))</f>
        <v/>
      </c>
      <c r="G212" s="12" t="str">
        <f>IF(C212="","",IF(C212="Match",INDEX('Match Log'!$C:$C,D212),IF(C212="Tournament",INDEX('Tournament Log'!$B:$B,E212)&amp;" (Phantom)",INDEX('Guest Log'!$H:$H,Q212)&amp;" (Guest)")))</f>
        <v/>
      </c>
      <c r="H212" s="32" t="str">
        <f t="array" ref="H212">IF(C212="","",IFERROR(LOOKUP(2,1/(($F$1:F211=F212)+($G$1:G211=F212)),IF($F$1:F211=F212,$N$1:N211,$O$1:O211)),1000))</f>
        <v/>
      </c>
      <c r="I212" s="12" t="str">
        <f t="array" ref="I212">IF(C212="","",IF(C212="Tournament",INDEX('Tournament Log'!$J:$J,E212),IF(C212="Guest",IF(INDEX('Guest Log'!$I:$I,Q212)="",1000,INDEX('Guest Log'!$I:$I,Q212)),IFERROR(LOOKUP(2,1/(($F$1:F211=G212)+($G$1:G211=G212)),IF($F$1:F211=G212,$N$1:N211,$O$1:O211)),1000))))</f>
        <v/>
      </c>
      <c r="J212" s="12" t="str">
        <f t="shared" si="16"/>
        <v/>
      </c>
      <c r="K212" s="12" t="str">
        <f>IF(C212="","",IF(C212="Match",IF(INDEX('Match Log'!$D:$D,D212)="Win",1,IF(INDEX('Match Log'!$D:$D,D212)="Draw",0.5,0)),IF(C212="Tournament",INDEX('Tournament Log'!$K:$K,E212),IF(INDEX('Guest Log'!$C:$C,Q212)="Win",1,IF(INDEX('Guest Log'!$C:$C,Q212)="Draw",0.5,0)))))</f>
        <v/>
      </c>
      <c r="L212" s="12" t="str">
        <f>IF(C212="","",IF(C212="Match",32,IF(C212="Tournament",MIN(32*INDEX('Tournament Log'!$D:$D,E212),96),32)))</f>
        <v/>
      </c>
      <c r="M212" s="12" t="str">
        <f t="shared" si="17"/>
        <v/>
      </c>
      <c r="N212" s="12" t="str">
        <f t="shared" si="18"/>
        <v/>
      </c>
      <c r="O212" s="12" t="str">
        <f t="shared" si="19"/>
        <v/>
      </c>
      <c r="P212" s="12" t="str">
        <f>IF(C212="Tournament",INDEX('Tournament Log'!$B:$B,E212),IF(C212="Guest","Guest: "&amp;INDEX('Guest Log'!$H:$H,Q212),""))</f>
        <v/>
      </c>
      <c r="Q212" t="str">
        <f>IFERROR(MATCH($A212,'Guest Log'!$L$4:$L$203,0)+3,"")</f>
        <v/>
      </c>
    </row>
    <row r="213" spans="1:17" ht="15" customHeight="1" x14ac:dyDescent="0.2">
      <c r="A213" s="12">
        <f>212</f>
        <v>212</v>
      </c>
      <c r="B213" s="12" t="str">
        <f>IF(C213="","",IF(C213="Match",INDEX('Match Log'!$A:$A,D213),IF(C213="Tournament",INDEX('Tournament Log'!$A:$A,E213),INDEX('Guest Log'!$A:$A,Q213))))</f>
        <v/>
      </c>
      <c r="C213" s="12" t="str">
        <f t="shared" si="15"/>
        <v/>
      </c>
      <c r="D213" s="31" t="str">
        <f>IFERROR(MATCH($A213,'Match Log'!$K$3:$K$501,0)+2,"")</f>
        <v/>
      </c>
      <c r="E213" s="31" t="str">
        <f>IFERROR(MATCH($A213,'Tournament Log'!$O$4:$O$203,0)+3,"")</f>
        <v/>
      </c>
      <c r="F213" s="12" t="str">
        <f>IF(C213="","",IF(C213="Match",INDEX('Match Log'!$B:$B,D213),IF(C213="Tournament",INDEX('Tournament Log'!$C:$C,E213),INDEX('Guest Log'!$B:$B,Q213))))</f>
        <v/>
      </c>
      <c r="G213" s="12" t="str">
        <f>IF(C213="","",IF(C213="Match",INDEX('Match Log'!$C:$C,D213),IF(C213="Tournament",INDEX('Tournament Log'!$B:$B,E213)&amp;" (Phantom)",INDEX('Guest Log'!$H:$H,Q213)&amp;" (Guest)")))</f>
        <v/>
      </c>
      <c r="H213" s="32" t="str">
        <f t="array" ref="H213">IF(C213="","",IFERROR(LOOKUP(2,1/(($F$1:F212=F213)+($G$1:G212=F213)),IF($F$1:F212=F213,$N$1:N212,$O$1:O212)),1000))</f>
        <v/>
      </c>
      <c r="I213" s="12" t="str">
        <f t="array" ref="I213">IF(C213="","",IF(C213="Tournament",INDEX('Tournament Log'!$J:$J,E213),IF(C213="Guest",IF(INDEX('Guest Log'!$I:$I,Q213)="",1000,INDEX('Guest Log'!$I:$I,Q213)),IFERROR(LOOKUP(2,1/(($F$1:F212=G213)+($G$1:G212=G213)),IF($F$1:F212=G213,$N$1:N212,$O$1:O212)),1000))))</f>
        <v/>
      </c>
      <c r="J213" s="12" t="str">
        <f t="shared" si="16"/>
        <v/>
      </c>
      <c r="K213" s="12" t="str">
        <f>IF(C213="","",IF(C213="Match",IF(INDEX('Match Log'!$D:$D,D213)="Win",1,IF(INDEX('Match Log'!$D:$D,D213)="Draw",0.5,0)),IF(C213="Tournament",INDEX('Tournament Log'!$K:$K,E213),IF(INDEX('Guest Log'!$C:$C,Q213)="Win",1,IF(INDEX('Guest Log'!$C:$C,Q213)="Draw",0.5,0)))))</f>
        <v/>
      </c>
      <c r="L213" s="12" t="str">
        <f>IF(C213="","",IF(C213="Match",32,IF(C213="Tournament",MIN(32*INDEX('Tournament Log'!$D:$D,E213),96),32)))</f>
        <v/>
      </c>
      <c r="M213" s="12" t="str">
        <f t="shared" si="17"/>
        <v/>
      </c>
      <c r="N213" s="12" t="str">
        <f t="shared" si="18"/>
        <v/>
      </c>
      <c r="O213" s="12" t="str">
        <f t="shared" si="19"/>
        <v/>
      </c>
      <c r="P213" s="12" t="str">
        <f>IF(C213="Tournament",INDEX('Tournament Log'!$B:$B,E213),IF(C213="Guest","Guest: "&amp;INDEX('Guest Log'!$H:$H,Q213),""))</f>
        <v/>
      </c>
      <c r="Q213" t="str">
        <f>IFERROR(MATCH($A213,'Guest Log'!$L$4:$L$203,0)+3,"")</f>
        <v/>
      </c>
    </row>
    <row r="214" spans="1:17" ht="15" customHeight="1" x14ac:dyDescent="0.2">
      <c r="A214" s="12">
        <f>213</f>
        <v>213</v>
      </c>
      <c r="B214" s="12" t="str">
        <f>IF(C214="","",IF(C214="Match",INDEX('Match Log'!$A:$A,D214),IF(C214="Tournament",INDEX('Tournament Log'!$A:$A,E214),INDEX('Guest Log'!$A:$A,Q214))))</f>
        <v/>
      </c>
      <c r="C214" s="12" t="str">
        <f t="shared" si="15"/>
        <v/>
      </c>
      <c r="D214" s="31" t="str">
        <f>IFERROR(MATCH($A214,'Match Log'!$K$3:$K$501,0)+2,"")</f>
        <v/>
      </c>
      <c r="E214" s="31" t="str">
        <f>IFERROR(MATCH($A214,'Tournament Log'!$O$4:$O$203,0)+3,"")</f>
        <v/>
      </c>
      <c r="F214" s="12" t="str">
        <f>IF(C214="","",IF(C214="Match",INDEX('Match Log'!$B:$B,D214),IF(C214="Tournament",INDEX('Tournament Log'!$C:$C,E214),INDEX('Guest Log'!$B:$B,Q214))))</f>
        <v/>
      </c>
      <c r="G214" s="12" t="str">
        <f>IF(C214="","",IF(C214="Match",INDEX('Match Log'!$C:$C,D214),IF(C214="Tournament",INDEX('Tournament Log'!$B:$B,E214)&amp;" (Phantom)",INDEX('Guest Log'!$H:$H,Q214)&amp;" (Guest)")))</f>
        <v/>
      </c>
      <c r="H214" s="32" t="str">
        <f t="array" ref="H214">IF(C214="","",IFERROR(LOOKUP(2,1/(($F$1:F213=F214)+($G$1:G213=F214)),IF($F$1:F213=F214,$N$1:N213,$O$1:O213)),1000))</f>
        <v/>
      </c>
      <c r="I214" s="12" t="str">
        <f t="array" ref="I214">IF(C214="","",IF(C214="Tournament",INDEX('Tournament Log'!$J:$J,E214),IF(C214="Guest",IF(INDEX('Guest Log'!$I:$I,Q214)="",1000,INDEX('Guest Log'!$I:$I,Q214)),IFERROR(LOOKUP(2,1/(($F$1:F213=G214)+($G$1:G213=G214)),IF($F$1:F213=G214,$N$1:N213,$O$1:O213)),1000))))</f>
        <v/>
      </c>
      <c r="J214" s="12" t="str">
        <f t="shared" si="16"/>
        <v/>
      </c>
      <c r="K214" s="12" t="str">
        <f>IF(C214="","",IF(C214="Match",IF(INDEX('Match Log'!$D:$D,D214)="Win",1,IF(INDEX('Match Log'!$D:$D,D214)="Draw",0.5,0)),IF(C214="Tournament",INDEX('Tournament Log'!$K:$K,E214),IF(INDEX('Guest Log'!$C:$C,Q214)="Win",1,IF(INDEX('Guest Log'!$C:$C,Q214)="Draw",0.5,0)))))</f>
        <v/>
      </c>
      <c r="L214" s="12" t="str">
        <f>IF(C214="","",IF(C214="Match",32,IF(C214="Tournament",MIN(32*INDEX('Tournament Log'!$D:$D,E214),96),32)))</f>
        <v/>
      </c>
      <c r="M214" s="12" t="str">
        <f t="shared" si="17"/>
        <v/>
      </c>
      <c r="N214" s="12" t="str">
        <f t="shared" si="18"/>
        <v/>
      </c>
      <c r="O214" s="12" t="str">
        <f t="shared" si="19"/>
        <v/>
      </c>
      <c r="P214" s="12" t="str">
        <f>IF(C214="Tournament",INDEX('Tournament Log'!$B:$B,E214),IF(C214="Guest","Guest: "&amp;INDEX('Guest Log'!$H:$H,Q214),""))</f>
        <v/>
      </c>
      <c r="Q214" t="str">
        <f>IFERROR(MATCH($A214,'Guest Log'!$L$4:$L$203,0)+3,"")</f>
        <v/>
      </c>
    </row>
    <row r="215" spans="1:17" ht="15" customHeight="1" x14ac:dyDescent="0.2">
      <c r="A215" s="12">
        <f>214</f>
        <v>214</v>
      </c>
      <c r="B215" s="12" t="str">
        <f>IF(C215="","",IF(C215="Match",INDEX('Match Log'!$A:$A,D215),IF(C215="Tournament",INDEX('Tournament Log'!$A:$A,E215),INDEX('Guest Log'!$A:$A,Q215))))</f>
        <v/>
      </c>
      <c r="C215" s="12" t="str">
        <f t="shared" si="15"/>
        <v/>
      </c>
      <c r="D215" s="31" t="str">
        <f>IFERROR(MATCH($A215,'Match Log'!$K$3:$K$501,0)+2,"")</f>
        <v/>
      </c>
      <c r="E215" s="31" t="str">
        <f>IFERROR(MATCH($A215,'Tournament Log'!$O$4:$O$203,0)+3,"")</f>
        <v/>
      </c>
      <c r="F215" s="12" t="str">
        <f>IF(C215="","",IF(C215="Match",INDEX('Match Log'!$B:$B,D215),IF(C215="Tournament",INDEX('Tournament Log'!$C:$C,E215),INDEX('Guest Log'!$B:$B,Q215))))</f>
        <v/>
      </c>
      <c r="G215" s="12" t="str">
        <f>IF(C215="","",IF(C215="Match",INDEX('Match Log'!$C:$C,D215),IF(C215="Tournament",INDEX('Tournament Log'!$B:$B,E215)&amp;" (Phantom)",INDEX('Guest Log'!$H:$H,Q215)&amp;" (Guest)")))</f>
        <v/>
      </c>
      <c r="H215" s="32" t="str">
        <f t="array" ref="H215">IF(C215="","",IFERROR(LOOKUP(2,1/(($F$1:F214=F215)+($G$1:G214=F215)),IF($F$1:F214=F215,$N$1:N214,$O$1:O214)),1000))</f>
        <v/>
      </c>
      <c r="I215" s="12" t="str">
        <f t="array" ref="I215">IF(C215="","",IF(C215="Tournament",INDEX('Tournament Log'!$J:$J,E215),IF(C215="Guest",IF(INDEX('Guest Log'!$I:$I,Q215)="",1000,INDEX('Guest Log'!$I:$I,Q215)),IFERROR(LOOKUP(2,1/(($F$1:F214=G215)+($G$1:G214=G215)),IF($F$1:F214=G215,$N$1:N214,$O$1:O214)),1000))))</f>
        <v/>
      </c>
      <c r="J215" s="12" t="str">
        <f t="shared" si="16"/>
        <v/>
      </c>
      <c r="K215" s="12" t="str">
        <f>IF(C215="","",IF(C215="Match",IF(INDEX('Match Log'!$D:$D,D215)="Win",1,IF(INDEX('Match Log'!$D:$D,D215)="Draw",0.5,0)),IF(C215="Tournament",INDEX('Tournament Log'!$K:$K,E215),IF(INDEX('Guest Log'!$C:$C,Q215)="Win",1,IF(INDEX('Guest Log'!$C:$C,Q215)="Draw",0.5,0)))))</f>
        <v/>
      </c>
      <c r="L215" s="12" t="str">
        <f>IF(C215="","",IF(C215="Match",32,IF(C215="Tournament",MIN(32*INDEX('Tournament Log'!$D:$D,E215),96),32)))</f>
        <v/>
      </c>
      <c r="M215" s="12" t="str">
        <f t="shared" si="17"/>
        <v/>
      </c>
      <c r="N215" s="12" t="str">
        <f t="shared" si="18"/>
        <v/>
      </c>
      <c r="O215" s="12" t="str">
        <f t="shared" si="19"/>
        <v/>
      </c>
      <c r="P215" s="12" t="str">
        <f>IF(C215="Tournament",INDEX('Tournament Log'!$B:$B,E215),IF(C215="Guest","Guest: "&amp;INDEX('Guest Log'!$H:$H,Q215),""))</f>
        <v/>
      </c>
      <c r="Q215" t="str">
        <f>IFERROR(MATCH($A215,'Guest Log'!$L$4:$L$203,0)+3,"")</f>
        <v/>
      </c>
    </row>
    <row r="216" spans="1:17" ht="15" customHeight="1" x14ac:dyDescent="0.2">
      <c r="A216" s="12">
        <f>215</f>
        <v>215</v>
      </c>
      <c r="B216" s="12" t="str">
        <f>IF(C216="","",IF(C216="Match",INDEX('Match Log'!$A:$A,D216),IF(C216="Tournament",INDEX('Tournament Log'!$A:$A,E216),INDEX('Guest Log'!$A:$A,Q216))))</f>
        <v/>
      </c>
      <c r="C216" s="12" t="str">
        <f t="shared" si="15"/>
        <v/>
      </c>
      <c r="D216" s="31" t="str">
        <f>IFERROR(MATCH($A216,'Match Log'!$K$3:$K$501,0)+2,"")</f>
        <v/>
      </c>
      <c r="E216" s="31" t="str">
        <f>IFERROR(MATCH($A216,'Tournament Log'!$O$4:$O$203,0)+3,"")</f>
        <v/>
      </c>
      <c r="F216" s="12" t="str">
        <f>IF(C216="","",IF(C216="Match",INDEX('Match Log'!$B:$B,D216),IF(C216="Tournament",INDEX('Tournament Log'!$C:$C,E216),INDEX('Guest Log'!$B:$B,Q216))))</f>
        <v/>
      </c>
      <c r="G216" s="12" t="str">
        <f>IF(C216="","",IF(C216="Match",INDEX('Match Log'!$C:$C,D216),IF(C216="Tournament",INDEX('Tournament Log'!$B:$B,E216)&amp;" (Phantom)",INDEX('Guest Log'!$H:$H,Q216)&amp;" (Guest)")))</f>
        <v/>
      </c>
      <c r="H216" s="32" t="str">
        <f t="array" ref="H216">IF(C216="","",IFERROR(LOOKUP(2,1/(($F$1:F215=F216)+($G$1:G215=F216)),IF($F$1:F215=F216,$N$1:N215,$O$1:O215)),1000))</f>
        <v/>
      </c>
      <c r="I216" s="12" t="str">
        <f t="array" ref="I216">IF(C216="","",IF(C216="Tournament",INDEX('Tournament Log'!$J:$J,E216),IF(C216="Guest",IF(INDEX('Guest Log'!$I:$I,Q216)="",1000,INDEX('Guest Log'!$I:$I,Q216)),IFERROR(LOOKUP(2,1/(($F$1:F215=G216)+($G$1:G215=G216)),IF($F$1:F215=G216,$N$1:N215,$O$1:O215)),1000))))</f>
        <v/>
      </c>
      <c r="J216" s="12" t="str">
        <f t="shared" si="16"/>
        <v/>
      </c>
      <c r="K216" s="12" t="str">
        <f>IF(C216="","",IF(C216="Match",IF(INDEX('Match Log'!$D:$D,D216)="Win",1,IF(INDEX('Match Log'!$D:$D,D216)="Draw",0.5,0)),IF(C216="Tournament",INDEX('Tournament Log'!$K:$K,E216),IF(INDEX('Guest Log'!$C:$C,Q216)="Win",1,IF(INDEX('Guest Log'!$C:$C,Q216)="Draw",0.5,0)))))</f>
        <v/>
      </c>
      <c r="L216" s="12" t="str">
        <f>IF(C216="","",IF(C216="Match",32,IF(C216="Tournament",MIN(32*INDEX('Tournament Log'!$D:$D,E216),96),32)))</f>
        <v/>
      </c>
      <c r="M216" s="12" t="str">
        <f t="shared" si="17"/>
        <v/>
      </c>
      <c r="N216" s="12" t="str">
        <f t="shared" si="18"/>
        <v/>
      </c>
      <c r="O216" s="12" t="str">
        <f t="shared" si="19"/>
        <v/>
      </c>
      <c r="P216" s="12" t="str">
        <f>IF(C216="Tournament",INDEX('Tournament Log'!$B:$B,E216),IF(C216="Guest","Guest: "&amp;INDEX('Guest Log'!$H:$H,Q216),""))</f>
        <v/>
      </c>
      <c r="Q216" t="str">
        <f>IFERROR(MATCH($A216,'Guest Log'!$L$4:$L$203,0)+3,"")</f>
        <v/>
      </c>
    </row>
    <row r="217" spans="1:17" ht="15" customHeight="1" x14ac:dyDescent="0.2">
      <c r="A217" s="12">
        <f>216</f>
        <v>216</v>
      </c>
      <c r="B217" s="12" t="str">
        <f>IF(C217="","",IF(C217="Match",INDEX('Match Log'!$A:$A,D217),IF(C217="Tournament",INDEX('Tournament Log'!$A:$A,E217),INDEX('Guest Log'!$A:$A,Q217))))</f>
        <v/>
      </c>
      <c r="C217" s="12" t="str">
        <f t="shared" si="15"/>
        <v/>
      </c>
      <c r="D217" s="31" t="str">
        <f>IFERROR(MATCH($A217,'Match Log'!$K$3:$K$501,0)+2,"")</f>
        <v/>
      </c>
      <c r="E217" s="31" t="str">
        <f>IFERROR(MATCH($A217,'Tournament Log'!$O$4:$O$203,0)+3,"")</f>
        <v/>
      </c>
      <c r="F217" s="12" t="str">
        <f>IF(C217="","",IF(C217="Match",INDEX('Match Log'!$B:$B,D217),IF(C217="Tournament",INDEX('Tournament Log'!$C:$C,E217),INDEX('Guest Log'!$B:$B,Q217))))</f>
        <v/>
      </c>
      <c r="G217" s="12" t="str">
        <f>IF(C217="","",IF(C217="Match",INDEX('Match Log'!$C:$C,D217),IF(C217="Tournament",INDEX('Tournament Log'!$B:$B,E217)&amp;" (Phantom)",INDEX('Guest Log'!$H:$H,Q217)&amp;" (Guest)")))</f>
        <v/>
      </c>
      <c r="H217" s="32" t="str">
        <f t="array" ref="H217">IF(C217="","",IFERROR(LOOKUP(2,1/(($F$1:F216=F217)+($G$1:G216=F217)),IF($F$1:F216=F217,$N$1:N216,$O$1:O216)),1000))</f>
        <v/>
      </c>
      <c r="I217" s="12" t="str">
        <f t="array" ref="I217">IF(C217="","",IF(C217="Tournament",INDEX('Tournament Log'!$J:$J,E217),IF(C217="Guest",IF(INDEX('Guest Log'!$I:$I,Q217)="",1000,INDEX('Guest Log'!$I:$I,Q217)),IFERROR(LOOKUP(2,1/(($F$1:F216=G217)+($G$1:G216=G217)),IF($F$1:F216=G217,$N$1:N216,$O$1:O216)),1000))))</f>
        <v/>
      </c>
      <c r="J217" s="12" t="str">
        <f t="shared" si="16"/>
        <v/>
      </c>
      <c r="K217" s="12" t="str">
        <f>IF(C217="","",IF(C217="Match",IF(INDEX('Match Log'!$D:$D,D217)="Win",1,IF(INDEX('Match Log'!$D:$D,D217)="Draw",0.5,0)),IF(C217="Tournament",INDEX('Tournament Log'!$K:$K,E217),IF(INDEX('Guest Log'!$C:$C,Q217)="Win",1,IF(INDEX('Guest Log'!$C:$C,Q217)="Draw",0.5,0)))))</f>
        <v/>
      </c>
      <c r="L217" s="12" t="str">
        <f>IF(C217="","",IF(C217="Match",32,IF(C217="Tournament",MIN(32*INDEX('Tournament Log'!$D:$D,E217),96),32)))</f>
        <v/>
      </c>
      <c r="M217" s="12" t="str">
        <f t="shared" si="17"/>
        <v/>
      </c>
      <c r="N217" s="12" t="str">
        <f t="shared" si="18"/>
        <v/>
      </c>
      <c r="O217" s="12" t="str">
        <f t="shared" si="19"/>
        <v/>
      </c>
      <c r="P217" s="12" t="str">
        <f>IF(C217="Tournament",INDEX('Tournament Log'!$B:$B,E217),IF(C217="Guest","Guest: "&amp;INDEX('Guest Log'!$H:$H,Q217),""))</f>
        <v/>
      </c>
      <c r="Q217" t="str">
        <f>IFERROR(MATCH($A217,'Guest Log'!$L$4:$L$203,0)+3,"")</f>
        <v/>
      </c>
    </row>
    <row r="218" spans="1:17" ht="15" customHeight="1" x14ac:dyDescent="0.2">
      <c r="A218" s="12">
        <f>217</f>
        <v>217</v>
      </c>
      <c r="B218" s="12" t="str">
        <f>IF(C218="","",IF(C218="Match",INDEX('Match Log'!$A:$A,D218),IF(C218="Tournament",INDEX('Tournament Log'!$A:$A,E218),INDEX('Guest Log'!$A:$A,Q218))))</f>
        <v/>
      </c>
      <c r="C218" s="12" t="str">
        <f t="shared" si="15"/>
        <v/>
      </c>
      <c r="D218" s="31" t="str">
        <f>IFERROR(MATCH($A218,'Match Log'!$K$3:$K$501,0)+2,"")</f>
        <v/>
      </c>
      <c r="E218" s="31" t="str">
        <f>IFERROR(MATCH($A218,'Tournament Log'!$O$4:$O$203,0)+3,"")</f>
        <v/>
      </c>
      <c r="F218" s="12" t="str">
        <f>IF(C218="","",IF(C218="Match",INDEX('Match Log'!$B:$B,D218),IF(C218="Tournament",INDEX('Tournament Log'!$C:$C,E218),INDEX('Guest Log'!$B:$B,Q218))))</f>
        <v/>
      </c>
      <c r="G218" s="12" t="str">
        <f>IF(C218="","",IF(C218="Match",INDEX('Match Log'!$C:$C,D218),IF(C218="Tournament",INDEX('Tournament Log'!$B:$B,E218)&amp;" (Phantom)",INDEX('Guest Log'!$H:$H,Q218)&amp;" (Guest)")))</f>
        <v/>
      </c>
      <c r="H218" s="32" t="str">
        <f t="array" ref="H218">IF(C218="","",IFERROR(LOOKUP(2,1/(($F$1:F217=F218)+($G$1:G217=F218)),IF($F$1:F217=F218,$N$1:N217,$O$1:O217)),1000))</f>
        <v/>
      </c>
      <c r="I218" s="12" t="str">
        <f t="array" ref="I218">IF(C218="","",IF(C218="Tournament",INDEX('Tournament Log'!$J:$J,E218),IF(C218="Guest",IF(INDEX('Guest Log'!$I:$I,Q218)="",1000,INDEX('Guest Log'!$I:$I,Q218)),IFERROR(LOOKUP(2,1/(($F$1:F217=G218)+($G$1:G217=G218)),IF($F$1:F217=G218,$N$1:N217,$O$1:O217)),1000))))</f>
        <v/>
      </c>
      <c r="J218" s="12" t="str">
        <f t="shared" si="16"/>
        <v/>
      </c>
      <c r="K218" s="12" t="str">
        <f>IF(C218="","",IF(C218="Match",IF(INDEX('Match Log'!$D:$D,D218)="Win",1,IF(INDEX('Match Log'!$D:$D,D218)="Draw",0.5,0)),IF(C218="Tournament",INDEX('Tournament Log'!$K:$K,E218),IF(INDEX('Guest Log'!$C:$C,Q218)="Win",1,IF(INDEX('Guest Log'!$C:$C,Q218)="Draw",0.5,0)))))</f>
        <v/>
      </c>
      <c r="L218" s="12" t="str">
        <f>IF(C218="","",IF(C218="Match",32,IF(C218="Tournament",MIN(32*INDEX('Tournament Log'!$D:$D,E218),96),32)))</f>
        <v/>
      </c>
      <c r="M218" s="12" t="str">
        <f t="shared" si="17"/>
        <v/>
      </c>
      <c r="N218" s="12" t="str">
        <f t="shared" si="18"/>
        <v/>
      </c>
      <c r="O218" s="12" t="str">
        <f t="shared" si="19"/>
        <v/>
      </c>
      <c r="P218" s="12" t="str">
        <f>IF(C218="Tournament",INDEX('Tournament Log'!$B:$B,E218),IF(C218="Guest","Guest: "&amp;INDEX('Guest Log'!$H:$H,Q218),""))</f>
        <v/>
      </c>
      <c r="Q218" t="str">
        <f>IFERROR(MATCH($A218,'Guest Log'!$L$4:$L$203,0)+3,"")</f>
        <v/>
      </c>
    </row>
    <row r="219" spans="1:17" ht="15" customHeight="1" x14ac:dyDescent="0.2">
      <c r="A219" s="12">
        <f>218</f>
        <v>218</v>
      </c>
      <c r="B219" s="12" t="str">
        <f>IF(C219="","",IF(C219="Match",INDEX('Match Log'!$A:$A,D219),IF(C219="Tournament",INDEX('Tournament Log'!$A:$A,E219),INDEX('Guest Log'!$A:$A,Q219))))</f>
        <v/>
      </c>
      <c r="C219" s="12" t="str">
        <f t="shared" si="15"/>
        <v/>
      </c>
      <c r="D219" s="31" t="str">
        <f>IFERROR(MATCH($A219,'Match Log'!$K$3:$K$501,0)+2,"")</f>
        <v/>
      </c>
      <c r="E219" s="31" t="str">
        <f>IFERROR(MATCH($A219,'Tournament Log'!$O$4:$O$203,0)+3,"")</f>
        <v/>
      </c>
      <c r="F219" s="12" t="str">
        <f>IF(C219="","",IF(C219="Match",INDEX('Match Log'!$B:$B,D219),IF(C219="Tournament",INDEX('Tournament Log'!$C:$C,E219),INDEX('Guest Log'!$B:$B,Q219))))</f>
        <v/>
      </c>
      <c r="G219" s="12" t="str">
        <f>IF(C219="","",IF(C219="Match",INDEX('Match Log'!$C:$C,D219),IF(C219="Tournament",INDEX('Tournament Log'!$B:$B,E219)&amp;" (Phantom)",INDEX('Guest Log'!$H:$H,Q219)&amp;" (Guest)")))</f>
        <v/>
      </c>
      <c r="H219" s="32" t="str">
        <f t="array" ref="H219">IF(C219="","",IFERROR(LOOKUP(2,1/(($F$1:F218=F219)+($G$1:G218=F219)),IF($F$1:F218=F219,$N$1:N218,$O$1:O218)),1000))</f>
        <v/>
      </c>
      <c r="I219" s="12" t="str">
        <f t="array" ref="I219">IF(C219="","",IF(C219="Tournament",INDEX('Tournament Log'!$J:$J,E219),IF(C219="Guest",IF(INDEX('Guest Log'!$I:$I,Q219)="",1000,INDEX('Guest Log'!$I:$I,Q219)),IFERROR(LOOKUP(2,1/(($F$1:F218=G219)+($G$1:G218=G219)),IF($F$1:F218=G219,$N$1:N218,$O$1:O218)),1000))))</f>
        <v/>
      </c>
      <c r="J219" s="12" t="str">
        <f t="shared" si="16"/>
        <v/>
      </c>
      <c r="K219" s="12" t="str">
        <f>IF(C219="","",IF(C219="Match",IF(INDEX('Match Log'!$D:$D,D219)="Win",1,IF(INDEX('Match Log'!$D:$D,D219)="Draw",0.5,0)),IF(C219="Tournament",INDEX('Tournament Log'!$K:$K,E219),IF(INDEX('Guest Log'!$C:$C,Q219)="Win",1,IF(INDEX('Guest Log'!$C:$C,Q219)="Draw",0.5,0)))))</f>
        <v/>
      </c>
      <c r="L219" s="12" t="str">
        <f>IF(C219="","",IF(C219="Match",32,IF(C219="Tournament",MIN(32*INDEX('Tournament Log'!$D:$D,E219),96),32)))</f>
        <v/>
      </c>
      <c r="M219" s="12" t="str">
        <f t="shared" si="17"/>
        <v/>
      </c>
      <c r="N219" s="12" t="str">
        <f t="shared" si="18"/>
        <v/>
      </c>
      <c r="O219" s="12" t="str">
        <f t="shared" si="19"/>
        <v/>
      </c>
      <c r="P219" s="12" t="str">
        <f>IF(C219="Tournament",INDEX('Tournament Log'!$B:$B,E219),IF(C219="Guest","Guest: "&amp;INDEX('Guest Log'!$H:$H,Q219),""))</f>
        <v/>
      </c>
      <c r="Q219" t="str">
        <f>IFERROR(MATCH($A219,'Guest Log'!$L$4:$L$203,0)+3,"")</f>
        <v/>
      </c>
    </row>
    <row r="220" spans="1:17" ht="15" customHeight="1" x14ac:dyDescent="0.2">
      <c r="A220" s="12">
        <f>219</f>
        <v>219</v>
      </c>
      <c r="B220" s="12" t="str">
        <f>IF(C220="","",IF(C220="Match",INDEX('Match Log'!$A:$A,D220),IF(C220="Tournament",INDEX('Tournament Log'!$A:$A,E220),INDEX('Guest Log'!$A:$A,Q220))))</f>
        <v/>
      </c>
      <c r="C220" s="12" t="str">
        <f t="shared" si="15"/>
        <v/>
      </c>
      <c r="D220" s="31" t="str">
        <f>IFERROR(MATCH($A220,'Match Log'!$K$3:$K$501,0)+2,"")</f>
        <v/>
      </c>
      <c r="E220" s="31" t="str">
        <f>IFERROR(MATCH($A220,'Tournament Log'!$O$4:$O$203,0)+3,"")</f>
        <v/>
      </c>
      <c r="F220" s="12" t="str">
        <f>IF(C220="","",IF(C220="Match",INDEX('Match Log'!$B:$B,D220),IF(C220="Tournament",INDEX('Tournament Log'!$C:$C,E220),INDEX('Guest Log'!$B:$B,Q220))))</f>
        <v/>
      </c>
      <c r="G220" s="12" t="str">
        <f>IF(C220="","",IF(C220="Match",INDEX('Match Log'!$C:$C,D220),IF(C220="Tournament",INDEX('Tournament Log'!$B:$B,E220)&amp;" (Phantom)",INDEX('Guest Log'!$H:$H,Q220)&amp;" (Guest)")))</f>
        <v/>
      </c>
      <c r="H220" s="32" t="str">
        <f t="array" ref="H220">IF(C220="","",IFERROR(LOOKUP(2,1/(($F$1:F219=F220)+($G$1:G219=F220)),IF($F$1:F219=F220,$N$1:N219,$O$1:O219)),1000))</f>
        <v/>
      </c>
      <c r="I220" s="12" t="str">
        <f t="array" ref="I220">IF(C220="","",IF(C220="Tournament",INDEX('Tournament Log'!$J:$J,E220),IF(C220="Guest",IF(INDEX('Guest Log'!$I:$I,Q220)="",1000,INDEX('Guest Log'!$I:$I,Q220)),IFERROR(LOOKUP(2,1/(($F$1:F219=G220)+($G$1:G219=G220)),IF($F$1:F219=G220,$N$1:N219,$O$1:O219)),1000))))</f>
        <v/>
      </c>
      <c r="J220" s="12" t="str">
        <f t="shared" si="16"/>
        <v/>
      </c>
      <c r="K220" s="12" t="str">
        <f>IF(C220="","",IF(C220="Match",IF(INDEX('Match Log'!$D:$D,D220)="Win",1,IF(INDEX('Match Log'!$D:$D,D220)="Draw",0.5,0)),IF(C220="Tournament",INDEX('Tournament Log'!$K:$K,E220),IF(INDEX('Guest Log'!$C:$C,Q220)="Win",1,IF(INDEX('Guest Log'!$C:$C,Q220)="Draw",0.5,0)))))</f>
        <v/>
      </c>
      <c r="L220" s="12" t="str">
        <f>IF(C220="","",IF(C220="Match",32,IF(C220="Tournament",MIN(32*INDEX('Tournament Log'!$D:$D,E220),96),32)))</f>
        <v/>
      </c>
      <c r="M220" s="12" t="str">
        <f t="shared" si="17"/>
        <v/>
      </c>
      <c r="N220" s="12" t="str">
        <f t="shared" si="18"/>
        <v/>
      </c>
      <c r="O220" s="12" t="str">
        <f t="shared" si="19"/>
        <v/>
      </c>
      <c r="P220" s="12" t="str">
        <f>IF(C220="Tournament",INDEX('Tournament Log'!$B:$B,E220),IF(C220="Guest","Guest: "&amp;INDEX('Guest Log'!$H:$H,Q220),""))</f>
        <v/>
      </c>
      <c r="Q220" t="str">
        <f>IFERROR(MATCH($A220,'Guest Log'!$L$4:$L$203,0)+3,"")</f>
        <v/>
      </c>
    </row>
    <row r="221" spans="1:17" ht="15" customHeight="1" x14ac:dyDescent="0.2">
      <c r="A221" s="12">
        <f>220</f>
        <v>220</v>
      </c>
      <c r="B221" s="12" t="str">
        <f>IF(C221="","",IF(C221="Match",INDEX('Match Log'!$A:$A,D221),IF(C221="Tournament",INDEX('Tournament Log'!$A:$A,E221),INDEX('Guest Log'!$A:$A,Q221))))</f>
        <v/>
      </c>
      <c r="C221" s="12" t="str">
        <f t="shared" si="15"/>
        <v/>
      </c>
      <c r="D221" s="31" t="str">
        <f>IFERROR(MATCH($A221,'Match Log'!$K$3:$K$501,0)+2,"")</f>
        <v/>
      </c>
      <c r="E221" s="31" t="str">
        <f>IFERROR(MATCH($A221,'Tournament Log'!$O$4:$O$203,0)+3,"")</f>
        <v/>
      </c>
      <c r="F221" s="12" t="str">
        <f>IF(C221="","",IF(C221="Match",INDEX('Match Log'!$B:$B,D221),IF(C221="Tournament",INDEX('Tournament Log'!$C:$C,E221),INDEX('Guest Log'!$B:$B,Q221))))</f>
        <v/>
      </c>
      <c r="G221" s="12" t="str">
        <f>IF(C221="","",IF(C221="Match",INDEX('Match Log'!$C:$C,D221),IF(C221="Tournament",INDEX('Tournament Log'!$B:$B,E221)&amp;" (Phantom)",INDEX('Guest Log'!$H:$H,Q221)&amp;" (Guest)")))</f>
        <v/>
      </c>
      <c r="H221" s="32" t="str">
        <f t="array" ref="H221">IF(C221="","",IFERROR(LOOKUP(2,1/(($F$1:F220=F221)+($G$1:G220=F221)),IF($F$1:F220=F221,$N$1:N220,$O$1:O220)),1000))</f>
        <v/>
      </c>
      <c r="I221" s="12" t="str">
        <f t="array" ref="I221">IF(C221="","",IF(C221="Tournament",INDEX('Tournament Log'!$J:$J,E221),IF(C221="Guest",IF(INDEX('Guest Log'!$I:$I,Q221)="",1000,INDEX('Guest Log'!$I:$I,Q221)),IFERROR(LOOKUP(2,1/(($F$1:F220=G221)+($G$1:G220=G221)),IF($F$1:F220=G221,$N$1:N220,$O$1:O220)),1000))))</f>
        <v/>
      </c>
      <c r="J221" s="12" t="str">
        <f t="shared" si="16"/>
        <v/>
      </c>
      <c r="K221" s="12" t="str">
        <f>IF(C221="","",IF(C221="Match",IF(INDEX('Match Log'!$D:$D,D221)="Win",1,IF(INDEX('Match Log'!$D:$D,D221)="Draw",0.5,0)),IF(C221="Tournament",INDEX('Tournament Log'!$K:$K,E221),IF(INDEX('Guest Log'!$C:$C,Q221)="Win",1,IF(INDEX('Guest Log'!$C:$C,Q221)="Draw",0.5,0)))))</f>
        <v/>
      </c>
      <c r="L221" s="12" t="str">
        <f>IF(C221="","",IF(C221="Match",32,IF(C221="Tournament",MIN(32*INDEX('Tournament Log'!$D:$D,E221),96),32)))</f>
        <v/>
      </c>
      <c r="M221" s="12" t="str">
        <f t="shared" si="17"/>
        <v/>
      </c>
      <c r="N221" s="12" t="str">
        <f t="shared" si="18"/>
        <v/>
      </c>
      <c r="O221" s="12" t="str">
        <f t="shared" si="19"/>
        <v/>
      </c>
      <c r="P221" s="12" t="str">
        <f>IF(C221="Tournament",INDEX('Tournament Log'!$B:$B,E221),IF(C221="Guest","Guest: "&amp;INDEX('Guest Log'!$H:$H,Q221),""))</f>
        <v/>
      </c>
      <c r="Q221" t="str">
        <f>IFERROR(MATCH($A221,'Guest Log'!$L$4:$L$203,0)+3,"")</f>
        <v/>
      </c>
    </row>
    <row r="222" spans="1:17" ht="15" customHeight="1" x14ac:dyDescent="0.2">
      <c r="A222" s="12">
        <f>221</f>
        <v>221</v>
      </c>
      <c r="B222" s="12" t="str">
        <f>IF(C222="","",IF(C222="Match",INDEX('Match Log'!$A:$A,D222),IF(C222="Tournament",INDEX('Tournament Log'!$A:$A,E222),INDEX('Guest Log'!$A:$A,Q222))))</f>
        <v/>
      </c>
      <c r="C222" s="12" t="str">
        <f t="shared" si="15"/>
        <v/>
      </c>
      <c r="D222" s="31" t="str">
        <f>IFERROR(MATCH($A222,'Match Log'!$K$3:$K$501,0)+2,"")</f>
        <v/>
      </c>
      <c r="E222" s="31" t="str">
        <f>IFERROR(MATCH($A222,'Tournament Log'!$O$4:$O$203,0)+3,"")</f>
        <v/>
      </c>
      <c r="F222" s="12" t="str">
        <f>IF(C222="","",IF(C222="Match",INDEX('Match Log'!$B:$B,D222),IF(C222="Tournament",INDEX('Tournament Log'!$C:$C,E222),INDEX('Guest Log'!$B:$B,Q222))))</f>
        <v/>
      </c>
      <c r="G222" s="12" t="str">
        <f>IF(C222="","",IF(C222="Match",INDEX('Match Log'!$C:$C,D222),IF(C222="Tournament",INDEX('Tournament Log'!$B:$B,E222)&amp;" (Phantom)",INDEX('Guest Log'!$H:$H,Q222)&amp;" (Guest)")))</f>
        <v/>
      </c>
      <c r="H222" s="32" t="str">
        <f t="array" ref="H222">IF(C222="","",IFERROR(LOOKUP(2,1/(($F$1:F221=F222)+($G$1:G221=F222)),IF($F$1:F221=F222,$N$1:N221,$O$1:O221)),1000))</f>
        <v/>
      </c>
      <c r="I222" s="12" t="str">
        <f t="array" ref="I222">IF(C222="","",IF(C222="Tournament",INDEX('Tournament Log'!$J:$J,E222),IF(C222="Guest",IF(INDEX('Guest Log'!$I:$I,Q222)="",1000,INDEX('Guest Log'!$I:$I,Q222)),IFERROR(LOOKUP(2,1/(($F$1:F221=G222)+($G$1:G221=G222)),IF($F$1:F221=G222,$N$1:N221,$O$1:O221)),1000))))</f>
        <v/>
      </c>
      <c r="J222" s="12" t="str">
        <f t="shared" si="16"/>
        <v/>
      </c>
      <c r="K222" s="12" t="str">
        <f>IF(C222="","",IF(C222="Match",IF(INDEX('Match Log'!$D:$D,D222)="Win",1,IF(INDEX('Match Log'!$D:$D,D222)="Draw",0.5,0)),IF(C222="Tournament",INDEX('Tournament Log'!$K:$K,E222),IF(INDEX('Guest Log'!$C:$C,Q222)="Win",1,IF(INDEX('Guest Log'!$C:$C,Q222)="Draw",0.5,0)))))</f>
        <v/>
      </c>
      <c r="L222" s="12" t="str">
        <f>IF(C222="","",IF(C222="Match",32,IF(C222="Tournament",MIN(32*INDEX('Tournament Log'!$D:$D,E222),96),32)))</f>
        <v/>
      </c>
      <c r="M222" s="12" t="str">
        <f t="shared" si="17"/>
        <v/>
      </c>
      <c r="N222" s="12" t="str">
        <f t="shared" si="18"/>
        <v/>
      </c>
      <c r="O222" s="12" t="str">
        <f t="shared" si="19"/>
        <v/>
      </c>
      <c r="P222" s="12" t="str">
        <f>IF(C222="Tournament",INDEX('Tournament Log'!$B:$B,E222),IF(C222="Guest","Guest: "&amp;INDEX('Guest Log'!$H:$H,Q222),""))</f>
        <v/>
      </c>
      <c r="Q222" t="str">
        <f>IFERROR(MATCH($A222,'Guest Log'!$L$4:$L$203,0)+3,"")</f>
        <v/>
      </c>
    </row>
    <row r="223" spans="1:17" ht="15" customHeight="1" x14ac:dyDescent="0.2">
      <c r="A223" s="12">
        <f>222</f>
        <v>222</v>
      </c>
      <c r="B223" s="12" t="str">
        <f>IF(C223="","",IF(C223="Match",INDEX('Match Log'!$A:$A,D223),IF(C223="Tournament",INDEX('Tournament Log'!$A:$A,E223),INDEX('Guest Log'!$A:$A,Q223))))</f>
        <v/>
      </c>
      <c r="C223" s="12" t="str">
        <f t="shared" si="15"/>
        <v/>
      </c>
      <c r="D223" s="31" t="str">
        <f>IFERROR(MATCH($A223,'Match Log'!$K$3:$K$501,0)+2,"")</f>
        <v/>
      </c>
      <c r="E223" s="31" t="str">
        <f>IFERROR(MATCH($A223,'Tournament Log'!$O$4:$O$203,0)+3,"")</f>
        <v/>
      </c>
      <c r="F223" s="12" t="str">
        <f>IF(C223="","",IF(C223="Match",INDEX('Match Log'!$B:$B,D223),IF(C223="Tournament",INDEX('Tournament Log'!$C:$C,E223),INDEX('Guest Log'!$B:$B,Q223))))</f>
        <v/>
      </c>
      <c r="G223" s="12" t="str">
        <f>IF(C223="","",IF(C223="Match",INDEX('Match Log'!$C:$C,D223),IF(C223="Tournament",INDEX('Tournament Log'!$B:$B,E223)&amp;" (Phantom)",INDEX('Guest Log'!$H:$H,Q223)&amp;" (Guest)")))</f>
        <v/>
      </c>
      <c r="H223" s="32" t="str">
        <f t="array" ref="H223">IF(C223="","",IFERROR(LOOKUP(2,1/(($F$1:F222=F223)+($G$1:G222=F223)),IF($F$1:F222=F223,$N$1:N222,$O$1:O222)),1000))</f>
        <v/>
      </c>
      <c r="I223" s="12" t="str">
        <f t="array" ref="I223">IF(C223="","",IF(C223="Tournament",INDEX('Tournament Log'!$J:$J,E223),IF(C223="Guest",IF(INDEX('Guest Log'!$I:$I,Q223)="",1000,INDEX('Guest Log'!$I:$I,Q223)),IFERROR(LOOKUP(2,1/(($F$1:F222=G223)+($G$1:G222=G223)),IF($F$1:F222=G223,$N$1:N222,$O$1:O222)),1000))))</f>
        <v/>
      </c>
      <c r="J223" s="12" t="str">
        <f t="shared" si="16"/>
        <v/>
      </c>
      <c r="K223" s="12" t="str">
        <f>IF(C223="","",IF(C223="Match",IF(INDEX('Match Log'!$D:$D,D223)="Win",1,IF(INDEX('Match Log'!$D:$D,D223)="Draw",0.5,0)),IF(C223="Tournament",INDEX('Tournament Log'!$K:$K,E223),IF(INDEX('Guest Log'!$C:$C,Q223)="Win",1,IF(INDEX('Guest Log'!$C:$C,Q223)="Draw",0.5,0)))))</f>
        <v/>
      </c>
      <c r="L223" s="12" t="str">
        <f>IF(C223="","",IF(C223="Match",32,IF(C223="Tournament",MIN(32*INDEX('Tournament Log'!$D:$D,E223),96),32)))</f>
        <v/>
      </c>
      <c r="M223" s="12" t="str">
        <f t="shared" si="17"/>
        <v/>
      </c>
      <c r="N223" s="12" t="str">
        <f t="shared" si="18"/>
        <v/>
      </c>
      <c r="O223" s="12" t="str">
        <f t="shared" si="19"/>
        <v/>
      </c>
      <c r="P223" s="12" t="str">
        <f>IF(C223="Tournament",INDEX('Tournament Log'!$B:$B,E223),IF(C223="Guest","Guest: "&amp;INDEX('Guest Log'!$H:$H,Q223),""))</f>
        <v/>
      </c>
      <c r="Q223" t="str">
        <f>IFERROR(MATCH($A223,'Guest Log'!$L$4:$L$203,0)+3,"")</f>
        <v/>
      </c>
    </row>
    <row r="224" spans="1:17" ht="15" customHeight="1" x14ac:dyDescent="0.2">
      <c r="A224" s="12">
        <f>223</f>
        <v>223</v>
      </c>
      <c r="B224" s="12" t="str">
        <f>IF(C224="","",IF(C224="Match",INDEX('Match Log'!$A:$A,D224),IF(C224="Tournament",INDEX('Tournament Log'!$A:$A,E224),INDEX('Guest Log'!$A:$A,Q224))))</f>
        <v/>
      </c>
      <c r="C224" s="12" t="str">
        <f t="shared" si="15"/>
        <v/>
      </c>
      <c r="D224" s="31" t="str">
        <f>IFERROR(MATCH($A224,'Match Log'!$K$3:$K$501,0)+2,"")</f>
        <v/>
      </c>
      <c r="E224" s="31" t="str">
        <f>IFERROR(MATCH($A224,'Tournament Log'!$O$4:$O$203,0)+3,"")</f>
        <v/>
      </c>
      <c r="F224" s="12" t="str">
        <f>IF(C224="","",IF(C224="Match",INDEX('Match Log'!$B:$B,D224),IF(C224="Tournament",INDEX('Tournament Log'!$C:$C,E224),INDEX('Guest Log'!$B:$B,Q224))))</f>
        <v/>
      </c>
      <c r="G224" s="12" t="str">
        <f>IF(C224="","",IF(C224="Match",INDEX('Match Log'!$C:$C,D224),IF(C224="Tournament",INDEX('Tournament Log'!$B:$B,E224)&amp;" (Phantom)",INDEX('Guest Log'!$H:$H,Q224)&amp;" (Guest)")))</f>
        <v/>
      </c>
      <c r="H224" s="32" t="str">
        <f t="array" ref="H224">IF(C224="","",IFERROR(LOOKUP(2,1/(($F$1:F223=F224)+($G$1:G223=F224)),IF($F$1:F223=F224,$N$1:N223,$O$1:O223)),1000))</f>
        <v/>
      </c>
      <c r="I224" s="12" t="str">
        <f t="array" ref="I224">IF(C224="","",IF(C224="Tournament",INDEX('Tournament Log'!$J:$J,E224),IF(C224="Guest",IF(INDEX('Guest Log'!$I:$I,Q224)="",1000,INDEX('Guest Log'!$I:$I,Q224)),IFERROR(LOOKUP(2,1/(($F$1:F223=G224)+($G$1:G223=G224)),IF($F$1:F223=G224,$N$1:N223,$O$1:O223)),1000))))</f>
        <v/>
      </c>
      <c r="J224" s="12" t="str">
        <f t="shared" si="16"/>
        <v/>
      </c>
      <c r="K224" s="12" t="str">
        <f>IF(C224="","",IF(C224="Match",IF(INDEX('Match Log'!$D:$D,D224)="Win",1,IF(INDEX('Match Log'!$D:$D,D224)="Draw",0.5,0)),IF(C224="Tournament",INDEX('Tournament Log'!$K:$K,E224),IF(INDEX('Guest Log'!$C:$C,Q224)="Win",1,IF(INDEX('Guest Log'!$C:$C,Q224)="Draw",0.5,0)))))</f>
        <v/>
      </c>
      <c r="L224" s="12" t="str">
        <f>IF(C224="","",IF(C224="Match",32,IF(C224="Tournament",MIN(32*INDEX('Tournament Log'!$D:$D,E224),96),32)))</f>
        <v/>
      </c>
      <c r="M224" s="12" t="str">
        <f t="shared" si="17"/>
        <v/>
      </c>
      <c r="N224" s="12" t="str">
        <f t="shared" si="18"/>
        <v/>
      </c>
      <c r="O224" s="12" t="str">
        <f t="shared" si="19"/>
        <v/>
      </c>
      <c r="P224" s="12" t="str">
        <f>IF(C224="Tournament",INDEX('Tournament Log'!$B:$B,E224),IF(C224="Guest","Guest: "&amp;INDEX('Guest Log'!$H:$H,Q224),""))</f>
        <v/>
      </c>
      <c r="Q224" t="str">
        <f>IFERROR(MATCH($A224,'Guest Log'!$L$4:$L$203,0)+3,"")</f>
        <v/>
      </c>
    </row>
    <row r="225" spans="1:17" ht="15" customHeight="1" x14ac:dyDescent="0.2">
      <c r="A225" s="12">
        <f>224</f>
        <v>224</v>
      </c>
      <c r="B225" s="12" t="str">
        <f>IF(C225="","",IF(C225="Match",INDEX('Match Log'!$A:$A,D225),IF(C225="Tournament",INDEX('Tournament Log'!$A:$A,E225),INDEX('Guest Log'!$A:$A,Q225))))</f>
        <v/>
      </c>
      <c r="C225" s="12" t="str">
        <f t="shared" si="15"/>
        <v/>
      </c>
      <c r="D225" s="31" t="str">
        <f>IFERROR(MATCH($A225,'Match Log'!$K$3:$K$501,0)+2,"")</f>
        <v/>
      </c>
      <c r="E225" s="31" t="str">
        <f>IFERROR(MATCH($A225,'Tournament Log'!$O$4:$O$203,0)+3,"")</f>
        <v/>
      </c>
      <c r="F225" s="12" t="str">
        <f>IF(C225="","",IF(C225="Match",INDEX('Match Log'!$B:$B,D225),IF(C225="Tournament",INDEX('Tournament Log'!$C:$C,E225),INDEX('Guest Log'!$B:$B,Q225))))</f>
        <v/>
      </c>
      <c r="G225" s="12" t="str">
        <f>IF(C225="","",IF(C225="Match",INDEX('Match Log'!$C:$C,D225),IF(C225="Tournament",INDEX('Tournament Log'!$B:$B,E225)&amp;" (Phantom)",INDEX('Guest Log'!$H:$H,Q225)&amp;" (Guest)")))</f>
        <v/>
      </c>
      <c r="H225" s="32" t="str">
        <f t="array" ref="H225">IF(C225="","",IFERROR(LOOKUP(2,1/(($F$1:F224=F225)+($G$1:G224=F225)),IF($F$1:F224=F225,$N$1:N224,$O$1:O224)),1000))</f>
        <v/>
      </c>
      <c r="I225" s="12" t="str">
        <f t="array" ref="I225">IF(C225="","",IF(C225="Tournament",INDEX('Tournament Log'!$J:$J,E225),IF(C225="Guest",IF(INDEX('Guest Log'!$I:$I,Q225)="",1000,INDEX('Guest Log'!$I:$I,Q225)),IFERROR(LOOKUP(2,1/(($F$1:F224=G225)+($G$1:G224=G225)),IF($F$1:F224=G225,$N$1:N224,$O$1:O224)),1000))))</f>
        <v/>
      </c>
      <c r="J225" s="12" t="str">
        <f t="shared" si="16"/>
        <v/>
      </c>
      <c r="K225" s="12" t="str">
        <f>IF(C225="","",IF(C225="Match",IF(INDEX('Match Log'!$D:$D,D225)="Win",1,IF(INDEX('Match Log'!$D:$D,D225)="Draw",0.5,0)),IF(C225="Tournament",INDEX('Tournament Log'!$K:$K,E225),IF(INDEX('Guest Log'!$C:$C,Q225)="Win",1,IF(INDEX('Guest Log'!$C:$C,Q225)="Draw",0.5,0)))))</f>
        <v/>
      </c>
      <c r="L225" s="12" t="str">
        <f>IF(C225="","",IF(C225="Match",32,IF(C225="Tournament",MIN(32*INDEX('Tournament Log'!$D:$D,E225),96),32)))</f>
        <v/>
      </c>
      <c r="M225" s="12" t="str">
        <f t="shared" si="17"/>
        <v/>
      </c>
      <c r="N225" s="12" t="str">
        <f t="shared" si="18"/>
        <v/>
      </c>
      <c r="O225" s="12" t="str">
        <f t="shared" si="19"/>
        <v/>
      </c>
      <c r="P225" s="12" t="str">
        <f>IF(C225="Tournament",INDEX('Tournament Log'!$B:$B,E225),IF(C225="Guest","Guest: "&amp;INDEX('Guest Log'!$H:$H,Q225),""))</f>
        <v/>
      </c>
      <c r="Q225" t="str">
        <f>IFERROR(MATCH($A225,'Guest Log'!$L$4:$L$203,0)+3,"")</f>
        <v/>
      </c>
    </row>
    <row r="226" spans="1:17" ht="15" customHeight="1" x14ac:dyDescent="0.2">
      <c r="A226" s="12">
        <f>225</f>
        <v>225</v>
      </c>
      <c r="B226" s="12" t="str">
        <f>IF(C226="","",IF(C226="Match",INDEX('Match Log'!$A:$A,D226),IF(C226="Tournament",INDEX('Tournament Log'!$A:$A,E226),INDEX('Guest Log'!$A:$A,Q226))))</f>
        <v/>
      </c>
      <c r="C226" s="12" t="str">
        <f t="shared" si="15"/>
        <v/>
      </c>
      <c r="D226" s="31" t="str">
        <f>IFERROR(MATCH($A226,'Match Log'!$K$3:$K$501,0)+2,"")</f>
        <v/>
      </c>
      <c r="E226" s="31" t="str">
        <f>IFERROR(MATCH($A226,'Tournament Log'!$O$4:$O$203,0)+3,"")</f>
        <v/>
      </c>
      <c r="F226" s="12" t="str">
        <f>IF(C226="","",IF(C226="Match",INDEX('Match Log'!$B:$B,D226),IF(C226="Tournament",INDEX('Tournament Log'!$C:$C,E226),INDEX('Guest Log'!$B:$B,Q226))))</f>
        <v/>
      </c>
      <c r="G226" s="12" t="str">
        <f>IF(C226="","",IF(C226="Match",INDEX('Match Log'!$C:$C,D226),IF(C226="Tournament",INDEX('Tournament Log'!$B:$B,E226)&amp;" (Phantom)",INDEX('Guest Log'!$H:$H,Q226)&amp;" (Guest)")))</f>
        <v/>
      </c>
      <c r="H226" s="32" t="str">
        <f t="array" ref="H226">IF(C226="","",IFERROR(LOOKUP(2,1/(($F$1:F225=F226)+($G$1:G225=F226)),IF($F$1:F225=F226,$N$1:N225,$O$1:O225)),1000))</f>
        <v/>
      </c>
      <c r="I226" s="12" t="str">
        <f t="array" ref="I226">IF(C226="","",IF(C226="Tournament",INDEX('Tournament Log'!$J:$J,E226),IF(C226="Guest",IF(INDEX('Guest Log'!$I:$I,Q226)="",1000,INDEX('Guest Log'!$I:$I,Q226)),IFERROR(LOOKUP(2,1/(($F$1:F225=G226)+($G$1:G225=G226)),IF($F$1:F225=G226,$N$1:N225,$O$1:O225)),1000))))</f>
        <v/>
      </c>
      <c r="J226" s="12" t="str">
        <f t="shared" si="16"/>
        <v/>
      </c>
      <c r="K226" s="12" t="str">
        <f>IF(C226="","",IF(C226="Match",IF(INDEX('Match Log'!$D:$D,D226)="Win",1,IF(INDEX('Match Log'!$D:$D,D226)="Draw",0.5,0)),IF(C226="Tournament",INDEX('Tournament Log'!$K:$K,E226),IF(INDEX('Guest Log'!$C:$C,Q226)="Win",1,IF(INDEX('Guest Log'!$C:$C,Q226)="Draw",0.5,0)))))</f>
        <v/>
      </c>
      <c r="L226" s="12" t="str">
        <f>IF(C226="","",IF(C226="Match",32,IF(C226="Tournament",MIN(32*INDEX('Tournament Log'!$D:$D,E226),96),32)))</f>
        <v/>
      </c>
      <c r="M226" s="12" t="str">
        <f t="shared" si="17"/>
        <v/>
      </c>
      <c r="N226" s="12" t="str">
        <f t="shared" si="18"/>
        <v/>
      </c>
      <c r="O226" s="12" t="str">
        <f t="shared" si="19"/>
        <v/>
      </c>
      <c r="P226" s="12" t="str">
        <f>IF(C226="Tournament",INDEX('Tournament Log'!$B:$B,E226),IF(C226="Guest","Guest: "&amp;INDEX('Guest Log'!$H:$H,Q226),""))</f>
        <v/>
      </c>
      <c r="Q226" t="str">
        <f>IFERROR(MATCH($A226,'Guest Log'!$L$4:$L$203,0)+3,"")</f>
        <v/>
      </c>
    </row>
    <row r="227" spans="1:17" ht="15" customHeight="1" x14ac:dyDescent="0.2">
      <c r="A227" s="12">
        <f>226</f>
        <v>226</v>
      </c>
      <c r="B227" s="12" t="str">
        <f>IF(C227="","",IF(C227="Match",INDEX('Match Log'!$A:$A,D227),IF(C227="Tournament",INDEX('Tournament Log'!$A:$A,E227),INDEX('Guest Log'!$A:$A,Q227))))</f>
        <v/>
      </c>
      <c r="C227" s="12" t="str">
        <f t="shared" si="15"/>
        <v/>
      </c>
      <c r="D227" s="31" t="str">
        <f>IFERROR(MATCH($A227,'Match Log'!$K$3:$K$501,0)+2,"")</f>
        <v/>
      </c>
      <c r="E227" s="31" t="str">
        <f>IFERROR(MATCH($A227,'Tournament Log'!$O$4:$O$203,0)+3,"")</f>
        <v/>
      </c>
      <c r="F227" s="12" t="str">
        <f>IF(C227="","",IF(C227="Match",INDEX('Match Log'!$B:$B,D227),IF(C227="Tournament",INDEX('Tournament Log'!$C:$C,E227),INDEX('Guest Log'!$B:$B,Q227))))</f>
        <v/>
      </c>
      <c r="G227" s="12" t="str">
        <f>IF(C227="","",IF(C227="Match",INDEX('Match Log'!$C:$C,D227),IF(C227="Tournament",INDEX('Tournament Log'!$B:$B,E227)&amp;" (Phantom)",INDEX('Guest Log'!$H:$H,Q227)&amp;" (Guest)")))</f>
        <v/>
      </c>
      <c r="H227" s="32" t="str">
        <f t="array" ref="H227">IF(C227="","",IFERROR(LOOKUP(2,1/(($F$1:F226=F227)+($G$1:G226=F227)),IF($F$1:F226=F227,$N$1:N226,$O$1:O226)),1000))</f>
        <v/>
      </c>
      <c r="I227" s="12" t="str">
        <f t="array" ref="I227">IF(C227="","",IF(C227="Tournament",INDEX('Tournament Log'!$J:$J,E227),IF(C227="Guest",IF(INDEX('Guest Log'!$I:$I,Q227)="",1000,INDEX('Guest Log'!$I:$I,Q227)),IFERROR(LOOKUP(2,1/(($F$1:F226=G227)+($G$1:G226=G227)),IF($F$1:F226=G227,$N$1:N226,$O$1:O226)),1000))))</f>
        <v/>
      </c>
      <c r="J227" s="12" t="str">
        <f t="shared" si="16"/>
        <v/>
      </c>
      <c r="K227" s="12" t="str">
        <f>IF(C227="","",IF(C227="Match",IF(INDEX('Match Log'!$D:$D,D227)="Win",1,IF(INDEX('Match Log'!$D:$D,D227)="Draw",0.5,0)),IF(C227="Tournament",INDEX('Tournament Log'!$K:$K,E227),IF(INDEX('Guest Log'!$C:$C,Q227)="Win",1,IF(INDEX('Guest Log'!$C:$C,Q227)="Draw",0.5,0)))))</f>
        <v/>
      </c>
      <c r="L227" s="12" t="str">
        <f>IF(C227="","",IF(C227="Match",32,IF(C227="Tournament",MIN(32*INDEX('Tournament Log'!$D:$D,E227),96),32)))</f>
        <v/>
      </c>
      <c r="M227" s="12" t="str">
        <f t="shared" si="17"/>
        <v/>
      </c>
      <c r="N227" s="12" t="str">
        <f t="shared" si="18"/>
        <v/>
      </c>
      <c r="O227" s="12" t="str">
        <f t="shared" si="19"/>
        <v/>
      </c>
      <c r="P227" s="12" t="str">
        <f>IF(C227="Tournament",INDEX('Tournament Log'!$B:$B,E227),IF(C227="Guest","Guest: "&amp;INDEX('Guest Log'!$H:$H,Q227),""))</f>
        <v/>
      </c>
      <c r="Q227" t="str">
        <f>IFERROR(MATCH($A227,'Guest Log'!$L$4:$L$203,0)+3,"")</f>
        <v/>
      </c>
    </row>
    <row r="228" spans="1:17" ht="15" customHeight="1" x14ac:dyDescent="0.2">
      <c r="A228" s="12">
        <f>227</f>
        <v>227</v>
      </c>
      <c r="B228" s="12" t="str">
        <f>IF(C228="","",IF(C228="Match",INDEX('Match Log'!$A:$A,D228),IF(C228="Tournament",INDEX('Tournament Log'!$A:$A,E228),INDEX('Guest Log'!$A:$A,Q228))))</f>
        <v/>
      </c>
      <c r="C228" s="12" t="str">
        <f t="shared" si="15"/>
        <v/>
      </c>
      <c r="D228" s="31" t="str">
        <f>IFERROR(MATCH($A228,'Match Log'!$K$3:$K$501,0)+2,"")</f>
        <v/>
      </c>
      <c r="E228" s="31" t="str">
        <f>IFERROR(MATCH($A228,'Tournament Log'!$O$4:$O$203,0)+3,"")</f>
        <v/>
      </c>
      <c r="F228" s="12" t="str">
        <f>IF(C228="","",IF(C228="Match",INDEX('Match Log'!$B:$B,D228),IF(C228="Tournament",INDEX('Tournament Log'!$C:$C,E228),INDEX('Guest Log'!$B:$B,Q228))))</f>
        <v/>
      </c>
      <c r="G228" s="12" t="str">
        <f>IF(C228="","",IF(C228="Match",INDEX('Match Log'!$C:$C,D228),IF(C228="Tournament",INDEX('Tournament Log'!$B:$B,E228)&amp;" (Phantom)",INDEX('Guest Log'!$H:$H,Q228)&amp;" (Guest)")))</f>
        <v/>
      </c>
      <c r="H228" s="32" t="str">
        <f t="array" ref="H228">IF(C228="","",IFERROR(LOOKUP(2,1/(($F$1:F227=F228)+($G$1:G227=F228)),IF($F$1:F227=F228,$N$1:N227,$O$1:O227)),1000))</f>
        <v/>
      </c>
      <c r="I228" s="12" t="str">
        <f t="array" ref="I228">IF(C228="","",IF(C228="Tournament",INDEX('Tournament Log'!$J:$J,E228),IF(C228="Guest",IF(INDEX('Guest Log'!$I:$I,Q228)="",1000,INDEX('Guest Log'!$I:$I,Q228)),IFERROR(LOOKUP(2,1/(($F$1:F227=G228)+($G$1:G227=G228)),IF($F$1:F227=G228,$N$1:N227,$O$1:O227)),1000))))</f>
        <v/>
      </c>
      <c r="J228" s="12" t="str">
        <f t="shared" si="16"/>
        <v/>
      </c>
      <c r="K228" s="12" t="str">
        <f>IF(C228="","",IF(C228="Match",IF(INDEX('Match Log'!$D:$D,D228)="Win",1,IF(INDEX('Match Log'!$D:$D,D228)="Draw",0.5,0)),IF(C228="Tournament",INDEX('Tournament Log'!$K:$K,E228),IF(INDEX('Guest Log'!$C:$C,Q228)="Win",1,IF(INDEX('Guest Log'!$C:$C,Q228)="Draw",0.5,0)))))</f>
        <v/>
      </c>
      <c r="L228" s="12" t="str">
        <f>IF(C228="","",IF(C228="Match",32,IF(C228="Tournament",MIN(32*INDEX('Tournament Log'!$D:$D,E228),96),32)))</f>
        <v/>
      </c>
      <c r="M228" s="12" t="str">
        <f t="shared" si="17"/>
        <v/>
      </c>
      <c r="N228" s="12" t="str">
        <f t="shared" si="18"/>
        <v/>
      </c>
      <c r="O228" s="12" t="str">
        <f t="shared" si="19"/>
        <v/>
      </c>
      <c r="P228" s="12" t="str">
        <f>IF(C228="Tournament",INDEX('Tournament Log'!$B:$B,E228),IF(C228="Guest","Guest: "&amp;INDEX('Guest Log'!$H:$H,Q228),""))</f>
        <v/>
      </c>
      <c r="Q228" t="str">
        <f>IFERROR(MATCH($A228,'Guest Log'!$L$4:$L$203,0)+3,"")</f>
        <v/>
      </c>
    </row>
    <row r="229" spans="1:17" ht="15" customHeight="1" x14ac:dyDescent="0.2">
      <c r="A229" s="12">
        <f>228</f>
        <v>228</v>
      </c>
      <c r="B229" s="12" t="str">
        <f>IF(C229="","",IF(C229="Match",INDEX('Match Log'!$A:$A,D229),IF(C229="Tournament",INDEX('Tournament Log'!$A:$A,E229),INDEX('Guest Log'!$A:$A,Q229))))</f>
        <v/>
      </c>
      <c r="C229" s="12" t="str">
        <f t="shared" si="15"/>
        <v/>
      </c>
      <c r="D229" s="31" t="str">
        <f>IFERROR(MATCH($A229,'Match Log'!$K$3:$K$501,0)+2,"")</f>
        <v/>
      </c>
      <c r="E229" s="31" t="str">
        <f>IFERROR(MATCH($A229,'Tournament Log'!$O$4:$O$203,0)+3,"")</f>
        <v/>
      </c>
      <c r="F229" s="12" t="str">
        <f>IF(C229="","",IF(C229="Match",INDEX('Match Log'!$B:$B,D229),IF(C229="Tournament",INDEX('Tournament Log'!$C:$C,E229),INDEX('Guest Log'!$B:$B,Q229))))</f>
        <v/>
      </c>
      <c r="G229" s="12" t="str">
        <f>IF(C229="","",IF(C229="Match",INDEX('Match Log'!$C:$C,D229),IF(C229="Tournament",INDEX('Tournament Log'!$B:$B,E229)&amp;" (Phantom)",INDEX('Guest Log'!$H:$H,Q229)&amp;" (Guest)")))</f>
        <v/>
      </c>
      <c r="H229" s="32" t="str">
        <f t="array" ref="H229">IF(C229="","",IFERROR(LOOKUP(2,1/(($F$1:F228=F229)+($G$1:G228=F229)),IF($F$1:F228=F229,$N$1:N228,$O$1:O228)),1000))</f>
        <v/>
      </c>
      <c r="I229" s="12" t="str">
        <f t="array" ref="I229">IF(C229="","",IF(C229="Tournament",INDEX('Tournament Log'!$J:$J,E229),IF(C229="Guest",IF(INDEX('Guest Log'!$I:$I,Q229)="",1000,INDEX('Guest Log'!$I:$I,Q229)),IFERROR(LOOKUP(2,1/(($F$1:F228=G229)+($G$1:G228=G229)),IF($F$1:F228=G229,$N$1:N228,$O$1:O228)),1000))))</f>
        <v/>
      </c>
      <c r="J229" s="12" t="str">
        <f t="shared" si="16"/>
        <v/>
      </c>
      <c r="K229" s="12" t="str">
        <f>IF(C229="","",IF(C229="Match",IF(INDEX('Match Log'!$D:$D,D229)="Win",1,IF(INDEX('Match Log'!$D:$D,D229)="Draw",0.5,0)),IF(C229="Tournament",INDEX('Tournament Log'!$K:$K,E229),IF(INDEX('Guest Log'!$C:$C,Q229)="Win",1,IF(INDEX('Guest Log'!$C:$C,Q229)="Draw",0.5,0)))))</f>
        <v/>
      </c>
      <c r="L229" s="12" t="str">
        <f>IF(C229="","",IF(C229="Match",32,IF(C229="Tournament",MIN(32*INDEX('Tournament Log'!$D:$D,E229),96),32)))</f>
        <v/>
      </c>
      <c r="M229" s="12" t="str">
        <f t="shared" si="17"/>
        <v/>
      </c>
      <c r="N229" s="12" t="str">
        <f t="shared" si="18"/>
        <v/>
      </c>
      <c r="O229" s="12" t="str">
        <f t="shared" si="19"/>
        <v/>
      </c>
      <c r="P229" s="12" t="str">
        <f>IF(C229="Tournament",INDEX('Tournament Log'!$B:$B,E229),IF(C229="Guest","Guest: "&amp;INDEX('Guest Log'!$H:$H,Q229),""))</f>
        <v/>
      </c>
      <c r="Q229" t="str">
        <f>IFERROR(MATCH($A229,'Guest Log'!$L$4:$L$203,0)+3,"")</f>
        <v/>
      </c>
    </row>
    <row r="230" spans="1:17" ht="15" customHeight="1" x14ac:dyDescent="0.2">
      <c r="A230" s="12">
        <f>229</f>
        <v>229</v>
      </c>
      <c r="B230" s="12" t="str">
        <f>IF(C230="","",IF(C230="Match",INDEX('Match Log'!$A:$A,D230),IF(C230="Tournament",INDEX('Tournament Log'!$A:$A,E230),INDEX('Guest Log'!$A:$A,Q230))))</f>
        <v/>
      </c>
      <c r="C230" s="12" t="str">
        <f t="shared" si="15"/>
        <v/>
      </c>
      <c r="D230" s="31" t="str">
        <f>IFERROR(MATCH($A230,'Match Log'!$K$3:$K$501,0)+2,"")</f>
        <v/>
      </c>
      <c r="E230" s="31" t="str">
        <f>IFERROR(MATCH($A230,'Tournament Log'!$O$4:$O$203,0)+3,"")</f>
        <v/>
      </c>
      <c r="F230" s="12" t="str">
        <f>IF(C230="","",IF(C230="Match",INDEX('Match Log'!$B:$B,D230),IF(C230="Tournament",INDEX('Tournament Log'!$C:$C,E230),INDEX('Guest Log'!$B:$B,Q230))))</f>
        <v/>
      </c>
      <c r="G230" s="12" t="str">
        <f>IF(C230="","",IF(C230="Match",INDEX('Match Log'!$C:$C,D230),IF(C230="Tournament",INDEX('Tournament Log'!$B:$B,E230)&amp;" (Phantom)",INDEX('Guest Log'!$H:$H,Q230)&amp;" (Guest)")))</f>
        <v/>
      </c>
      <c r="H230" s="32" t="str">
        <f t="array" ref="H230">IF(C230="","",IFERROR(LOOKUP(2,1/(($F$1:F229=F230)+($G$1:G229=F230)),IF($F$1:F229=F230,$N$1:N229,$O$1:O229)),1000))</f>
        <v/>
      </c>
      <c r="I230" s="12" t="str">
        <f t="array" ref="I230">IF(C230="","",IF(C230="Tournament",INDEX('Tournament Log'!$J:$J,E230),IF(C230="Guest",IF(INDEX('Guest Log'!$I:$I,Q230)="",1000,INDEX('Guest Log'!$I:$I,Q230)),IFERROR(LOOKUP(2,1/(($F$1:F229=G230)+($G$1:G229=G230)),IF($F$1:F229=G230,$N$1:N229,$O$1:O229)),1000))))</f>
        <v/>
      </c>
      <c r="J230" s="12" t="str">
        <f t="shared" si="16"/>
        <v/>
      </c>
      <c r="K230" s="12" t="str">
        <f>IF(C230="","",IF(C230="Match",IF(INDEX('Match Log'!$D:$D,D230)="Win",1,IF(INDEX('Match Log'!$D:$D,D230)="Draw",0.5,0)),IF(C230="Tournament",INDEX('Tournament Log'!$K:$K,E230),IF(INDEX('Guest Log'!$C:$C,Q230)="Win",1,IF(INDEX('Guest Log'!$C:$C,Q230)="Draw",0.5,0)))))</f>
        <v/>
      </c>
      <c r="L230" s="12" t="str">
        <f>IF(C230="","",IF(C230="Match",32,IF(C230="Tournament",MIN(32*INDEX('Tournament Log'!$D:$D,E230),96),32)))</f>
        <v/>
      </c>
      <c r="M230" s="12" t="str">
        <f t="shared" si="17"/>
        <v/>
      </c>
      <c r="N230" s="12" t="str">
        <f t="shared" si="18"/>
        <v/>
      </c>
      <c r="O230" s="12" t="str">
        <f t="shared" si="19"/>
        <v/>
      </c>
      <c r="P230" s="12" t="str">
        <f>IF(C230="Tournament",INDEX('Tournament Log'!$B:$B,E230),IF(C230="Guest","Guest: "&amp;INDEX('Guest Log'!$H:$H,Q230),""))</f>
        <v/>
      </c>
      <c r="Q230" t="str">
        <f>IFERROR(MATCH($A230,'Guest Log'!$L$4:$L$203,0)+3,"")</f>
        <v/>
      </c>
    </row>
    <row r="231" spans="1:17" ht="15" customHeight="1" x14ac:dyDescent="0.2">
      <c r="A231" s="12">
        <f>230</f>
        <v>230</v>
      </c>
      <c r="B231" s="12" t="str">
        <f>IF(C231="","",IF(C231="Match",INDEX('Match Log'!$A:$A,D231),IF(C231="Tournament",INDEX('Tournament Log'!$A:$A,E231),INDEX('Guest Log'!$A:$A,Q231))))</f>
        <v/>
      </c>
      <c r="C231" s="12" t="str">
        <f t="shared" si="15"/>
        <v/>
      </c>
      <c r="D231" s="31" t="str">
        <f>IFERROR(MATCH($A231,'Match Log'!$K$3:$K$501,0)+2,"")</f>
        <v/>
      </c>
      <c r="E231" s="31" t="str">
        <f>IFERROR(MATCH($A231,'Tournament Log'!$O$4:$O$203,0)+3,"")</f>
        <v/>
      </c>
      <c r="F231" s="12" t="str">
        <f>IF(C231="","",IF(C231="Match",INDEX('Match Log'!$B:$B,D231),IF(C231="Tournament",INDEX('Tournament Log'!$C:$C,E231),INDEX('Guest Log'!$B:$B,Q231))))</f>
        <v/>
      </c>
      <c r="G231" s="12" t="str">
        <f>IF(C231="","",IF(C231="Match",INDEX('Match Log'!$C:$C,D231),IF(C231="Tournament",INDEX('Tournament Log'!$B:$B,E231)&amp;" (Phantom)",INDEX('Guest Log'!$H:$H,Q231)&amp;" (Guest)")))</f>
        <v/>
      </c>
      <c r="H231" s="32" t="str">
        <f t="array" ref="H231">IF(C231="","",IFERROR(LOOKUP(2,1/(($F$1:F230=F231)+($G$1:G230=F231)),IF($F$1:F230=F231,$N$1:N230,$O$1:O230)),1000))</f>
        <v/>
      </c>
      <c r="I231" s="12" t="str">
        <f t="array" ref="I231">IF(C231="","",IF(C231="Tournament",INDEX('Tournament Log'!$J:$J,E231),IF(C231="Guest",IF(INDEX('Guest Log'!$I:$I,Q231)="",1000,INDEX('Guest Log'!$I:$I,Q231)),IFERROR(LOOKUP(2,1/(($F$1:F230=G231)+($G$1:G230=G231)),IF($F$1:F230=G231,$N$1:N230,$O$1:O230)),1000))))</f>
        <v/>
      </c>
      <c r="J231" s="12" t="str">
        <f t="shared" si="16"/>
        <v/>
      </c>
      <c r="K231" s="12" t="str">
        <f>IF(C231="","",IF(C231="Match",IF(INDEX('Match Log'!$D:$D,D231)="Win",1,IF(INDEX('Match Log'!$D:$D,D231)="Draw",0.5,0)),IF(C231="Tournament",INDEX('Tournament Log'!$K:$K,E231),IF(INDEX('Guest Log'!$C:$C,Q231)="Win",1,IF(INDEX('Guest Log'!$C:$C,Q231)="Draw",0.5,0)))))</f>
        <v/>
      </c>
      <c r="L231" s="12" t="str">
        <f>IF(C231="","",IF(C231="Match",32,IF(C231="Tournament",MIN(32*INDEX('Tournament Log'!$D:$D,E231),96),32)))</f>
        <v/>
      </c>
      <c r="M231" s="12" t="str">
        <f t="shared" si="17"/>
        <v/>
      </c>
      <c r="N231" s="12" t="str">
        <f t="shared" si="18"/>
        <v/>
      </c>
      <c r="O231" s="12" t="str">
        <f t="shared" si="19"/>
        <v/>
      </c>
      <c r="P231" s="12" t="str">
        <f>IF(C231="Tournament",INDEX('Tournament Log'!$B:$B,E231),IF(C231="Guest","Guest: "&amp;INDEX('Guest Log'!$H:$H,Q231),""))</f>
        <v/>
      </c>
      <c r="Q231" t="str">
        <f>IFERROR(MATCH($A231,'Guest Log'!$L$4:$L$203,0)+3,"")</f>
        <v/>
      </c>
    </row>
    <row r="232" spans="1:17" ht="15" customHeight="1" x14ac:dyDescent="0.2">
      <c r="A232" s="12">
        <f>231</f>
        <v>231</v>
      </c>
      <c r="B232" s="12" t="str">
        <f>IF(C232="","",IF(C232="Match",INDEX('Match Log'!$A:$A,D232),IF(C232="Tournament",INDEX('Tournament Log'!$A:$A,E232),INDEX('Guest Log'!$A:$A,Q232))))</f>
        <v/>
      </c>
      <c r="C232" s="12" t="str">
        <f t="shared" si="15"/>
        <v/>
      </c>
      <c r="D232" s="31" t="str">
        <f>IFERROR(MATCH($A232,'Match Log'!$K$3:$K$501,0)+2,"")</f>
        <v/>
      </c>
      <c r="E232" s="31" t="str">
        <f>IFERROR(MATCH($A232,'Tournament Log'!$O$4:$O$203,0)+3,"")</f>
        <v/>
      </c>
      <c r="F232" s="12" t="str">
        <f>IF(C232="","",IF(C232="Match",INDEX('Match Log'!$B:$B,D232),IF(C232="Tournament",INDEX('Tournament Log'!$C:$C,E232),INDEX('Guest Log'!$B:$B,Q232))))</f>
        <v/>
      </c>
      <c r="G232" s="12" t="str">
        <f>IF(C232="","",IF(C232="Match",INDEX('Match Log'!$C:$C,D232),IF(C232="Tournament",INDEX('Tournament Log'!$B:$B,E232)&amp;" (Phantom)",INDEX('Guest Log'!$H:$H,Q232)&amp;" (Guest)")))</f>
        <v/>
      </c>
      <c r="H232" s="32" t="str">
        <f t="array" ref="H232">IF(C232="","",IFERROR(LOOKUP(2,1/(($F$1:F231=F232)+($G$1:G231=F232)),IF($F$1:F231=F232,$N$1:N231,$O$1:O231)),1000))</f>
        <v/>
      </c>
      <c r="I232" s="12" t="str">
        <f t="array" ref="I232">IF(C232="","",IF(C232="Tournament",INDEX('Tournament Log'!$J:$J,E232),IF(C232="Guest",IF(INDEX('Guest Log'!$I:$I,Q232)="",1000,INDEX('Guest Log'!$I:$I,Q232)),IFERROR(LOOKUP(2,1/(($F$1:F231=G232)+($G$1:G231=G232)),IF($F$1:F231=G232,$N$1:N231,$O$1:O231)),1000))))</f>
        <v/>
      </c>
      <c r="J232" s="12" t="str">
        <f t="shared" si="16"/>
        <v/>
      </c>
      <c r="K232" s="12" t="str">
        <f>IF(C232="","",IF(C232="Match",IF(INDEX('Match Log'!$D:$D,D232)="Win",1,IF(INDEX('Match Log'!$D:$D,D232)="Draw",0.5,0)),IF(C232="Tournament",INDEX('Tournament Log'!$K:$K,E232),IF(INDEX('Guest Log'!$C:$C,Q232)="Win",1,IF(INDEX('Guest Log'!$C:$C,Q232)="Draw",0.5,0)))))</f>
        <v/>
      </c>
      <c r="L232" s="12" t="str">
        <f>IF(C232="","",IF(C232="Match",32,IF(C232="Tournament",MIN(32*INDEX('Tournament Log'!$D:$D,E232),96),32)))</f>
        <v/>
      </c>
      <c r="M232" s="12" t="str">
        <f t="shared" si="17"/>
        <v/>
      </c>
      <c r="N232" s="12" t="str">
        <f t="shared" si="18"/>
        <v/>
      </c>
      <c r="O232" s="12" t="str">
        <f t="shared" si="19"/>
        <v/>
      </c>
      <c r="P232" s="12" t="str">
        <f>IF(C232="Tournament",INDEX('Tournament Log'!$B:$B,E232),IF(C232="Guest","Guest: "&amp;INDEX('Guest Log'!$H:$H,Q232),""))</f>
        <v/>
      </c>
      <c r="Q232" t="str">
        <f>IFERROR(MATCH($A232,'Guest Log'!$L$4:$L$203,0)+3,"")</f>
        <v/>
      </c>
    </row>
    <row r="233" spans="1:17" ht="15" customHeight="1" x14ac:dyDescent="0.2">
      <c r="A233" s="12">
        <f>232</f>
        <v>232</v>
      </c>
      <c r="B233" s="12" t="str">
        <f>IF(C233="","",IF(C233="Match",INDEX('Match Log'!$A:$A,D233),IF(C233="Tournament",INDEX('Tournament Log'!$A:$A,E233),INDEX('Guest Log'!$A:$A,Q233))))</f>
        <v/>
      </c>
      <c r="C233" s="12" t="str">
        <f t="shared" si="15"/>
        <v/>
      </c>
      <c r="D233" s="31" t="str">
        <f>IFERROR(MATCH($A233,'Match Log'!$K$3:$K$501,0)+2,"")</f>
        <v/>
      </c>
      <c r="E233" s="31" t="str">
        <f>IFERROR(MATCH($A233,'Tournament Log'!$O$4:$O$203,0)+3,"")</f>
        <v/>
      </c>
      <c r="F233" s="12" t="str">
        <f>IF(C233="","",IF(C233="Match",INDEX('Match Log'!$B:$B,D233),IF(C233="Tournament",INDEX('Tournament Log'!$C:$C,E233),INDEX('Guest Log'!$B:$B,Q233))))</f>
        <v/>
      </c>
      <c r="G233" s="12" t="str">
        <f>IF(C233="","",IF(C233="Match",INDEX('Match Log'!$C:$C,D233),IF(C233="Tournament",INDEX('Tournament Log'!$B:$B,E233)&amp;" (Phantom)",INDEX('Guest Log'!$H:$H,Q233)&amp;" (Guest)")))</f>
        <v/>
      </c>
      <c r="H233" s="32" t="str">
        <f t="array" ref="H233">IF(C233="","",IFERROR(LOOKUP(2,1/(($F$1:F232=F233)+($G$1:G232=F233)),IF($F$1:F232=F233,$N$1:N232,$O$1:O232)),1000))</f>
        <v/>
      </c>
      <c r="I233" s="12" t="str">
        <f t="array" ref="I233">IF(C233="","",IF(C233="Tournament",INDEX('Tournament Log'!$J:$J,E233),IF(C233="Guest",IF(INDEX('Guest Log'!$I:$I,Q233)="",1000,INDEX('Guest Log'!$I:$I,Q233)),IFERROR(LOOKUP(2,1/(($F$1:F232=G233)+($G$1:G232=G233)),IF($F$1:F232=G233,$N$1:N232,$O$1:O232)),1000))))</f>
        <v/>
      </c>
      <c r="J233" s="12" t="str">
        <f t="shared" si="16"/>
        <v/>
      </c>
      <c r="K233" s="12" t="str">
        <f>IF(C233="","",IF(C233="Match",IF(INDEX('Match Log'!$D:$D,D233)="Win",1,IF(INDEX('Match Log'!$D:$D,D233)="Draw",0.5,0)),IF(C233="Tournament",INDEX('Tournament Log'!$K:$K,E233),IF(INDEX('Guest Log'!$C:$C,Q233)="Win",1,IF(INDEX('Guest Log'!$C:$C,Q233)="Draw",0.5,0)))))</f>
        <v/>
      </c>
      <c r="L233" s="12" t="str">
        <f>IF(C233="","",IF(C233="Match",32,IF(C233="Tournament",MIN(32*INDEX('Tournament Log'!$D:$D,E233),96),32)))</f>
        <v/>
      </c>
      <c r="M233" s="12" t="str">
        <f t="shared" si="17"/>
        <v/>
      </c>
      <c r="N233" s="12" t="str">
        <f t="shared" si="18"/>
        <v/>
      </c>
      <c r="O233" s="12" t="str">
        <f t="shared" si="19"/>
        <v/>
      </c>
      <c r="P233" s="12" t="str">
        <f>IF(C233="Tournament",INDEX('Tournament Log'!$B:$B,E233),IF(C233="Guest","Guest: "&amp;INDEX('Guest Log'!$H:$H,Q233),""))</f>
        <v/>
      </c>
      <c r="Q233" t="str">
        <f>IFERROR(MATCH($A233,'Guest Log'!$L$4:$L$203,0)+3,"")</f>
        <v/>
      </c>
    </row>
    <row r="234" spans="1:17" ht="15" customHeight="1" x14ac:dyDescent="0.2">
      <c r="A234" s="12">
        <f>233</f>
        <v>233</v>
      </c>
      <c r="B234" s="12" t="str">
        <f>IF(C234="","",IF(C234="Match",INDEX('Match Log'!$A:$A,D234),IF(C234="Tournament",INDEX('Tournament Log'!$A:$A,E234),INDEX('Guest Log'!$A:$A,Q234))))</f>
        <v/>
      </c>
      <c r="C234" s="12" t="str">
        <f t="shared" si="15"/>
        <v/>
      </c>
      <c r="D234" s="31" t="str">
        <f>IFERROR(MATCH($A234,'Match Log'!$K$3:$K$501,0)+2,"")</f>
        <v/>
      </c>
      <c r="E234" s="31" t="str">
        <f>IFERROR(MATCH($A234,'Tournament Log'!$O$4:$O$203,0)+3,"")</f>
        <v/>
      </c>
      <c r="F234" s="12" t="str">
        <f>IF(C234="","",IF(C234="Match",INDEX('Match Log'!$B:$B,D234),IF(C234="Tournament",INDEX('Tournament Log'!$C:$C,E234),INDEX('Guest Log'!$B:$B,Q234))))</f>
        <v/>
      </c>
      <c r="G234" s="12" t="str">
        <f>IF(C234="","",IF(C234="Match",INDEX('Match Log'!$C:$C,D234),IF(C234="Tournament",INDEX('Tournament Log'!$B:$B,E234)&amp;" (Phantom)",INDEX('Guest Log'!$H:$H,Q234)&amp;" (Guest)")))</f>
        <v/>
      </c>
      <c r="H234" s="32" t="str">
        <f t="array" ref="H234">IF(C234="","",IFERROR(LOOKUP(2,1/(($F$1:F233=F234)+($G$1:G233=F234)),IF($F$1:F233=F234,$N$1:N233,$O$1:O233)),1000))</f>
        <v/>
      </c>
      <c r="I234" s="12" t="str">
        <f t="array" ref="I234">IF(C234="","",IF(C234="Tournament",INDEX('Tournament Log'!$J:$J,E234),IF(C234="Guest",IF(INDEX('Guest Log'!$I:$I,Q234)="",1000,INDEX('Guest Log'!$I:$I,Q234)),IFERROR(LOOKUP(2,1/(($F$1:F233=G234)+($G$1:G233=G234)),IF($F$1:F233=G234,$N$1:N233,$O$1:O233)),1000))))</f>
        <v/>
      </c>
      <c r="J234" s="12" t="str">
        <f t="shared" si="16"/>
        <v/>
      </c>
      <c r="K234" s="12" t="str">
        <f>IF(C234="","",IF(C234="Match",IF(INDEX('Match Log'!$D:$D,D234)="Win",1,IF(INDEX('Match Log'!$D:$D,D234)="Draw",0.5,0)),IF(C234="Tournament",INDEX('Tournament Log'!$K:$K,E234),IF(INDEX('Guest Log'!$C:$C,Q234)="Win",1,IF(INDEX('Guest Log'!$C:$C,Q234)="Draw",0.5,0)))))</f>
        <v/>
      </c>
      <c r="L234" s="12" t="str">
        <f>IF(C234="","",IF(C234="Match",32,IF(C234="Tournament",MIN(32*INDEX('Tournament Log'!$D:$D,E234),96),32)))</f>
        <v/>
      </c>
      <c r="M234" s="12" t="str">
        <f t="shared" si="17"/>
        <v/>
      </c>
      <c r="N234" s="12" t="str">
        <f t="shared" si="18"/>
        <v/>
      </c>
      <c r="O234" s="12" t="str">
        <f t="shared" si="19"/>
        <v/>
      </c>
      <c r="P234" s="12" t="str">
        <f>IF(C234="Tournament",INDEX('Tournament Log'!$B:$B,E234),IF(C234="Guest","Guest: "&amp;INDEX('Guest Log'!$H:$H,Q234),""))</f>
        <v/>
      </c>
      <c r="Q234" t="str">
        <f>IFERROR(MATCH($A234,'Guest Log'!$L$4:$L$203,0)+3,"")</f>
        <v/>
      </c>
    </row>
    <row r="235" spans="1:17" ht="15" customHeight="1" x14ac:dyDescent="0.2">
      <c r="A235" s="12">
        <f>234</f>
        <v>234</v>
      </c>
      <c r="B235" s="12" t="str">
        <f>IF(C235="","",IF(C235="Match",INDEX('Match Log'!$A:$A,D235),IF(C235="Tournament",INDEX('Tournament Log'!$A:$A,E235),INDEX('Guest Log'!$A:$A,Q235))))</f>
        <v/>
      </c>
      <c r="C235" s="12" t="str">
        <f t="shared" si="15"/>
        <v/>
      </c>
      <c r="D235" s="31" t="str">
        <f>IFERROR(MATCH($A235,'Match Log'!$K$3:$K$501,0)+2,"")</f>
        <v/>
      </c>
      <c r="E235" s="31" t="str">
        <f>IFERROR(MATCH($A235,'Tournament Log'!$O$4:$O$203,0)+3,"")</f>
        <v/>
      </c>
      <c r="F235" s="12" t="str">
        <f>IF(C235="","",IF(C235="Match",INDEX('Match Log'!$B:$B,D235),IF(C235="Tournament",INDEX('Tournament Log'!$C:$C,E235),INDEX('Guest Log'!$B:$B,Q235))))</f>
        <v/>
      </c>
      <c r="G235" s="12" t="str">
        <f>IF(C235="","",IF(C235="Match",INDEX('Match Log'!$C:$C,D235),IF(C235="Tournament",INDEX('Tournament Log'!$B:$B,E235)&amp;" (Phantom)",INDEX('Guest Log'!$H:$H,Q235)&amp;" (Guest)")))</f>
        <v/>
      </c>
      <c r="H235" s="32" t="str">
        <f t="array" ref="H235">IF(C235="","",IFERROR(LOOKUP(2,1/(($F$1:F234=F235)+($G$1:G234=F235)),IF($F$1:F234=F235,$N$1:N234,$O$1:O234)),1000))</f>
        <v/>
      </c>
      <c r="I235" s="12" t="str">
        <f t="array" ref="I235">IF(C235="","",IF(C235="Tournament",INDEX('Tournament Log'!$J:$J,E235),IF(C235="Guest",IF(INDEX('Guest Log'!$I:$I,Q235)="",1000,INDEX('Guest Log'!$I:$I,Q235)),IFERROR(LOOKUP(2,1/(($F$1:F234=G235)+($G$1:G234=G235)),IF($F$1:F234=G235,$N$1:N234,$O$1:O234)),1000))))</f>
        <v/>
      </c>
      <c r="J235" s="12" t="str">
        <f t="shared" si="16"/>
        <v/>
      </c>
      <c r="K235" s="12" t="str">
        <f>IF(C235="","",IF(C235="Match",IF(INDEX('Match Log'!$D:$D,D235)="Win",1,IF(INDEX('Match Log'!$D:$D,D235)="Draw",0.5,0)),IF(C235="Tournament",INDEX('Tournament Log'!$K:$K,E235),IF(INDEX('Guest Log'!$C:$C,Q235)="Win",1,IF(INDEX('Guest Log'!$C:$C,Q235)="Draw",0.5,0)))))</f>
        <v/>
      </c>
      <c r="L235" s="12" t="str">
        <f>IF(C235="","",IF(C235="Match",32,IF(C235="Tournament",MIN(32*INDEX('Tournament Log'!$D:$D,E235),96),32)))</f>
        <v/>
      </c>
      <c r="M235" s="12" t="str">
        <f t="shared" si="17"/>
        <v/>
      </c>
      <c r="N235" s="12" t="str">
        <f t="shared" si="18"/>
        <v/>
      </c>
      <c r="O235" s="12" t="str">
        <f t="shared" si="19"/>
        <v/>
      </c>
      <c r="P235" s="12" t="str">
        <f>IF(C235="Tournament",INDEX('Tournament Log'!$B:$B,E235),IF(C235="Guest","Guest: "&amp;INDEX('Guest Log'!$H:$H,Q235),""))</f>
        <v/>
      </c>
      <c r="Q235" t="str">
        <f>IFERROR(MATCH($A235,'Guest Log'!$L$4:$L$203,0)+3,"")</f>
        <v/>
      </c>
    </row>
    <row r="236" spans="1:17" ht="15" customHeight="1" x14ac:dyDescent="0.2">
      <c r="A236" s="12">
        <f>235</f>
        <v>235</v>
      </c>
      <c r="B236" s="12" t="str">
        <f>IF(C236="","",IF(C236="Match",INDEX('Match Log'!$A:$A,D236),IF(C236="Tournament",INDEX('Tournament Log'!$A:$A,E236),INDEX('Guest Log'!$A:$A,Q236))))</f>
        <v/>
      </c>
      <c r="C236" s="12" t="str">
        <f t="shared" si="15"/>
        <v/>
      </c>
      <c r="D236" s="31" t="str">
        <f>IFERROR(MATCH($A236,'Match Log'!$K$3:$K$501,0)+2,"")</f>
        <v/>
      </c>
      <c r="E236" s="31" t="str">
        <f>IFERROR(MATCH($A236,'Tournament Log'!$O$4:$O$203,0)+3,"")</f>
        <v/>
      </c>
      <c r="F236" s="12" t="str">
        <f>IF(C236="","",IF(C236="Match",INDEX('Match Log'!$B:$B,D236),IF(C236="Tournament",INDEX('Tournament Log'!$C:$C,E236),INDEX('Guest Log'!$B:$B,Q236))))</f>
        <v/>
      </c>
      <c r="G236" s="12" t="str">
        <f>IF(C236="","",IF(C236="Match",INDEX('Match Log'!$C:$C,D236),IF(C236="Tournament",INDEX('Tournament Log'!$B:$B,E236)&amp;" (Phantom)",INDEX('Guest Log'!$H:$H,Q236)&amp;" (Guest)")))</f>
        <v/>
      </c>
      <c r="H236" s="32" t="str">
        <f t="array" ref="H236">IF(C236="","",IFERROR(LOOKUP(2,1/(($F$1:F235=F236)+($G$1:G235=F236)),IF($F$1:F235=F236,$N$1:N235,$O$1:O235)),1000))</f>
        <v/>
      </c>
      <c r="I236" s="12" t="str">
        <f t="array" ref="I236">IF(C236="","",IF(C236="Tournament",INDEX('Tournament Log'!$J:$J,E236),IF(C236="Guest",IF(INDEX('Guest Log'!$I:$I,Q236)="",1000,INDEX('Guest Log'!$I:$I,Q236)),IFERROR(LOOKUP(2,1/(($F$1:F235=G236)+($G$1:G235=G236)),IF($F$1:F235=G236,$N$1:N235,$O$1:O235)),1000))))</f>
        <v/>
      </c>
      <c r="J236" s="12" t="str">
        <f t="shared" si="16"/>
        <v/>
      </c>
      <c r="K236" s="12" t="str">
        <f>IF(C236="","",IF(C236="Match",IF(INDEX('Match Log'!$D:$D,D236)="Win",1,IF(INDEX('Match Log'!$D:$D,D236)="Draw",0.5,0)),IF(C236="Tournament",INDEX('Tournament Log'!$K:$K,E236),IF(INDEX('Guest Log'!$C:$C,Q236)="Win",1,IF(INDEX('Guest Log'!$C:$C,Q236)="Draw",0.5,0)))))</f>
        <v/>
      </c>
      <c r="L236" s="12" t="str">
        <f>IF(C236="","",IF(C236="Match",32,IF(C236="Tournament",MIN(32*INDEX('Tournament Log'!$D:$D,E236),96),32)))</f>
        <v/>
      </c>
      <c r="M236" s="12" t="str">
        <f t="shared" si="17"/>
        <v/>
      </c>
      <c r="N236" s="12" t="str">
        <f t="shared" si="18"/>
        <v/>
      </c>
      <c r="O236" s="12" t="str">
        <f t="shared" si="19"/>
        <v/>
      </c>
      <c r="P236" s="12" t="str">
        <f>IF(C236="Tournament",INDEX('Tournament Log'!$B:$B,E236),IF(C236="Guest","Guest: "&amp;INDEX('Guest Log'!$H:$H,Q236),""))</f>
        <v/>
      </c>
      <c r="Q236" t="str">
        <f>IFERROR(MATCH($A236,'Guest Log'!$L$4:$L$203,0)+3,"")</f>
        <v/>
      </c>
    </row>
    <row r="237" spans="1:17" ht="15" customHeight="1" x14ac:dyDescent="0.2">
      <c r="A237" s="12">
        <f>236</f>
        <v>236</v>
      </c>
      <c r="B237" s="12" t="str">
        <f>IF(C237="","",IF(C237="Match",INDEX('Match Log'!$A:$A,D237),IF(C237="Tournament",INDEX('Tournament Log'!$A:$A,E237),INDEX('Guest Log'!$A:$A,Q237))))</f>
        <v/>
      </c>
      <c r="C237" s="12" t="str">
        <f t="shared" si="15"/>
        <v/>
      </c>
      <c r="D237" s="31" t="str">
        <f>IFERROR(MATCH($A237,'Match Log'!$K$3:$K$501,0)+2,"")</f>
        <v/>
      </c>
      <c r="E237" s="31" t="str">
        <f>IFERROR(MATCH($A237,'Tournament Log'!$O$4:$O$203,0)+3,"")</f>
        <v/>
      </c>
      <c r="F237" s="12" t="str">
        <f>IF(C237="","",IF(C237="Match",INDEX('Match Log'!$B:$B,D237),IF(C237="Tournament",INDEX('Tournament Log'!$C:$C,E237),INDEX('Guest Log'!$B:$B,Q237))))</f>
        <v/>
      </c>
      <c r="G237" s="12" t="str">
        <f>IF(C237="","",IF(C237="Match",INDEX('Match Log'!$C:$C,D237),IF(C237="Tournament",INDEX('Tournament Log'!$B:$B,E237)&amp;" (Phantom)",INDEX('Guest Log'!$H:$H,Q237)&amp;" (Guest)")))</f>
        <v/>
      </c>
      <c r="H237" s="32" t="str">
        <f t="array" ref="H237">IF(C237="","",IFERROR(LOOKUP(2,1/(($F$1:F236=F237)+($G$1:G236=F237)),IF($F$1:F236=F237,$N$1:N236,$O$1:O236)),1000))</f>
        <v/>
      </c>
      <c r="I237" s="12" t="str">
        <f t="array" ref="I237">IF(C237="","",IF(C237="Tournament",INDEX('Tournament Log'!$J:$J,E237),IF(C237="Guest",IF(INDEX('Guest Log'!$I:$I,Q237)="",1000,INDEX('Guest Log'!$I:$I,Q237)),IFERROR(LOOKUP(2,1/(($F$1:F236=G237)+($G$1:G236=G237)),IF($F$1:F236=G237,$N$1:N236,$O$1:O236)),1000))))</f>
        <v/>
      </c>
      <c r="J237" s="12" t="str">
        <f t="shared" si="16"/>
        <v/>
      </c>
      <c r="K237" s="12" t="str">
        <f>IF(C237="","",IF(C237="Match",IF(INDEX('Match Log'!$D:$D,D237)="Win",1,IF(INDEX('Match Log'!$D:$D,D237)="Draw",0.5,0)),IF(C237="Tournament",INDEX('Tournament Log'!$K:$K,E237),IF(INDEX('Guest Log'!$C:$C,Q237)="Win",1,IF(INDEX('Guest Log'!$C:$C,Q237)="Draw",0.5,0)))))</f>
        <v/>
      </c>
      <c r="L237" s="12" t="str">
        <f>IF(C237="","",IF(C237="Match",32,IF(C237="Tournament",MIN(32*INDEX('Tournament Log'!$D:$D,E237),96),32)))</f>
        <v/>
      </c>
      <c r="M237" s="12" t="str">
        <f t="shared" si="17"/>
        <v/>
      </c>
      <c r="N237" s="12" t="str">
        <f t="shared" si="18"/>
        <v/>
      </c>
      <c r="O237" s="12" t="str">
        <f t="shared" si="19"/>
        <v/>
      </c>
      <c r="P237" s="12" t="str">
        <f>IF(C237="Tournament",INDEX('Tournament Log'!$B:$B,E237),IF(C237="Guest","Guest: "&amp;INDEX('Guest Log'!$H:$H,Q237),""))</f>
        <v/>
      </c>
      <c r="Q237" t="str">
        <f>IFERROR(MATCH($A237,'Guest Log'!$L$4:$L$203,0)+3,"")</f>
        <v/>
      </c>
    </row>
    <row r="238" spans="1:17" ht="15" customHeight="1" x14ac:dyDescent="0.2">
      <c r="A238" s="12">
        <f>237</f>
        <v>237</v>
      </c>
      <c r="B238" s="12" t="str">
        <f>IF(C238="","",IF(C238="Match",INDEX('Match Log'!$A:$A,D238),IF(C238="Tournament",INDEX('Tournament Log'!$A:$A,E238),INDEX('Guest Log'!$A:$A,Q238))))</f>
        <v/>
      </c>
      <c r="C238" s="12" t="str">
        <f t="shared" si="15"/>
        <v/>
      </c>
      <c r="D238" s="31" t="str">
        <f>IFERROR(MATCH($A238,'Match Log'!$K$3:$K$501,0)+2,"")</f>
        <v/>
      </c>
      <c r="E238" s="31" t="str">
        <f>IFERROR(MATCH($A238,'Tournament Log'!$O$4:$O$203,0)+3,"")</f>
        <v/>
      </c>
      <c r="F238" s="12" t="str">
        <f>IF(C238="","",IF(C238="Match",INDEX('Match Log'!$B:$B,D238),IF(C238="Tournament",INDEX('Tournament Log'!$C:$C,E238),INDEX('Guest Log'!$B:$B,Q238))))</f>
        <v/>
      </c>
      <c r="G238" s="12" t="str">
        <f>IF(C238="","",IF(C238="Match",INDEX('Match Log'!$C:$C,D238),IF(C238="Tournament",INDEX('Tournament Log'!$B:$B,E238)&amp;" (Phantom)",INDEX('Guest Log'!$H:$H,Q238)&amp;" (Guest)")))</f>
        <v/>
      </c>
      <c r="H238" s="32" t="str">
        <f t="array" ref="H238">IF(C238="","",IFERROR(LOOKUP(2,1/(($F$1:F237=F238)+($G$1:G237=F238)),IF($F$1:F237=F238,$N$1:N237,$O$1:O237)),1000))</f>
        <v/>
      </c>
      <c r="I238" s="12" t="str">
        <f t="array" ref="I238">IF(C238="","",IF(C238="Tournament",INDEX('Tournament Log'!$J:$J,E238),IF(C238="Guest",IF(INDEX('Guest Log'!$I:$I,Q238)="",1000,INDEX('Guest Log'!$I:$I,Q238)),IFERROR(LOOKUP(2,1/(($F$1:F237=G238)+($G$1:G237=G238)),IF($F$1:F237=G238,$N$1:N237,$O$1:O237)),1000))))</f>
        <v/>
      </c>
      <c r="J238" s="12" t="str">
        <f t="shared" si="16"/>
        <v/>
      </c>
      <c r="K238" s="12" t="str">
        <f>IF(C238="","",IF(C238="Match",IF(INDEX('Match Log'!$D:$D,D238)="Win",1,IF(INDEX('Match Log'!$D:$D,D238)="Draw",0.5,0)),IF(C238="Tournament",INDEX('Tournament Log'!$K:$K,E238),IF(INDEX('Guest Log'!$C:$C,Q238)="Win",1,IF(INDEX('Guest Log'!$C:$C,Q238)="Draw",0.5,0)))))</f>
        <v/>
      </c>
      <c r="L238" s="12" t="str">
        <f>IF(C238="","",IF(C238="Match",32,IF(C238="Tournament",MIN(32*INDEX('Tournament Log'!$D:$D,E238),96),32)))</f>
        <v/>
      </c>
      <c r="M238" s="12" t="str">
        <f t="shared" si="17"/>
        <v/>
      </c>
      <c r="N238" s="12" t="str">
        <f t="shared" si="18"/>
        <v/>
      </c>
      <c r="O238" s="12" t="str">
        <f t="shared" si="19"/>
        <v/>
      </c>
      <c r="P238" s="12" t="str">
        <f>IF(C238="Tournament",INDEX('Tournament Log'!$B:$B,E238),IF(C238="Guest","Guest: "&amp;INDEX('Guest Log'!$H:$H,Q238),""))</f>
        <v/>
      </c>
      <c r="Q238" t="str">
        <f>IFERROR(MATCH($A238,'Guest Log'!$L$4:$L$203,0)+3,"")</f>
        <v/>
      </c>
    </row>
    <row r="239" spans="1:17" ht="15" customHeight="1" x14ac:dyDescent="0.2">
      <c r="A239" s="12">
        <f>238</f>
        <v>238</v>
      </c>
      <c r="B239" s="12" t="str">
        <f>IF(C239="","",IF(C239="Match",INDEX('Match Log'!$A:$A,D239),IF(C239="Tournament",INDEX('Tournament Log'!$A:$A,E239),INDEX('Guest Log'!$A:$A,Q239))))</f>
        <v/>
      </c>
      <c r="C239" s="12" t="str">
        <f t="shared" si="15"/>
        <v/>
      </c>
      <c r="D239" s="31" t="str">
        <f>IFERROR(MATCH($A239,'Match Log'!$K$3:$K$501,0)+2,"")</f>
        <v/>
      </c>
      <c r="E239" s="31" t="str">
        <f>IFERROR(MATCH($A239,'Tournament Log'!$O$4:$O$203,0)+3,"")</f>
        <v/>
      </c>
      <c r="F239" s="12" t="str">
        <f>IF(C239="","",IF(C239="Match",INDEX('Match Log'!$B:$B,D239),IF(C239="Tournament",INDEX('Tournament Log'!$C:$C,E239),INDEX('Guest Log'!$B:$B,Q239))))</f>
        <v/>
      </c>
      <c r="G239" s="12" t="str">
        <f>IF(C239="","",IF(C239="Match",INDEX('Match Log'!$C:$C,D239),IF(C239="Tournament",INDEX('Tournament Log'!$B:$B,E239)&amp;" (Phantom)",INDEX('Guest Log'!$H:$H,Q239)&amp;" (Guest)")))</f>
        <v/>
      </c>
      <c r="H239" s="32" t="str">
        <f t="array" ref="H239">IF(C239="","",IFERROR(LOOKUP(2,1/(($F$1:F238=F239)+($G$1:G238=F239)),IF($F$1:F238=F239,$N$1:N238,$O$1:O238)),1000))</f>
        <v/>
      </c>
      <c r="I239" s="12" t="str">
        <f t="array" ref="I239">IF(C239="","",IF(C239="Tournament",INDEX('Tournament Log'!$J:$J,E239),IF(C239="Guest",IF(INDEX('Guest Log'!$I:$I,Q239)="",1000,INDEX('Guest Log'!$I:$I,Q239)),IFERROR(LOOKUP(2,1/(($F$1:F238=G239)+($G$1:G238=G239)),IF($F$1:F238=G239,$N$1:N238,$O$1:O238)),1000))))</f>
        <v/>
      </c>
      <c r="J239" s="12" t="str">
        <f t="shared" si="16"/>
        <v/>
      </c>
      <c r="K239" s="12" t="str">
        <f>IF(C239="","",IF(C239="Match",IF(INDEX('Match Log'!$D:$D,D239)="Win",1,IF(INDEX('Match Log'!$D:$D,D239)="Draw",0.5,0)),IF(C239="Tournament",INDEX('Tournament Log'!$K:$K,E239),IF(INDEX('Guest Log'!$C:$C,Q239)="Win",1,IF(INDEX('Guest Log'!$C:$C,Q239)="Draw",0.5,0)))))</f>
        <v/>
      </c>
      <c r="L239" s="12" t="str">
        <f>IF(C239="","",IF(C239="Match",32,IF(C239="Tournament",MIN(32*INDEX('Tournament Log'!$D:$D,E239),96),32)))</f>
        <v/>
      </c>
      <c r="M239" s="12" t="str">
        <f t="shared" si="17"/>
        <v/>
      </c>
      <c r="N239" s="12" t="str">
        <f t="shared" si="18"/>
        <v/>
      </c>
      <c r="O239" s="12" t="str">
        <f t="shared" si="19"/>
        <v/>
      </c>
      <c r="P239" s="12" t="str">
        <f>IF(C239="Tournament",INDEX('Tournament Log'!$B:$B,E239),IF(C239="Guest","Guest: "&amp;INDEX('Guest Log'!$H:$H,Q239),""))</f>
        <v/>
      </c>
      <c r="Q239" t="str">
        <f>IFERROR(MATCH($A239,'Guest Log'!$L$4:$L$203,0)+3,"")</f>
        <v/>
      </c>
    </row>
    <row r="240" spans="1:17" ht="15" customHeight="1" x14ac:dyDescent="0.2">
      <c r="A240" s="12">
        <f>239</f>
        <v>239</v>
      </c>
      <c r="B240" s="12" t="str">
        <f>IF(C240="","",IF(C240="Match",INDEX('Match Log'!$A:$A,D240),IF(C240="Tournament",INDEX('Tournament Log'!$A:$A,E240),INDEX('Guest Log'!$A:$A,Q240))))</f>
        <v/>
      </c>
      <c r="C240" s="12" t="str">
        <f t="shared" si="15"/>
        <v/>
      </c>
      <c r="D240" s="31" t="str">
        <f>IFERROR(MATCH($A240,'Match Log'!$K$3:$K$501,0)+2,"")</f>
        <v/>
      </c>
      <c r="E240" s="31" t="str">
        <f>IFERROR(MATCH($A240,'Tournament Log'!$O$4:$O$203,0)+3,"")</f>
        <v/>
      </c>
      <c r="F240" s="12" t="str">
        <f>IF(C240="","",IF(C240="Match",INDEX('Match Log'!$B:$B,D240),IF(C240="Tournament",INDEX('Tournament Log'!$C:$C,E240),INDEX('Guest Log'!$B:$B,Q240))))</f>
        <v/>
      </c>
      <c r="G240" s="12" t="str">
        <f>IF(C240="","",IF(C240="Match",INDEX('Match Log'!$C:$C,D240),IF(C240="Tournament",INDEX('Tournament Log'!$B:$B,E240)&amp;" (Phantom)",INDEX('Guest Log'!$H:$H,Q240)&amp;" (Guest)")))</f>
        <v/>
      </c>
      <c r="H240" s="32" t="str">
        <f t="array" ref="H240">IF(C240="","",IFERROR(LOOKUP(2,1/(($F$1:F239=F240)+($G$1:G239=F240)),IF($F$1:F239=F240,$N$1:N239,$O$1:O239)),1000))</f>
        <v/>
      </c>
      <c r="I240" s="12" t="str">
        <f t="array" ref="I240">IF(C240="","",IF(C240="Tournament",INDEX('Tournament Log'!$J:$J,E240),IF(C240="Guest",IF(INDEX('Guest Log'!$I:$I,Q240)="",1000,INDEX('Guest Log'!$I:$I,Q240)),IFERROR(LOOKUP(2,1/(($F$1:F239=G240)+($G$1:G239=G240)),IF($F$1:F239=G240,$N$1:N239,$O$1:O239)),1000))))</f>
        <v/>
      </c>
      <c r="J240" s="12" t="str">
        <f t="shared" si="16"/>
        <v/>
      </c>
      <c r="K240" s="12" t="str">
        <f>IF(C240="","",IF(C240="Match",IF(INDEX('Match Log'!$D:$D,D240)="Win",1,IF(INDEX('Match Log'!$D:$D,D240)="Draw",0.5,0)),IF(C240="Tournament",INDEX('Tournament Log'!$K:$K,E240),IF(INDEX('Guest Log'!$C:$C,Q240)="Win",1,IF(INDEX('Guest Log'!$C:$C,Q240)="Draw",0.5,0)))))</f>
        <v/>
      </c>
      <c r="L240" s="12" t="str">
        <f>IF(C240="","",IF(C240="Match",32,IF(C240="Tournament",MIN(32*INDEX('Tournament Log'!$D:$D,E240),96),32)))</f>
        <v/>
      </c>
      <c r="M240" s="12" t="str">
        <f t="shared" si="17"/>
        <v/>
      </c>
      <c r="N240" s="12" t="str">
        <f t="shared" si="18"/>
        <v/>
      </c>
      <c r="O240" s="12" t="str">
        <f t="shared" si="19"/>
        <v/>
      </c>
      <c r="P240" s="12" t="str">
        <f>IF(C240="Tournament",INDEX('Tournament Log'!$B:$B,E240),IF(C240="Guest","Guest: "&amp;INDEX('Guest Log'!$H:$H,Q240),""))</f>
        <v/>
      </c>
      <c r="Q240" t="str">
        <f>IFERROR(MATCH($A240,'Guest Log'!$L$4:$L$203,0)+3,"")</f>
        <v/>
      </c>
    </row>
    <row r="241" spans="1:17" ht="15" customHeight="1" x14ac:dyDescent="0.2">
      <c r="A241" s="12">
        <f>240</f>
        <v>240</v>
      </c>
      <c r="B241" s="12" t="str">
        <f>IF(C241="","",IF(C241="Match",INDEX('Match Log'!$A:$A,D241),IF(C241="Tournament",INDEX('Tournament Log'!$A:$A,E241),INDEX('Guest Log'!$A:$A,Q241))))</f>
        <v/>
      </c>
      <c r="C241" s="12" t="str">
        <f t="shared" si="15"/>
        <v/>
      </c>
      <c r="D241" s="31" t="str">
        <f>IFERROR(MATCH($A241,'Match Log'!$K$3:$K$501,0)+2,"")</f>
        <v/>
      </c>
      <c r="E241" s="31" t="str">
        <f>IFERROR(MATCH($A241,'Tournament Log'!$O$4:$O$203,0)+3,"")</f>
        <v/>
      </c>
      <c r="F241" s="12" t="str">
        <f>IF(C241="","",IF(C241="Match",INDEX('Match Log'!$B:$B,D241),IF(C241="Tournament",INDEX('Tournament Log'!$C:$C,E241),INDEX('Guest Log'!$B:$B,Q241))))</f>
        <v/>
      </c>
      <c r="G241" s="12" t="str">
        <f>IF(C241="","",IF(C241="Match",INDEX('Match Log'!$C:$C,D241),IF(C241="Tournament",INDEX('Tournament Log'!$B:$B,E241)&amp;" (Phantom)",INDEX('Guest Log'!$H:$H,Q241)&amp;" (Guest)")))</f>
        <v/>
      </c>
      <c r="H241" s="32" t="str">
        <f t="array" ref="H241">IF(C241="","",IFERROR(LOOKUP(2,1/(($F$1:F240=F241)+($G$1:G240=F241)),IF($F$1:F240=F241,$N$1:N240,$O$1:O240)),1000))</f>
        <v/>
      </c>
      <c r="I241" s="12" t="str">
        <f t="array" ref="I241">IF(C241="","",IF(C241="Tournament",INDEX('Tournament Log'!$J:$J,E241),IF(C241="Guest",IF(INDEX('Guest Log'!$I:$I,Q241)="",1000,INDEX('Guest Log'!$I:$I,Q241)),IFERROR(LOOKUP(2,1/(($F$1:F240=G241)+($G$1:G240=G241)),IF($F$1:F240=G241,$N$1:N240,$O$1:O240)),1000))))</f>
        <v/>
      </c>
      <c r="J241" s="12" t="str">
        <f t="shared" si="16"/>
        <v/>
      </c>
      <c r="K241" s="12" t="str">
        <f>IF(C241="","",IF(C241="Match",IF(INDEX('Match Log'!$D:$D,D241)="Win",1,IF(INDEX('Match Log'!$D:$D,D241)="Draw",0.5,0)),IF(C241="Tournament",INDEX('Tournament Log'!$K:$K,E241),IF(INDEX('Guest Log'!$C:$C,Q241)="Win",1,IF(INDEX('Guest Log'!$C:$C,Q241)="Draw",0.5,0)))))</f>
        <v/>
      </c>
      <c r="L241" s="12" t="str">
        <f>IF(C241="","",IF(C241="Match",32,IF(C241="Tournament",MIN(32*INDEX('Tournament Log'!$D:$D,E241),96),32)))</f>
        <v/>
      </c>
      <c r="M241" s="12" t="str">
        <f t="shared" si="17"/>
        <v/>
      </c>
      <c r="N241" s="12" t="str">
        <f t="shared" si="18"/>
        <v/>
      </c>
      <c r="O241" s="12" t="str">
        <f t="shared" si="19"/>
        <v/>
      </c>
      <c r="P241" s="12" t="str">
        <f>IF(C241="Tournament",INDEX('Tournament Log'!$B:$B,E241),IF(C241="Guest","Guest: "&amp;INDEX('Guest Log'!$H:$H,Q241),""))</f>
        <v/>
      </c>
      <c r="Q241" t="str">
        <f>IFERROR(MATCH($A241,'Guest Log'!$L$4:$L$203,0)+3,"")</f>
        <v/>
      </c>
    </row>
    <row r="242" spans="1:17" ht="15" customHeight="1" x14ac:dyDescent="0.2">
      <c r="A242" s="12">
        <f>241</f>
        <v>241</v>
      </c>
      <c r="B242" s="12" t="str">
        <f>IF(C242="","",IF(C242="Match",INDEX('Match Log'!$A:$A,D242),IF(C242="Tournament",INDEX('Tournament Log'!$A:$A,E242),INDEX('Guest Log'!$A:$A,Q242))))</f>
        <v/>
      </c>
      <c r="C242" s="12" t="str">
        <f t="shared" si="15"/>
        <v/>
      </c>
      <c r="D242" s="31" t="str">
        <f>IFERROR(MATCH($A242,'Match Log'!$K$3:$K$501,0)+2,"")</f>
        <v/>
      </c>
      <c r="E242" s="31" t="str">
        <f>IFERROR(MATCH($A242,'Tournament Log'!$O$4:$O$203,0)+3,"")</f>
        <v/>
      </c>
      <c r="F242" s="12" t="str">
        <f>IF(C242="","",IF(C242="Match",INDEX('Match Log'!$B:$B,D242),IF(C242="Tournament",INDEX('Tournament Log'!$C:$C,E242),INDEX('Guest Log'!$B:$B,Q242))))</f>
        <v/>
      </c>
      <c r="G242" s="12" t="str">
        <f>IF(C242="","",IF(C242="Match",INDEX('Match Log'!$C:$C,D242),IF(C242="Tournament",INDEX('Tournament Log'!$B:$B,E242)&amp;" (Phantom)",INDEX('Guest Log'!$H:$H,Q242)&amp;" (Guest)")))</f>
        <v/>
      </c>
      <c r="H242" s="32" t="str">
        <f t="array" ref="H242">IF(C242="","",IFERROR(LOOKUP(2,1/(($F$1:F241=F242)+($G$1:G241=F242)),IF($F$1:F241=F242,$N$1:N241,$O$1:O241)),1000))</f>
        <v/>
      </c>
      <c r="I242" s="12" t="str">
        <f t="array" ref="I242">IF(C242="","",IF(C242="Tournament",INDEX('Tournament Log'!$J:$J,E242),IF(C242="Guest",IF(INDEX('Guest Log'!$I:$I,Q242)="",1000,INDEX('Guest Log'!$I:$I,Q242)),IFERROR(LOOKUP(2,1/(($F$1:F241=G242)+($G$1:G241=G242)),IF($F$1:F241=G242,$N$1:N241,$O$1:O241)),1000))))</f>
        <v/>
      </c>
      <c r="J242" s="12" t="str">
        <f t="shared" si="16"/>
        <v/>
      </c>
      <c r="K242" s="12" t="str">
        <f>IF(C242="","",IF(C242="Match",IF(INDEX('Match Log'!$D:$D,D242)="Win",1,IF(INDEX('Match Log'!$D:$D,D242)="Draw",0.5,0)),IF(C242="Tournament",INDEX('Tournament Log'!$K:$K,E242),IF(INDEX('Guest Log'!$C:$C,Q242)="Win",1,IF(INDEX('Guest Log'!$C:$C,Q242)="Draw",0.5,0)))))</f>
        <v/>
      </c>
      <c r="L242" s="12" t="str">
        <f>IF(C242="","",IF(C242="Match",32,IF(C242="Tournament",MIN(32*INDEX('Tournament Log'!$D:$D,E242),96),32)))</f>
        <v/>
      </c>
      <c r="M242" s="12" t="str">
        <f t="shared" si="17"/>
        <v/>
      </c>
      <c r="N242" s="12" t="str">
        <f t="shared" si="18"/>
        <v/>
      </c>
      <c r="O242" s="12" t="str">
        <f t="shared" si="19"/>
        <v/>
      </c>
      <c r="P242" s="12" t="str">
        <f>IF(C242="Tournament",INDEX('Tournament Log'!$B:$B,E242),IF(C242="Guest","Guest: "&amp;INDEX('Guest Log'!$H:$H,Q242),""))</f>
        <v/>
      </c>
      <c r="Q242" t="str">
        <f>IFERROR(MATCH($A242,'Guest Log'!$L$4:$L$203,0)+3,"")</f>
        <v/>
      </c>
    </row>
    <row r="243" spans="1:17" ht="15" customHeight="1" x14ac:dyDescent="0.2">
      <c r="A243" s="12">
        <f>242</f>
        <v>242</v>
      </c>
      <c r="B243" s="12" t="str">
        <f>IF(C243="","",IF(C243="Match",INDEX('Match Log'!$A:$A,D243),IF(C243="Tournament",INDEX('Tournament Log'!$A:$A,E243),INDEX('Guest Log'!$A:$A,Q243))))</f>
        <v/>
      </c>
      <c r="C243" s="12" t="str">
        <f t="shared" si="15"/>
        <v/>
      </c>
      <c r="D243" s="31" t="str">
        <f>IFERROR(MATCH($A243,'Match Log'!$K$3:$K$501,0)+2,"")</f>
        <v/>
      </c>
      <c r="E243" s="31" t="str">
        <f>IFERROR(MATCH($A243,'Tournament Log'!$O$4:$O$203,0)+3,"")</f>
        <v/>
      </c>
      <c r="F243" s="12" t="str">
        <f>IF(C243="","",IF(C243="Match",INDEX('Match Log'!$B:$B,D243),IF(C243="Tournament",INDEX('Tournament Log'!$C:$C,E243),INDEX('Guest Log'!$B:$B,Q243))))</f>
        <v/>
      </c>
      <c r="G243" s="12" t="str">
        <f>IF(C243="","",IF(C243="Match",INDEX('Match Log'!$C:$C,D243),IF(C243="Tournament",INDEX('Tournament Log'!$B:$B,E243)&amp;" (Phantom)",INDEX('Guest Log'!$H:$H,Q243)&amp;" (Guest)")))</f>
        <v/>
      </c>
      <c r="H243" s="32" t="str">
        <f t="array" ref="H243">IF(C243="","",IFERROR(LOOKUP(2,1/(($F$1:F242=F243)+($G$1:G242=F243)),IF($F$1:F242=F243,$N$1:N242,$O$1:O242)),1000))</f>
        <v/>
      </c>
      <c r="I243" s="12" t="str">
        <f t="array" ref="I243">IF(C243="","",IF(C243="Tournament",INDEX('Tournament Log'!$J:$J,E243),IF(C243="Guest",IF(INDEX('Guest Log'!$I:$I,Q243)="",1000,INDEX('Guest Log'!$I:$I,Q243)),IFERROR(LOOKUP(2,1/(($F$1:F242=G243)+($G$1:G242=G243)),IF($F$1:F242=G243,$N$1:N242,$O$1:O242)),1000))))</f>
        <v/>
      </c>
      <c r="J243" s="12" t="str">
        <f t="shared" si="16"/>
        <v/>
      </c>
      <c r="K243" s="12" t="str">
        <f>IF(C243="","",IF(C243="Match",IF(INDEX('Match Log'!$D:$D,D243)="Win",1,IF(INDEX('Match Log'!$D:$D,D243)="Draw",0.5,0)),IF(C243="Tournament",INDEX('Tournament Log'!$K:$K,E243),IF(INDEX('Guest Log'!$C:$C,Q243)="Win",1,IF(INDEX('Guest Log'!$C:$C,Q243)="Draw",0.5,0)))))</f>
        <v/>
      </c>
      <c r="L243" s="12" t="str">
        <f>IF(C243="","",IF(C243="Match",32,IF(C243="Tournament",MIN(32*INDEX('Tournament Log'!$D:$D,E243),96),32)))</f>
        <v/>
      </c>
      <c r="M243" s="12" t="str">
        <f t="shared" si="17"/>
        <v/>
      </c>
      <c r="N243" s="12" t="str">
        <f t="shared" si="18"/>
        <v/>
      </c>
      <c r="O243" s="12" t="str">
        <f t="shared" si="19"/>
        <v/>
      </c>
      <c r="P243" s="12" t="str">
        <f>IF(C243="Tournament",INDEX('Tournament Log'!$B:$B,E243),IF(C243="Guest","Guest: "&amp;INDEX('Guest Log'!$H:$H,Q243),""))</f>
        <v/>
      </c>
      <c r="Q243" t="str">
        <f>IFERROR(MATCH($A243,'Guest Log'!$L$4:$L$203,0)+3,"")</f>
        <v/>
      </c>
    </row>
    <row r="244" spans="1:17" ht="15" customHeight="1" x14ac:dyDescent="0.2">
      <c r="A244" s="12">
        <f>243</f>
        <v>243</v>
      </c>
      <c r="B244" s="12" t="str">
        <f>IF(C244="","",IF(C244="Match",INDEX('Match Log'!$A:$A,D244),IF(C244="Tournament",INDEX('Tournament Log'!$A:$A,E244),INDEX('Guest Log'!$A:$A,Q244))))</f>
        <v/>
      </c>
      <c r="C244" s="12" t="str">
        <f t="shared" si="15"/>
        <v/>
      </c>
      <c r="D244" s="31" t="str">
        <f>IFERROR(MATCH($A244,'Match Log'!$K$3:$K$501,0)+2,"")</f>
        <v/>
      </c>
      <c r="E244" s="31" t="str">
        <f>IFERROR(MATCH($A244,'Tournament Log'!$O$4:$O$203,0)+3,"")</f>
        <v/>
      </c>
      <c r="F244" s="12" t="str">
        <f>IF(C244="","",IF(C244="Match",INDEX('Match Log'!$B:$B,D244),IF(C244="Tournament",INDEX('Tournament Log'!$C:$C,E244),INDEX('Guest Log'!$B:$B,Q244))))</f>
        <v/>
      </c>
      <c r="G244" s="12" t="str">
        <f>IF(C244="","",IF(C244="Match",INDEX('Match Log'!$C:$C,D244),IF(C244="Tournament",INDEX('Tournament Log'!$B:$B,E244)&amp;" (Phantom)",INDEX('Guest Log'!$H:$H,Q244)&amp;" (Guest)")))</f>
        <v/>
      </c>
      <c r="H244" s="32" t="str">
        <f t="array" ref="H244">IF(C244="","",IFERROR(LOOKUP(2,1/(($F$1:F243=F244)+($G$1:G243=F244)),IF($F$1:F243=F244,$N$1:N243,$O$1:O243)),1000))</f>
        <v/>
      </c>
      <c r="I244" s="12" t="str">
        <f t="array" ref="I244">IF(C244="","",IF(C244="Tournament",INDEX('Tournament Log'!$J:$J,E244),IF(C244="Guest",IF(INDEX('Guest Log'!$I:$I,Q244)="",1000,INDEX('Guest Log'!$I:$I,Q244)),IFERROR(LOOKUP(2,1/(($F$1:F243=G244)+($G$1:G243=G244)),IF($F$1:F243=G244,$N$1:N243,$O$1:O243)),1000))))</f>
        <v/>
      </c>
      <c r="J244" s="12" t="str">
        <f t="shared" si="16"/>
        <v/>
      </c>
      <c r="K244" s="12" t="str">
        <f>IF(C244="","",IF(C244="Match",IF(INDEX('Match Log'!$D:$D,D244)="Win",1,IF(INDEX('Match Log'!$D:$D,D244)="Draw",0.5,0)),IF(C244="Tournament",INDEX('Tournament Log'!$K:$K,E244),IF(INDEX('Guest Log'!$C:$C,Q244)="Win",1,IF(INDEX('Guest Log'!$C:$C,Q244)="Draw",0.5,0)))))</f>
        <v/>
      </c>
      <c r="L244" s="12" t="str">
        <f>IF(C244="","",IF(C244="Match",32,IF(C244="Tournament",MIN(32*INDEX('Tournament Log'!$D:$D,E244),96),32)))</f>
        <v/>
      </c>
      <c r="M244" s="12" t="str">
        <f t="shared" si="17"/>
        <v/>
      </c>
      <c r="N244" s="12" t="str">
        <f t="shared" si="18"/>
        <v/>
      </c>
      <c r="O244" s="12" t="str">
        <f t="shared" si="19"/>
        <v/>
      </c>
      <c r="P244" s="12" t="str">
        <f>IF(C244="Tournament",INDEX('Tournament Log'!$B:$B,E244),IF(C244="Guest","Guest: "&amp;INDEX('Guest Log'!$H:$H,Q244),""))</f>
        <v/>
      </c>
      <c r="Q244" t="str">
        <f>IFERROR(MATCH($A244,'Guest Log'!$L$4:$L$203,0)+3,"")</f>
        <v/>
      </c>
    </row>
    <row r="245" spans="1:17" ht="15" customHeight="1" x14ac:dyDescent="0.2">
      <c r="A245" s="12">
        <f>244</f>
        <v>244</v>
      </c>
      <c r="B245" s="12" t="str">
        <f>IF(C245="","",IF(C245="Match",INDEX('Match Log'!$A:$A,D245),IF(C245="Tournament",INDEX('Tournament Log'!$A:$A,E245),INDEX('Guest Log'!$A:$A,Q245))))</f>
        <v/>
      </c>
      <c r="C245" s="12" t="str">
        <f t="shared" si="15"/>
        <v/>
      </c>
      <c r="D245" s="31" t="str">
        <f>IFERROR(MATCH($A245,'Match Log'!$K$3:$K$501,0)+2,"")</f>
        <v/>
      </c>
      <c r="E245" s="31" t="str">
        <f>IFERROR(MATCH($A245,'Tournament Log'!$O$4:$O$203,0)+3,"")</f>
        <v/>
      </c>
      <c r="F245" s="12" t="str">
        <f>IF(C245="","",IF(C245="Match",INDEX('Match Log'!$B:$B,D245),IF(C245="Tournament",INDEX('Tournament Log'!$C:$C,E245),INDEX('Guest Log'!$B:$B,Q245))))</f>
        <v/>
      </c>
      <c r="G245" s="12" t="str">
        <f>IF(C245="","",IF(C245="Match",INDEX('Match Log'!$C:$C,D245),IF(C245="Tournament",INDEX('Tournament Log'!$B:$B,E245)&amp;" (Phantom)",INDEX('Guest Log'!$H:$H,Q245)&amp;" (Guest)")))</f>
        <v/>
      </c>
      <c r="H245" s="32" t="str">
        <f t="array" ref="H245">IF(C245="","",IFERROR(LOOKUP(2,1/(($F$1:F244=F245)+($G$1:G244=F245)),IF($F$1:F244=F245,$N$1:N244,$O$1:O244)),1000))</f>
        <v/>
      </c>
      <c r="I245" s="12" t="str">
        <f t="array" ref="I245">IF(C245="","",IF(C245="Tournament",INDEX('Tournament Log'!$J:$J,E245),IF(C245="Guest",IF(INDEX('Guest Log'!$I:$I,Q245)="",1000,INDEX('Guest Log'!$I:$I,Q245)),IFERROR(LOOKUP(2,1/(($F$1:F244=G245)+($G$1:G244=G245)),IF($F$1:F244=G245,$N$1:N244,$O$1:O244)),1000))))</f>
        <v/>
      </c>
      <c r="J245" s="12" t="str">
        <f t="shared" si="16"/>
        <v/>
      </c>
      <c r="K245" s="12" t="str">
        <f>IF(C245="","",IF(C245="Match",IF(INDEX('Match Log'!$D:$D,D245)="Win",1,IF(INDEX('Match Log'!$D:$D,D245)="Draw",0.5,0)),IF(C245="Tournament",INDEX('Tournament Log'!$K:$K,E245),IF(INDEX('Guest Log'!$C:$C,Q245)="Win",1,IF(INDEX('Guest Log'!$C:$C,Q245)="Draw",0.5,0)))))</f>
        <v/>
      </c>
      <c r="L245" s="12" t="str">
        <f>IF(C245="","",IF(C245="Match",32,IF(C245="Tournament",MIN(32*INDEX('Tournament Log'!$D:$D,E245),96),32)))</f>
        <v/>
      </c>
      <c r="M245" s="12" t="str">
        <f t="shared" si="17"/>
        <v/>
      </c>
      <c r="N245" s="12" t="str">
        <f t="shared" si="18"/>
        <v/>
      </c>
      <c r="O245" s="12" t="str">
        <f t="shared" si="19"/>
        <v/>
      </c>
      <c r="P245" s="12" t="str">
        <f>IF(C245="Tournament",INDEX('Tournament Log'!$B:$B,E245),IF(C245="Guest","Guest: "&amp;INDEX('Guest Log'!$H:$H,Q245),""))</f>
        <v/>
      </c>
      <c r="Q245" t="str">
        <f>IFERROR(MATCH($A245,'Guest Log'!$L$4:$L$203,0)+3,"")</f>
        <v/>
      </c>
    </row>
    <row r="246" spans="1:17" ht="15" customHeight="1" x14ac:dyDescent="0.2">
      <c r="A246" s="12">
        <f>245</f>
        <v>245</v>
      </c>
      <c r="B246" s="12" t="str">
        <f>IF(C246="","",IF(C246="Match",INDEX('Match Log'!$A:$A,D246),IF(C246="Tournament",INDEX('Tournament Log'!$A:$A,E246),INDEX('Guest Log'!$A:$A,Q246))))</f>
        <v/>
      </c>
      <c r="C246" s="12" t="str">
        <f t="shared" si="15"/>
        <v/>
      </c>
      <c r="D246" s="31" t="str">
        <f>IFERROR(MATCH($A246,'Match Log'!$K$3:$K$501,0)+2,"")</f>
        <v/>
      </c>
      <c r="E246" s="31" t="str">
        <f>IFERROR(MATCH($A246,'Tournament Log'!$O$4:$O$203,0)+3,"")</f>
        <v/>
      </c>
      <c r="F246" s="12" t="str">
        <f>IF(C246="","",IF(C246="Match",INDEX('Match Log'!$B:$B,D246),IF(C246="Tournament",INDEX('Tournament Log'!$C:$C,E246),INDEX('Guest Log'!$B:$B,Q246))))</f>
        <v/>
      </c>
      <c r="G246" s="12" t="str">
        <f>IF(C246="","",IF(C246="Match",INDEX('Match Log'!$C:$C,D246),IF(C246="Tournament",INDEX('Tournament Log'!$B:$B,E246)&amp;" (Phantom)",INDEX('Guest Log'!$H:$H,Q246)&amp;" (Guest)")))</f>
        <v/>
      </c>
      <c r="H246" s="32" t="str">
        <f t="array" ref="H246">IF(C246="","",IFERROR(LOOKUP(2,1/(($F$1:F245=F246)+($G$1:G245=F246)),IF($F$1:F245=F246,$N$1:N245,$O$1:O245)),1000))</f>
        <v/>
      </c>
      <c r="I246" s="12" t="str">
        <f t="array" ref="I246">IF(C246="","",IF(C246="Tournament",INDEX('Tournament Log'!$J:$J,E246),IF(C246="Guest",IF(INDEX('Guest Log'!$I:$I,Q246)="",1000,INDEX('Guest Log'!$I:$I,Q246)),IFERROR(LOOKUP(2,1/(($F$1:F245=G246)+($G$1:G245=G246)),IF($F$1:F245=G246,$N$1:N245,$O$1:O245)),1000))))</f>
        <v/>
      </c>
      <c r="J246" s="12" t="str">
        <f t="shared" si="16"/>
        <v/>
      </c>
      <c r="K246" s="12" t="str">
        <f>IF(C246="","",IF(C246="Match",IF(INDEX('Match Log'!$D:$D,D246)="Win",1,IF(INDEX('Match Log'!$D:$D,D246)="Draw",0.5,0)),IF(C246="Tournament",INDEX('Tournament Log'!$K:$K,E246),IF(INDEX('Guest Log'!$C:$C,Q246)="Win",1,IF(INDEX('Guest Log'!$C:$C,Q246)="Draw",0.5,0)))))</f>
        <v/>
      </c>
      <c r="L246" s="12" t="str">
        <f>IF(C246="","",IF(C246="Match",32,IF(C246="Tournament",MIN(32*INDEX('Tournament Log'!$D:$D,E246),96),32)))</f>
        <v/>
      </c>
      <c r="M246" s="12" t="str">
        <f t="shared" si="17"/>
        <v/>
      </c>
      <c r="N246" s="12" t="str">
        <f t="shared" si="18"/>
        <v/>
      </c>
      <c r="O246" s="12" t="str">
        <f t="shared" si="19"/>
        <v/>
      </c>
      <c r="P246" s="12" t="str">
        <f>IF(C246="Tournament",INDEX('Tournament Log'!$B:$B,E246),IF(C246="Guest","Guest: "&amp;INDEX('Guest Log'!$H:$H,Q246),""))</f>
        <v/>
      </c>
      <c r="Q246" t="str">
        <f>IFERROR(MATCH($A246,'Guest Log'!$L$4:$L$203,0)+3,"")</f>
        <v/>
      </c>
    </row>
    <row r="247" spans="1:17" ht="15" customHeight="1" x14ac:dyDescent="0.2">
      <c r="A247" s="12">
        <f>246</f>
        <v>246</v>
      </c>
      <c r="B247" s="12" t="str">
        <f>IF(C247="","",IF(C247="Match",INDEX('Match Log'!$A:$A,D247),IF(C247="Tournament",INDEX('Tournament Log'!$A:$A,E247),INDEX('Guest Log'!$A:$A,Q247))))</f>
        <v/>
      </c>
      <c r="C247" s="12" t="str">
        <f t="shared" si="15"/>
        <v/>
      </c>
      <c r="D247" s="31" t="str">
        <f>IFERROR(MATCH($A247,'Match Log'!$K$3:$K$501,0)+2,"")</f>
        <v/>
      </c>
      <c r="E247" s="31" t="str">
        <f>IFERROR(MATCH($A247,'Tournament Log'!$O$4:$O$203,0)+3,"")</f>
        <v/>
      </c>
      <c r="F247" s="12" t="str">
        <f>IF(C247="","",IF(C247="Match",INDEX('Match Log'!$B:$B,D247),IF(C247="Tournament",INDEX('Tournament Log'!$C:$C,E247),INDEX('Guest Log'!$B:$B,Q247))))</f>
        <v/>
      </c>
      <c r="G247" s="12" t="str">
        <f>IF(C247="","",IF(C247="Match",INDEX('Match Log'!$C:$C,D247),IF(C247="Tournament",INDEX('Tournament Log'!$B:$B,E247)&amp;" (Phantom)",INDEX('Guest Log'!$H:$H,Q247)&amp;" (Guest)")))</f>
        <v/>
      </c>
      <c r="H247" s="32" t="str">
        <f t="array" ref="H247">IF(C247="","",IFERROR(LOOKUP(2,1/(($F$1:F246=F247)+($G$1:G246=F247)),IF($F$1:F246=F247,$N$1:N246,$O$1:O246)),1000))</f>
        <v/>
      </c>
      <c r="I247" s="12" t="str">
        <f t="array" ref="I247">IF(C247="","",IF(C247="Tournament",INDEX('Tournament Log'!$J:$J,E247),IF(C247="Guest",IF(INDEX('Guest Log'!$I:$I,Q247)="",1000,INDEX('Guest Log'!$I:$I,Q247)),IFERROR(LOOKUP(2,1/(($F$1:F246=G247)+($G$1:G246=G247)),IF($F$1:F246=G247,$N$1:N246,$O$1:O246)),1000))))</f>
        <v/>
      </c>
      <c r="J247" s="12" t="str">
        <f t="shared" si="16"/>
        <v/>
      </c>
      <c r="K247" s="12" t="str">
        <f>IF(C247="","",IF(C247="Match",IF(INDEX('Match Log'!$D:$D,D247)="Win",1,IF(INDEX('Match Log'!$D:$D,D247)="Draw",0.5,0)),IF(C247="Tournament",INDEX('Tournament Log'!$K:$K,E247),IF(INDEX('Guest Log'!$C:$C,Q247)="Win",1,IF(INDEX('Guest Log'!$C:$C,Q247)="Draw",0.5,0)))))</f>
        <v/>
      </c>
      <c r="L247" s="12" t="str">
        <f>IF(C247="","",IF(C247="Match",32,IF(C247="Tournament",MIN(32*INDEX('Tournament Log'!$D:$D,E247),96),32)))</f>
        <v/>
      </c>
      <c r="M247" s="12" t="str">
        <f t="shared" si="17"/>
        <v/>
      </c>
      <c r="N247" s="12" t="str">
        <f t="shared" si="18"/>
        <v/>
      </c>
      <c r="O247" s="12" t="str">
        <f t="shared" si="19"/>
        <v/>
      </c>
      <c r="P247" s="12" t="str">
        <f>IF(C247="Tournament",INDEX('Tournament Log'!$B:$B,E247),IF(C247="Guest","Guest: "&amp;INDEX('Guest Log'!$H:$H,Q247),""))</f>
        <v/>
      </c>
      <c r="Q247" t="str">
        <f>IFERROR(MATCH($A247,'Guest Log'!$L$4:$L$203,0)+3,"")</f>
        <v/>
      </c>
    </row>
    <row r="248" spans="1:17" ht="15" customHeight="1" x14ac:dyDescent="0.2">
      <c r="A248" s="12">
        <f>247</f>
        <v>247</v>
      </c>
      <c r="B248" s="12" t="str">
        <f>IF(C248="","",IF(C248="Match",INDEX('Match Log'!$A:$A,D248),IF(C248="Tournament",INDEX('Tournament Log'!$A:$A,E248),INDEX('Guest Log'!$A:$A,Q248))))</f>
        <v/>
      </c>
      <c r="C248" s="12" t="str">
        <f t="shared" si="15"/>
        <v/>
      </c>
      <c r="D248" s="31" t="str">
        <f>IFERROR(MATCH($A248,'Match Log'!$K$3:$K$501,0)+2,"")</f>
        <v/>
      </c>
      <c r="E248" s="31" t="str">
        <f>IFERROR(MATCH($A248,'Tournament Log'!$O$4:$O$203,0)+3,"")</f>
        <v/>
      </c>
      <c r="F248" s="12" t="str">
        <f>IF(C248="","",IF(C248="Match",INDEX('Match Log'!$B:$B,D248),IF(C248="Tournament",INDEX('Tournament Log'!$C:$C,E248),INDEX('Guest Log'!$B:$B,Q248))))</f>
        <v/>
      </c>
      <c r="G248" s="12" t="str">
        <f>IF(C248="","",IF(C248="Match",INDEX('Match Log'!$C:$C,D248),IF(C248="Tournament",INDEX('Tournament Log'!$B:$B,E248)&amp;" (Phantom)",INDEX('Guest Log'!$H:$H,Q248)&amp;" (Guest)")))</f>
        <v/>
      </c>
      <c r="H248" s="32" t="str">
        <f t="array" ref="H248">IF(C248="","",IFERROR(LOOKUP(2,1/(($F$1:F247=F248)+($G$1:G247=F248)),IF($F$1:F247=F248,$N$1:N247,$O$1:O247)),1000))</f>
        <v/>
      </c>
      <c r="I248" s="12" t="str">
        <f t="array" ref="I248">IF(C248="","",IF(C248="Tournament",INDEX('Tournament Log'!$J:$J,E248),IF(C248="Guest",IF(INDEX('Guest Log'!$I:$I,Q248)="",1000,INDEX('Guest Log'!$I:$I,Q248)),IFERROR(LOOKUP(2,1/(($F$1:F247=G248)+($G$1:G247=G248)),IF($F$1:F247=G248,$N$1:N247,$O$1:O247)),1000))))</f>
        <v/>
      </c>
      <c r="J248" s="12" t="str">
        <f t="shared" si="16"/>
        <v/>
      </c>
      <c r="K248" s="12" t="str">
        <f>IF(C248="","",IF(C248="Match",IF(INDEX('Match Log'!$D:$D,D248)="Win",1,IF(INDEX('Match Log'!$D:$D,D248)="Draw",0.5,0)),IF(C248="Tournament",INDEX('Tournament Log'!$K:$K,E248),IF(INDEX('Guest Log'!$C:$C,Q248)="Win",1,IF(INDEX('Guest Log'!$C:$C,Q248)="Draw",0.5,0)))))</f>
        <v/>
      </c>
      <c r="L248" s="12" t="str">
        <f>IF(C248="","",IF(C248="Match",32,IF(C248="Tournament",MIN(32*INDEX('Tournament Log'!$D:$D,E248),96),32)))</f>
        <v/>
      </c>
      <c r="M248" s="12" t="str">
        <f t="shared" si="17"/>
        <v/>
      </c>
      <c r="N248" s="12" t="str">
        <f t="shared" si="18"/>
        <v/>
      </c>
      <c r="O248" s="12" t="str">
        <f t="shared" si="19"/>
        <v/>
      </c>
      <c r="P248" s="12" t="str">
        <f>IF(C248="Tournament",INDEX('Tournament Log'!$B:$B,E248),IF(C248="Guest","Guest: "&amp;INDEX('Guest Log'!$H:$H,Q248),""))</f>
        <v/>
      </c>
      <c r="Q248" t="str">
        <f>IFERROR(MATCH($A248,'Guest Log'!$L$4:$L$203,0)+3,"")</f>
        <v/>
      </c>
    </row>
    <row r="249" spans="1:17" ht="15" customHeight="1" x14ac:dyDescent="0.2">
      <c r="A249" s="12">
        <f>248</f>
        <v>248</v>
      </c>
      <c r="B249" s="12" t="str">
        <f>IF(C249="","",IF(C249="Match",INDEX('Match Log'!$A:$A,D249),IF(C249="Tournament",INDEX('Tournament Log'!$A:$A,E249),INDEX('Guest Log'!$A:$A,Q249))))</f>
        <v/>
      </c>
      <c r="C249" s="12" t="str">
        <f t="shared" si="15"/>
        <v/>
      </c>
      <c r="D249" s="31" t="str">
        <f>IFERROR(MATCH($A249,'Match Log'!$K$3:$K$501,0)+2,"")</f>
        <v/>
      </c>
      <c r="E249" s="31" t="str">
        <f>IFERROR(MATCH($A249,'Tournament Log'!$O$4:$O$203,0)+3,"")</f>
        <v/>
      </c>
      <c r="F249" s="12" t="str">
        <f>IF(C249="","",IF(C249="Match",INDEX('Match Log'!$B:$B,D249),IF(C249="Tournament",INDEX('Tournament Log'!$C:$C,E249),INDEX('Guest Log'!$B:$B,Q249))))</f>
        <v/>
      </c>
      <c r="G249" s="12" t="str">
        <f>IF(C249="","",IF(C249="Match",INDEX('Match Log'!$C:$C,D249),IF(C249="Tournament",INDEX('Tournament Log'!$B:$B,E249)&amp;" (Phantom)",INDEX('Guest Log'!$H:$H,Q249)&amp;" (Guest)")))</f>
        <v/>
      </c>
      <c r="H249" s="32" t="str">
        <f t="array" ref="H249">IF(C249="","",IFERROR(LOOKUP(2,1/(($F$1:F248=F249)+($G$1:G248=F249)),IF($F$1:F248=F249,$N$1:N248,$O$1:O248)),1000))</f>
        <v/>
      </c>
      <c r="I249" s="12" t="str">
        <f t="array" ref="I249">IF(C249="","",IF(C249="Tournament",INDEX('Tournament Log'!$J:$J,E249),IF(C249="Guest",IF(INDEX('Guest Log'!$I:$I,Q249)="",1000,INDEX('Guest Log'!$I:$I,Q249)),IFERROR(LOOKUP(2,1/(($F$1:F248=G249)+($G$1:G248=G249)),IF($F$1:F248=G249,$N$1:N248,$O$1:O248)),1000))))</f>
        <v/>
      </c>
      <c r="J249" s="12" t="str">
        <f t="shared" si="16"/>
        <v/>
      </c>
      <c r="K249" s="12" t="str">
        <f>IF(C249="","",IF(C249="Match",IF(INDEX('Match Log'!$D:$D,D249)="Win",1,IF(INDEX('Match Log'!$D:$D,D249)="Draw",0.5,0)),IF(C249="Tournament",INDEX('Tournament Log'!$K:$K,E249),IF(INDEX('Guest Log'!$C:$C,Q249)="Win",1,IF(INDEX('Guest Log'!$C:$C,Q249)="Draw",0.5,0)))))</f>
        <v/>
      </c>
      <c r="L249" s="12" t="str">
        <f>IF(C249="","",IF(C249="Match",32,IF(C249="Tournament",MIN(32*INDEX('Tournament Log'!$D:$D,E249),96),32)))</f>
        <v/>
      </c>
      <c r="M249" s="12" t="str">
        <f t="shared" si="17"/>
        <v/>
      </c>
      <c r="N249" s="12" t="str">
        <f t="shared" si="18"/>
        <v/>
      </c>
      <c r="O249" s="12" t="str">
        <f t="shared" si="19"/>
        <v/>
      </c>
      <c r="P249" s="12" t="str">
        <f>IF(C249="Tournament",INDEX('Tournament Log'!$B:$B,E249),IF(C249="Guest","Guest: "&amp;INDEX('Guest Log'!$H:$H,Q249),""))</f>
        <v/>
      </c>
      <c r="Q249" t="str">
        <f>IFERROR(MATCH($A249,'Guest Log'!$L$4:$L$203,0)+3,"")</f>
        <v/>
      </c>
    </row>
    <row r="250" spans="1:17" ht="15" customHeight="1" x14ac:dyDescent="0.2">
      <c r="A250" s="12">
        <f>249</f>
        <v>249</v>
      </c>
      <c r="B250" s="12" t="str">
        <f>IF(C250="","",IF(C250="Match",INDEX('Match Log'!$A:$A,D250),IF(C250="Tournament",INDEX('Tournament Log'!$A:$A,E250),INDEX('Guest Log'!$A:$A,Q250))))</f>
        <v/>
      </c>
      <c r="C250" s="12" t="str">
        <f t="shared" si="15"/>
        <v/>
      </c>
      <c r="D250" s="31" t="str">
        <f>IFERROR(MATCH($A250,'Match Log'!$K$3:$K$501,0)+2,"")</f>
        <v/>
      </c>
      <c r="E250" s="31" t="str">
        <f>IFERROR(MATCH($A250,'Tournament Log'!$O$4:$O$203,0)+3,"")</f>
        <v/>
      </c>
      <c r="F250" s="12" t="str">
        <f>IF(C250="","",IF(C250="Match",INDEX('Match Log'!$B:$B,D250),IF(C250="Tournament",INDEX('Tournament Log'!$C:$C,E250),INDEX('Guest Log'!$B:$B,Q250))))</f>
        <v/>
      </c>
      <c r="G250" s="12" t="str">
        <f>IF(C250="","",IF(C250="Match",INDEX('Match Log'!$C:$C,D250),IF(C250="Tournament",INDEX('Tournament Log'!$B:$B,E250)&amp;" (Phantom)",INDEX('Guest Log'!$H:$H,Q250)&amp;" (Guest)")))</f>
        <v/>
      </c>
      <c r="H250" s="32" t="str">
        <f t="array" ref="H250">IF(C250="","",IFERROR(LOOKUP(2,1/(($F$1:F249=F250)+($G$1:G249=F250)),IF($F$1:F249=F250,$N$1:N249,$O$1:O249)),1000))</f>
        <v/>
      </c>
      <c r="I250" s="12" t="str">
        <f t="array" ref="I250">IF(C250="","",IF(C250="Tournament",INDEX('Tournament Log'!$J:$J,E250),IF(C250="Guest",IF(INDEX('Guest Log'!$I:$I,Q250)="",1000,INDEX('Guest Log'!$I:$I,Q250)),IFERROR(LOOKUP(2,1/(($F$1:F249=G250)+($G$1:G249=G250)),IF($F$1:F249=G250,$N$1:N249,$O$1:O249)),1000))))</f>
        <v/>
      </c>
      <c r="J250" s="12" t="str">
        <f t="shared" si="16"/>
        <v/>
      </c>
      <c r="K250" s="12" t="str">
        <f>IF(C250="","",IF(C250="Match",IF(INDEX('Match Log'!$D:$D,D250)="Win",1,IF(INDEX('Match Log'!$D:$D,D250)="Draw",0.5,0)),IF(C250="Tournament",INDEX('Tournament Log'!$K:$K,E250),IF(INDEX('Guest Log'!$C:$C,Q250)="Win",1,IF(INDEX('Guest Log'!$C:$C,Q250)="Draw",0.5,0)))))</f>
        <v/>
      </c>
      <c r="L250" s="12" t="str">
        <f>IF(C250="","",IF(C250="Match",32,IF(C250="Tournament",MIN(32*INDEX('Tournament Log'!$D:$D,E250),96),32)))</f>
        <v/>
      </c>
      <c r="M250" s="12" t="str">
        <f t="shared" si="17"/>
        <v/>
      </c>
      <c r="N250" s="12" t="str">
        <f t="shared" si="18"/>
        <v/>
      </c>
      <c r="O250" s="12" t="str">
        <f t="shared" si="19"/>
        <v/>
      </c>
      <c r="P250" s="12" t="str">
        <f>IF(C250="Tournament",INDEX('Tournament Log'!$B:$B,E250),IF(C250="Guest","Guest: "&amp;INDEX('Guest Log'!$H:$H,Q250),""))</f>
        <v/>
      </c>
      <c r="Q250" t="str">
        <f>IFERROR(MATCH($A250,'Guest Log'!$L$4:$L$203,0)+3,"")</f>
        <v/>
      </c>
    </row>
    <row r="251" spans="1:17" ht="15" customHeight="1" x14ac:dyDescent="0.2">
      <c r="A251" s="12">
        <f>250</f>
        <v>250</v>
      </c>
      <c r="B251" s="12" t="str">
        <f>IF(C251="","",IF(C251="Match",INDEX('Match Log'!$A:$A,D251),IF(C251="Tournament",INDEX('Tournament Log'!$A:$A,E251),INDEX('Guest Log'!$A:$A,Q251))))</f>
        <v/>
      </c>
      <c r="C251" s="12" t="str">
        <f t="shared" si="15"/>
        <v/>
      </c>
      <c r="D251" s="31" t="str">
        <f>IFERROR(MATCH($A251,'Match Log'!$K$3:$K$501,0)+2,"")</f>
        <v/>
      </c>
      <c r="E251" s="31" t="str">
        <f>IFERROR(MATCH($A251,'Tournament Log'!$O$4:$O$203,0)+3,"")</f>
        <v/>
      </c>
      <c r="F251" s="12" t="str">
        <f>IF(C251="","",IF(C251="Match",INDEX('Match Log'!$B:$B,D251),IF(C251="Tournament",INDEX('Tournament Log'!$C:$C,E251),INDEX('Guest Log'!$B:$B,Q251))))</f>
        <v/>
      </c>
      <c r="G251" s="12" t="str">
        <f>IF(C251="","",IF(C251="Match",INDEX('Match Log'!$C:$C,D251),IF(C251="Tournament",INDEX('Tournament Log'!$B:$B,E251)&amp;" (Phantom)",INDEX('Guest Log'!$H:$H,Q251)&amp;" (Guest)")))</f>
        <v/>
      </c>
      <c r="H251" s="32" t="str">
        <f t="array" ref="H251">IF(C251="","",IFERROR(LOOKUP(2,1/(($F$1:F250=F251)+($G$1:G250=F251)),IF($F$1:F250=F251,$N$1:N250,$O$1:O250)),1000))</f>
        <v/>
      </c>
      <c r="I251" s="12" t="str">
        <f t="array" ref="I251">IF(C251="","",IF(C251="Tournament",INDEX('Tournament Log'!$J:$J,E251),IF(C251="Guest",IF(INDEX('Guest Log'!$I:$I,Q251)="",1000,INDEX('Guest Log'!$I:$I,Q251)),IFERROR(LOOKUP(2,1/(($F$1:F250=G251)+($G$1:G250=G251)),IF($F$1:F250=G251,$N$1:N250,$O$1:O250)),1000))))</f>
        <v/>
      </c>
      <c r="J251" s="12" t="str">
        <f t="shared" si="16"/>
        <v/>
      </c>
      <c r="K251" s="12" t="str">
        <f>IF(C251="","",IF(C251="Match",IF(INDEX('Match Log'!$D:$D,D251)="Win",1,IF(INDEX('Match Log'!$D:$D,D251)="Draw",0.5,0)),IF(C251="Tournament",INDEX('Tournament Log'!$K:$K,E251),IF(INDEX('Guest Log'!$C:$C,Q251)="Win",1,IF(INDEX('Guest Log'!$C:$C,Q251)="Draw",0.5,0)))))</f>
        <v/>
      </c>
      <c r="L251" s="12" t="str">
        <f>IF(C251="","",IF(C251="Match",32,IF(C251="Tournament",MIN(32*INDEX('Tournament Log'!$D:$D,E251),96),32)))</f>
        <v/>
      </c>
      <c r="M251" s="12" t="str">
        <f t="shared" si="17"/>
        <v/>
      </c>
      <c r="N251" s="12" t="str">
        <f t="shared" si="18"/>
        <v/>
      </c>
      <c r="O251" s="12" t="str">
        <f t="shared" si="19"/>
        <v/>
      </c>
      <c r="P251" s="12" t="str">
        <f>IF(C251="Tournament",INDEX('Tournament Log'!$B:$B,E251),IF(C251="Guest","Guest: "&amp;INDEX('Guest Log'!$H:$H,Q251),""))</f>
        <v/>
      </c>
      <c r="Q251" t="str">
        <f>IFERROR(MATCH($A251,'Guest Log'!$L$4:$L$203,0)+3,"")</f>
        <v/>
      </c>
    </row>
    <row r="252" spans="1:17" ht="15" customHeight="1" x14ac:dyDescent="0.2">
      <c r="A252" s="12">
        <f>251</f>
        <v>251</v>
      </c>
      <c r="B252" s="12" t="str">
        <f>IF(C252="","",IF(C252="Match",INDEX('Match Log'!$A:$A,D252),IF(C252="Tournament",INDEX('Tournament Log'!$A:$A,E252),INDEX('Guest Log'!$A:$A,Q252))))</f>
        <v/>
      </c>
      <c r="C252" s="12" t="str">
        <f t="shared" si="15"/>
        <v/>
      </c>
      <c r="D252" s="31" t="str">
        <f>IFERROR(MATCH($A252,'Match Log'!$K$3:$K$501,0)+2,"")</f>
        <v/>
      </c>
      <c r="E252" s="31" t="str">
        <f>IFERROR(MATCH($A252,'Tournament Log'!$O$4:$O$203,0)+3,"")</f>
        <v/>
      </c>
      <c r="F252" s="12" t="str">
        <f>IF(C252="","",IF(C252="Match",INDEX('Match Log'!$B:$B,D252),IF(C252="Tournament",INDEX('Tournament Log'!$C:$C,E252),INDEX('Guest Log'!$B:$B,Q252))))</f>
        <v/>
      </c>
      <c r="G252" s="12" t="str">
        <f>IF(C252="","",IF(C252="Match",INDEX('Match Log'!$C:$C,D252),IF(C252="Tournament",INDEX('Tournament Log'!$B:$B,E252)&amp;" (Phantom)",INDEX('Guest Log'!$H:$H,Q252)&amp;" (Guest)")))</f>
        <v/>
      </c>
      <c r="H252" s="32" t="str">
        <f t="array" ref="H252">IF(C252="","",IFERROR(LOOKUP(2,1/(($F$1:F251=F252)+($G$1:G251=F252)),IF($F$1:F251=F252,$N$1:N251,$O$1:O251)),1000))</f>
        <v/>
      </c>
      <c r="I252" s="12" t="str">
        <f t="array" ref="I252">IF(C252="","",IF(C252="Tournament",INDEX('Tournament Log'!$J:$J,E252),IF(C252="Guest",IF(INDEX('Guest Log'!$I:$I,Q252)="",1000,INDEX('Guest Log'!$I:$I,Q252)),IFERROR(LOOKUP(2,1/(($F$1:F251=G252)+($G$1:G251=G252)),IF($F$1:F251=G252,$N$1:N251,$O$1:O251)),1000))))</f>
        <v/>
      </c>
      <c r="J252" s="12" t="str">
        <f t="shared" si="16"/>
        <v/>
      </c>
      <c r="K252" s="12" t="str">
        <f>IF(C252="","",IF(C252="Match",IF(INDEX('Match Log'!$D:$D,D252)="Win",1,IF(INDEX('Match Log'!$D:$D,D252)="Draw",0.5,0)),IF(C252="Tournament",INDEX('Tournament Log'!$K:$K,E252),IF(INDEX('Guest Log'!$C:$C,Q252)="Win",1,IF(INDEX('Guest Log'!$C:$C,Q252)="Draw",0.5,0)))))</f>
        <v/>
      </c>
      <c r="L252" s="12" t="str">
        <f>IF(C252="","",IF(C252="Match",32,IF(C252="Tournament",MIN(32*INDEX('Tournament Log'!$D:$D,E252),96),32)))</f>
        <v/>
      </c>
      <c r="M252" s="12" t="str">
        <f t="shared" si="17"/>
        <v/>
      </c>
      <c r="N252" s="12" t="str">
        <f t="shared" si="18"/>
        <v/>
      </c>
      <c r="O252" s="12" t="str">
        <f t="shared" si="19"/>
        <v/>
      </c>
      <c r="P252" s="12" t="str">
        <f>IF(C252="Tournament",INDEX('Tournament Log'!$B:$B,E252),IF(C252="Guest","Guest: "&amp;INDEX('Guest Log'!$H:$H,Q252),""))</f>
        <v/>
      </c>
      <c r="Q252" t="str">
        <f>IFERROR(MATCH($A252,'Guest Log'!$L$4:$L$203,0)+3,"")</f>
        <v/>
      </c>
    </row>
    <row r="253" spans="1:17" ht="15" customHeight="1" x14ac:dyDescent="0.2">
      <c r="A253" s="12">
        <f>252</f>
        <v>252</v>
      </c>
      <c r="B253" s="12" t="str">
        <f>IF(C253="","",IF(C253="Match",INDEX('Match Log'!$A:$A,D253),IF(C253="Tournament",INDEX('Tournament Log'!$A:$A,E253),INDEX('Guest Log'!$A:$A,Q253))))</f>
        <v/>
      </c>
      <c r="C253" s="12" t="str">
        <f t="shared" si="15"/>
        <v/>
      </c>
      <c r="D253" s="31" t="str">
        <f>IFERROR(MATCH($A253,'Match Log'!$K$3:$K$501,0)+2,"")</f>
        <v/>
      </c>
      <c r="E253" s="31" t="str">
        <f>IFERROR(MATCH($A253,'Tournament Log'!$O$4:$O$203,0)+3,"")</f>
        <v/>
      </c>
      <c r="F253" s="12" t="str">
        <f>IF(C253="","",IF(C253="Match",INDEX('Match Log'!$B:$B,D253),IF(C253="Tournament",INDEX('Tournament Log'!$C:$C,E253),INDEX('Guest Log'!$B:$B,Q253))))</f>
        <v/>
      </c>
      <c r="G253" s="12" t="str">
        <f>IF(C253="","",IF(C253="Match",INDEX('Match Log'!$C:$C,D253),IF(C253="Tournament",INDEX('Tournament Log'!$B:$B,E253)&amp;" (Phantom)",INDEX('Guest Log'!$H:$H,Q253)&amp;" (Guest)")))</f>
        <v/>
      </c>
      <c r="H253" s="32" t="str">
        <f t="array" ref="H253">IF(C253="","",IFERROR(LOOKUP(2,1/(($F$1:F252=F253)+($G$1:G252=F253)),IF($F$1:F252=F253,$N$1:N252,$O$1:O252)),1000))</f>
        <v/>
      </c>
      <c r="I253" s="12" t="str">
        <f t="array" ref="I253">IF(C253="","",IF(C253="Tournament",INDEX('Tournament Log'!$J:$J,E253),IF(C253="Guest",IF(INDEX('Guest Log'!$I:$I,Q253)="",1000,INDEX('Guest Log'!$I:$I,Q253)),IFERROR(LOOKUP(2,1/(($F$1:F252=G253)+($G$1:G252=G253)),IF($F$1:F252=G253,$N$1:N252,$O$1:O252)),1000))))</f>
        <v/>
      </c>
      <c r="J253" s="12" t="str">
        <f t="shared" si="16"/>
        <v/>
      </c>
      <c r="K253" s="12" t="str">
        <f>IF(C253="","",IF(C253="Match",IF(INDEX('Match Log'!$D:$D,D253)="Win",1,IF(INDEX('Match Log'!$D:$D,D253)="Draw",0.5,0)),IF(C253="Tournament",INDEX('Tournament Log'!$K:$K,E253),IF(INDEX('Guest Log'!$C:$C,Q253)="Win",1,IF(INDEX('Guest Log'!$C:$C,Q253)="Draw",0.5,0)))))</f>
        <v/>
      </c>
      <c r="L253" s="12" t="str">
        <f>IF(C253="","",IF(C253="Match",32,IF(C253="Tournament",MIN(32*INDEX('Tournament Log'!$D:$D,E253),96),32)))</f>
        <v/>
      </c>
      <c r="M253" s="12" t="str">
        <f t="shared" si="17"/>
        <v/>
      </c>
      <c r="N253" s="12" t="str">
        <f t="shared" si="18"/>
        <v/>
      </c>
      <c r="O253" s="12" t="str">
        <f t="shared" si="19"/>
        <v/>
      </c>
      <c r="P253" s="12" t="str">
        <f>IF(C253="Tournament",INDEX('Tournament Log'!$B:$B,E253),IF(C253="Guest","Guest: "&amp;INDEX('Guest Log'!$H:$H,Q253),""))</f>
        <v/>
      </c>
      <c r="Q253" t="str">
        <f>IFERROR(MATCH($A253,'Guest Log'!$L$4:$L$203,0)+3,"")</f>
        <v/>
      </c>
    </row>
    <row r="254" spans="1:17" ht="15" customHeight="1" x14ac:dyDescent="0.2">
      <c r="A254" s="12">
        <f>253</f>
        <v>253</v>
      </c>
      <c r="B254" s="12" t="str">
        <f>IF(C254="","",IF(C254="Match",INDEX('Match Log'!$A:$A,D254),IF(C254="Tournament",INDEX('Tournament Log'!$A:$A,E254),INDEX('Guest Log'!$A:$A,Q254))))</f>
        <v/>
      </c>
      <c r="C254" s="12" t="str">
        <f t="shared" si="15"/>
        <v/>
      </c>
      <c r="D254" s="31" t="str">
        <f>IFERROR(MATCH($A254,'Match Log'!$K$3:$K$501,0)+2,"")</f>
        <v/>
      </c>
      <c r="E254" s="31" t="str">
        <f>IFERROR(MATCH($A254,'Tournament Log'!$O$4:$O$203,0)+3,"")</f>
        <v/>
      </c>
      <c r="F254" s="12" t="str">
        <f>IF(C254="","",IF(C254="Match",INDEX('Match Log'!$B:$B,D254),IF(C254="Tournament",INDEX('Tournament Log'!$C:$C,E254),INDEX('Guest Log'!$B:$B,Q254))))</f>
        <v/>
      </c>
      <c r="G254" s="12" t="str">
        <f>IF(C254="","",IF(C254="Match",INDEX('Match Log'!$C:$C,D254),IF(C254="Tournament",INDEX('Tournament Log'!$B:$B,E254)&amp;" (Phantom)",INDEX('Guest Log'!$H:$H,Q254)&amp;" (Guest)")))</f>
        <v/>
      </c>
      <c r="H254" s="32" t="str">
        <f t="array" ref="H254">IF(C254="","",IFERROR(LOOKUP(2,1/(($F$1:F253=F254)+($G$1:G253=F254)),IF($F$1:F253=F254,$N$1:N253,$O$1:O253)),1000))</f>
        <v/>
      </c>
      <c r="I254" s="12" t="str">
        <f t="array" ref="I254">IF(C254="","",IF(C254="Tournament",INDEX('Tournament Log'!$J:$J,E254),IF(C254="Guest",IF(INDEX('Guest Log'!$I:$I,Q254)="",1000,INDEX('Guest Log'!$I:$I,Q254)),IFERROR(LOOKUP(2,1/(($F$1:F253=G254)+($G$1:G253=G254)),IF($F$1:F253=G254,$N$1:N253,$O$1:O253)),1000))))</f>
        <v/>
      </c>
      <c r="J254" s="12" t="str">
        <f t="shared" si="16"/>
        <v/>
      </c>
      <c r="K254" s="12" t="str">
        <f>IF(C254="","",IF(C254="Match",IF(INDEX('Match Log'!$D:$D,D254)="Win",1,IF(INDEX('Match Log'!$D:$D,D254)="Draw",0.5,0)),IF(C254="Tournament",INDEX('Tournament Log'!$K:$K,E254),IF(INDEX('Guest Log'!$C:$C,Q254)="Win",1,IF(INDEX('Guest Log'!$C:$C,Q254)="Draw",0.5,0)))))</f>
        <v/>
      </c>
      <c r="L254" s="12" t="str">
        <f>IF(C254="","",IF(C254="Match",32,IF(C254="Tournament",MIN(32*INDEX('Tournament Log'!$D:$D,E254),96),32)))</f>
        <v/>
      </c>
      <c r="M254" s="12" t="str">
        <f t="shared" si="17"/>
        <v/>
      </c>
      <c r="N254" s="12" t="str">
        <f t="shared" si="18"/>
        <v/>
      </c>
      <c r="O254" s="12" t="str">
        <f t="shared" si="19"/>
        <v/>
      </c>
      <c r="P254" s="12" t="str">
        <f>IF(C254="Tournament",INDEX('Tournament Log'!$B:$B,E254),IF(C254="Guest","Guest: "&amp;INDEX('Guest Log'!$H:$H,Q254),""))</f>
        <v/>
      </c>
      <c r="Q254" t="str">
        <f>IFERROR(MATCH($A254,'Guest Log'!$L$4:$L$203,0)+3,"")</f>
        <v/>
      </c>
    </row>
    <row r="255" spans="1:17" ht="15" customHeight="1" x14ac:dyDescent="0.2">
      <c r="A255" s="12">
        <f>254</f>
        <v>254</v>
      </c>
      <c r="B255" s="12" t="str">
        <f>IF(C255="","",IF(C255="Match",INDEX('Match Log'!$A:$A,D255),IF(C255="Tournament",INDEX('Tournament Log'!$A:$A,E255),INDEX('Guest Log'!$A:$A,Q255))))</f>
        <v/>
      </c>
      <c r="C255" s="12" t="str">
        <f t="shared" si="15"/>
        <v/>
      </c>
      <c r="D255" s="31" t="str">
        <f>IFERROR(MATCH($A255,'Match Log'!$K$3:$K$501,0)+2,"")</f>
        <v/>
      </c>
      <c r="E255" s="31" t="str">
        <f>IFERROR(MATCH($A255,'Tournament Log'!$O$4:$O$203,0)+3,"")</f>
        <v/>
      </c>
      <c r="F255" s="12" t="str">
        <f>IF(C255="","",IF(C255="Match",INDEX('Match Log'!$B:$B,D255),IF(C255="Tournament",INDEX('Tournament Log'!$C:$C,E255),INDEX('Guest Log'!$B:$B,Q255))))</f>
        <v/>
      </c>
      <c r="G255" s="12" t="str">
        <f>IF(C255="","",IF(C255="Match",INDEX('Match Log'!$C:$C,D255),IF(C255="Tournament",INDEX('Tournament Log'!$B:$B,E255)&amp;" (Phantom)",INDEX('Guest Log'!$H:$H,Q255)&amp;" (Guest)")))</f>
        <v/>
      </c>
      <c r="H255" s="32" t="str">
        <f t="array" ref="H255">IF(C255="","",IFERROR(LOOKUP(2,1/(($F$1:F254=F255)+($G$1:G254=F255)),IF($F$1:F254=F255,$N$1:N254,$O$1:O254)),1000))</f>
        <v/>
      </c>
      <c r="I255" s="12" t="str">
        <f t="array" ref="I255">IF(C255="","",IF(C255="Tournament",INDEX('Tournament Log'!$J:$J,E255),IF(C255="Guest",IF(INDEX('Guest Log'!$I:$I,Q255)="",1000,INDEX('Guest Log'!$I:$I,Q255)),IFERROR(LOOKUP(2,1/(($F$1:F254=G255)+($G$1:G254=G255)),IF($F$1:F254=G255,$N$1:N254,$O$1:O254)),1000))))</f>
        <v/>
      </c>
      <c r="J255" s="12" t="str">
        <f t="shared" si="16"/>
        <v/>
      </c>
      <c r="K255" s="12" t="str">
        <f>IF(C255="","",IF(C255="Match",IF(INDEX('Match Log'!$D:$D,D255)="Win",1,IF(INDEX('Match Log'!$D:$D,D255)="Draw",0.5,0)),IF(C255="Tournament",INDEX('Tournament Log'!$K:$K,E255),IF(INDEX('Guest Log'!$C:$C,Q255)="Win",1,IF(INDEX('Guest Log'!$C:$C,Q255)="Draw",0.5,0)))))</f>
        <v/>
      </c>
      <c r="L255" s="12" t="str">
        <f>IF(C255="","",IF(C255="Match",32,IF(C255="Tournament",MIN(32*INDEX('Tournament Log'!$D:$D,E255),96),32)))</f>
        <v/>
      </c>
      <c r="M255" s="12" t="str">
        <f t="shared" si="17"/>
        <v/>
      </c>
      <c r="N255" s="12" t="str">
        <f t="shared" si="18"/>
        <v/>
      </c>
      <c r="O255" s="12" t="str">
        <f t="shared" si="19"/>
        <v/>
      </c>
      <c r="P255" s="12" t="str">
        <f>IF(C255="Tournament",INDEX('Tournament Log'!$B:$B,E255),IF(C255="Guest","Guest: "&amp;INDEX('Guest Log'!$H:$H,Q255),""))</f>
        <v/>
      </c>
      <c r="Q255" t="str">
        <f>IFERROR(MATCH($A255,'Guest Log'!$L$4:$L$203,0)+3,"")</f>
        <v/>
      </c>
    </row>
    <row r="256" spans="1:17" ht="15" customHeight="1" x14ac:dyDescent="0.2">
      <c r="A256" s="12">
        <f>255</f>
        <v>255</v>
      </c>
      <c r="B256" s="12" t="str">
        <f>IF(C256="","",IF(C256="Match",INDEX('Match Log'!$A:$A,D256),IF(C256="Tournament",INDEX('Tournament Log'!$A:$A,E256),INDEX('Guest Log'!$A:$A,Q256))))</f>
        <v/>
      </c>
      <c r="C256" s="12" t="str">
        <f t="shared" si="15"/>
        <v/>
      </c>
      <c r="D256" s="31" t="str">
        <f>IFERROR(MATCH($A256,'Match Log'!$K$3:$K$501,0)+2,"")</f>
        <v/>
      </c>
      <c r="E256" s="31" t="str">
        <f>IFERROR(MATCH($A256,'Tournament Log'!$O$4:$O$203,0)+3,"")</f>
        <v/>
      </c>
      <c r="F256" s="12" t="str">
        <f>IF(C256="","",IF(C256="Match",INDEX('Match Log'!$B:$B,D256),IF(C256="Tournament",INDEX('Tournament Log'!$C:$C,E256),INDEX('Guest Log'!$B:$B,Q256))))</f>
        <v/>
      </c>
      <c r="G256" s="12" t="str">
        <f>IF(C256="","",IF(C256="Match",INDEX('Match Log'!$C:$C,D256),IF(C256="Tournament",INDEX('Tournament Log'!$B:$B,E256)&amp;" (Phantom)",INDEX('Guest Log'!$H:$H,Q256)&amp;" (Guest)")))</f>
        <v/>
      </c>
      <c r="H256" s="32" t="str">
        <f t="array" ref="H256">IF(C256="","",IFERROR(LOOKUP(2,1/(($F$1:F255=F256)+($G$1:G255=F256)),IF($F$1:F255=F256,$N$1:N255,$O$1:O255)),1000))</f>
        <v/>
      </c>
      <c r="I256" s="12" t="str">
        <f t="array" ref="I256">IF(C256="","",IF(C256="Tournament",INDEX('Tournament Log'!$J:$J,E256),IF(C256="Guest",IF(INDEX('Guest Log'!$I:$I,Q256)="",1000,INDEX('Guest Log'!$I:$I,Q256)),IFERROR(LOOKUP(2,1/(($F$1:F255=G256)+($G$1:G255=G256)),IF($F$1:F255=G256,$N$1:N255,$O$1:O255)),1000))))</f>
        <v/>
      </c>
      <c r="J256" s="12" t="str">
        <f t="shared" si="16"/>
        <v/>
      </c>
      <c r="K256" s="12" t="str">
        <f>IF(C256="","",IF(C256="Match",IF(INDEX('Match Log'!$D:$D,D256)="Win",1,IF(INDEX('Match Log'!$D:$D,D256)="Draw",0.5,0)),IF(C256="Tournament",INDEX('Tournament Log'!$K:$K,E256),IF(INDEX('Guest Log'!$C:$C,Q256)="Win",1,IF(INDEX('Guest Log'!$C:$C,Q256)="Draw",0.5,0)))))</f>
        <v/>
      </c>
      <c r="L256" s="12" t="str">
        <f>IF(C256="","",IF(C256="Match",32,IF(C256="Tournament",MIN(32*INDEX('Tournament Log'!$D:$D,E256),96),32)))</f>
        <v/>
      </c>
      <c r="M256" s="12" t="str">
        <f t="shared" si="17"/>
        <v/>
      </c>
      <c r="N256" s="12" t="str">
        <f t="shared" si="18"/>
        <v/>
      </c>
      <c r="O256" s="12" t="str">
        <f t="shared" si="19"/>
        <v/>
      </c>
      <c r="P256" s="12" t="str">
        <f>IF(C256="Tournament",INDEX('Tournament Log'!$B:$B,E256),IF(C256="Guest","Guest: "&amp;INDEX('Guest Log'!$H:$H,Q256),""))</f>
        <v/>
      </c>
      <c r="Q256" t="str">
        <f>IFERROR(MATCH($A256,'Guest Log'!$L$4:$L$203,0)+3,"")</f>
        <v/>
      </c>
    </row>
    <row r="257" spans="1:17" ht="15" customHeight="1" x14ac:dyDescent="0.2">
      <c r="A257" s="12">
        <f>256</f>
        <v>256</v>
      </c>
      <c r="B257" s="12" t="str">
        <f>IF(C257="","",IF(C257="Match",INDEX('Match Log'!$A:$A,D257),IF(C257="Tournament",INDEX('Tournament Log'!$A:$A,E257),INDEX('Guest Log'!$A:$A,Q257))))</f>
        <v/>
      </c>
      <c r="C257" s="12" t="str">
        <f t="shared" si="15"/>
        <v/>
      </c>
      <c r="D257" s="31" t="str">
        <f>IFERROR(MATCH($A257,'Match Log'!$K$3:$K$501,0)+2,"")</f>
        <v/>
      </c>
      <c r="E257" s="31" t="str">
        <f>IFERROR(MATCH($A257,'Tournament Log'!$O$4:$O$203,0)+3,"")</f>
        <v/>
      </c>
      <c r="F257" s="12" t="str">
        <f>IF(C257="","",IF(C257="Match",INDEX('Match Log'!$B:$B,D257),IF(C257="Tournament",INDEX('Tournament Log'!$C:$C,E257),INDEX('Guest Log'!$B:$B,Q257))))</f>
        <v/>
      </c>
      <c r="G257" s="12" t="str">
        <f>IF(C257="","",IF(C257="Match",INDEX('Match Log'!$C:$C,D257),IF(C257="Tournament",INDEX('Tournament Log'!$B:$B,E257)&amp;" (Phantom)",INDEX('Guest Log'!$H:$H,Q257)&amp;" (Guest)")))</f>
        <v/>
      </c>
      <c r="H257" s="32" t="str">
        <f t="array" ref="H257">IF(C257="","",IFERROR(LOOKUP(2,1/(($F$1:F256=F257)+($G$1:G256=F257)),IF($F$1:F256=F257,$N$1:N256,$O$1:O256)),1000))</f>
        <v/>
      </c>
      <c r="I257" s="12" t="str">
        <f t="array" ref="I257">IF(C257="","",IF(C257="Tournament",INDEX('Tournament Log'!$J:$J,E257),IF(C257="Guest",IF(INDEX('Guest Log'!$I:$I,Q257)="",1000,INDEX('Guest Log'!$I:$I,Q257)),IFERROR(LOOKUP(2,1/(($F$1:F256=G257)+($G$1:G256=G257)),IF($F$1:F256=G257,$N$1:N256,$O$1:O256)),1000))))</f>
        <v/>
      </c>
      <c r="J257" s="12" t="str">
        <f t="shared" si="16"/>
        <v/>
      </c>
      <c r="K257" s="12" t="str">
        <f>IF(C257="","",IF(C257="Match",IF(INDEX('Match Log'!$D:$D,D257)="Win",1,IF(INDEX('Match Log'!$D:$D,D257)="Draw",0.5,0)),IF(C257="Tournament",INDEX('Tournament Log'!$K:$K,E257),IF(INDEX('Guest Log'!$C:$C,Q257)="Win",1,IF(INDEX('Guest Log'!$C:$C,Q257)="Draw",0.5,0)))))</f>
        <v/>
      </c>
      <c r="L257" s="12" t="str">
        <f>IF(C257="","",IF(C257="Match",32,IF(C257="Tournament",MIN(32*INDEX('Tournament Log'!$D:$D,E257),96),32)))</f>
        <v/>
      </c>
      <c r="M257" s="12" t="str">
        <f t="shared" si="17"/>
        <v/>
      </c>
      <c r="N257" s="12" t="str">
        <f t="shared" si="18"/>
        <v/>
      </c>
      <c r="O257" s="12" t="str">
        <f t="shared" si="19"/>
        <v/>
      </c>
      <c r="P257" s="12" t="str">
        <f>IF(C257="Tournament",INDEX('Tournament Log'!$B:$B,E257),IF(C257="Guest","Guest: "&amp;INDEX('Guest Log'!$H:$H,Q257),""))</f>
        <v/>
      </c>
      <c r="Q257" t="str">
        <f>IFERROR(MATCH($A257,'Guest Log'!$L$4:$L$203,0)+3,"")</f>
        <v/>
      </c>
    </row>
    <row r="258" spans="1:17" ht="15" customHeight="1" x14ac:dyDescent="0.2">
      <c r="A258" s="12">
        <f>257</f>
        <v>257</v>
      </c>
      <c r="B258" s="12" t="str">
        <f>IF(C258="","",IF(C258="Match",INDEX('Match Log'!$A:$A,D258),IF(C258="Tournament",INDEX('Tournament Log'!$A:$A,E258),INDEX('Guest Log'!$A:$A,Q258))))</f>
        <v/>
      </c>
      <c r="C258" s="12" t="str">
        <f t="shared" ref="C258:C321" si="20">IF(D258&lt;&gt;"","Match",IF(E258&lt;&gt;"","Tournament",IF(Q258&lt;&gt;"","Guest","")))</f>
        <v/>
      </c>
      <c r="D258" s="31" t="str">
        <f>IFERROR(MATCH($A258,'Match Log'!$K$3:$K$501,0)+2,"")</f>
        <v/>
      </c>
      <c r="E258" s="31" t="str">
        <f>IFERROR(MATCH($A258,'Tournament Log'!$O$4:$O$203,0)+3,"")</f>
        <v/>
      </c>
      <c r="F258" s="12" t="str">
        <f>IF(C258="","",IF(C258="Match",INDEX('Match Log'!$B:$B,D258),IF(C258="Tournament",INDEX('Tournament Log'!$C:$C,E258),INDEX('Guest Log'!$B:$B,Q258))))</f>
        <v/>
      </c>
      <c r="G258" s="12" t="str">
        <f>IF(C258="","",IF(C258="Match",INDEX('Match Log'!$C:$C,D258),IF(C258="Tournament",INDEX('Tournament Log'!$B:$B,E258)&amp;" (Phantom)",INDEX('Guest Log'!$H:$H,Q258)&amp;" (Guest)")))</f>
        <v/>
      </c>
      <c r="H258" s="32" t="str">
        <f t="array" ref="H258">IF(C258="","",IFERROR(LOOKUP(2,1/(($F$1:F257=F258)+($G$1:G257=F258)),IF($F$1:F257=F258,$N$1:N257,$O$1:O257)),1000))</f>
        <v/>
      </c>
      <c r="I258" s="12" t="str">
        <f t="array" ref="I258">IF(C258="","",IF(C258="Tournament",INDEX('Tournament Log'!$J:$J,E258),IF(C258="Guest",IF(INDEX('Guest Log'!$I:$I,Q258)="",1000,INDEX('Guest Log'!$I:$I,Q258)),IFERROR(LOOKUP(2,1/(($F$1:F257=G258)+($G$1:G257=G258)),IF($F$1:F257=G258,$N$1:N257,$O$1:O257)),1000))))</f>
        <v/>
      </c>
      <c r="J258" s="12" t="str">
        <f t="shared" ref="J258:J321" si="21">IF(C258="","",1/(1+10^((I258-H258)/400)))</f>
        <v/>
      </c>
      <c r="K258" s="12" t="str">
        <f>IF(C258="","",IF(C258="Match",IF(INDEX('Match Log'!$D:$D,D258)="Win",1,IF(INDEX('Match Log'!$D:$D,D258)="Draw",0.5,0)),IF(C258="Tournament",INDEX('Tournament Log'!$K:$K,E258),IF(INDEX('Guest Log'!$C:$C,Q258)="Win",1,IF(INDEX('Guest Log'!$C:$C,Q258)="Draw",0.5,0)))))</f>
        <v/>
      </c>
      <c r="L258" s="12" t="str">
        <f>IF(C258="","",IF(C258="Match",32,IF(C258="Tournament",MIN(32*INDEX('Tournament Log'!$D:$D,E258),96),32)))</f>
        <v/>
      </c>
      <c r="M258" s="12" t="str">
        <f t="shared" ref="M258:M321" si="22">IF(C258="","",ROUND(L258*(K258-J258),0))</f>
        <v/>
      </c>
      <c r="N258" s="12" t="str">
        <f t="shared" ref="N258:N321" si="23">IF(C258="","",H258+M258)</f>
        <v/>
      </c>
      <c r="O258" s="12" t="str">
        <f t="shared" ref="O258:O321" si="24">IF(C258="","",IF(C258="Match",I258-M258,""))</f>
        <v/>
      </c>
      <c r="P258" s="12" t="str">
        <f>IF(C258="Tournament",INDEX('Tournament Log'!$B:$B,E258),IF(C258="Guest","Guest: "&amp;INDEX('Guest Log'!$H:$H,Q258),""))</f>
        <v/>
      </c>
      <c r="Q258" t="str">
        <f>IFERROR(MATCH($A258,'Guest Log'!$L$4:$L$203,0)+3,"")</f>
        <v/>
      </c>
    </row>
    <row r="259" spans="1:17" ht="15" customHeight="1" x14ac:dyDescent="0.2">
      <c r="A259" s="12">
        <f>258</f>
        <v>258</v>
      </c>
      <c r="B259" s="12" t="str">
        <f>IF(C259="","",IF(C259="Match",INDEX('Match Log'!$A:$A,D259),IF(C259="Tournament",INDEX('Tournament Log'!$A:$A,E259),INDEX('Guest Log'!$A:$A,Q259))))</f>
        <v/>
      </c>
      <c r="C259" s="12" t="str">
        <f t="shared" si="20"/>
        <v/>
      </c>
      <c r="D259" s="31" t="str">
        <f>IFERROR(MATCH($A259,'Match Log'!$K$3:$K$501,0)+2,"")</f>
        <v/>
      </c>
      <c r="E259" s="31" t="str">
        <f>IFERROR(MATCH($A259,'Tournament Log'!$O$4:$O$203,0)+3,"")</f>
        <v/>
      </c>
      <c r="F259" s="12" t="str">
        <f>IF(C259="","",IF(C259="Match",INDEX('Match Log'!$B:$B,D259),IF(C259="Tournament",INDEX('Tournament Log'!$C:$C,E259),INDEX('Guest Log'!$B:$B,Q259))))</f>
        <v/>
      </c>
      <c r="G259" s="12" t="str">
        <f>IF(C259="","",IF(C259="Match",INDEX('Match Log'!$C:$C,D259),IF(C259="Tournament",INDEX('Tournament Log'!$B:$B,E259)&amp;" (Phantom)",INDEX('Guest Log'!$H:$H,Q259)&amp;" (Guest)")))</f>
        <v/>
      </c>
      <c r="H259" s="32" t="str">
        <f t="array" ref="H259">IF(C259="","",IFERROR(LOOKUP(2,1/(($F$1:F258=F259)+($G$1:G258=F259)),IF($F$1:F258=F259,$N$1:N258,$O$1:O258)),1000))</f>
        <v/>
      </c>
      <c r="I259" s="12" t="str">
        <f t="array" ref="I259">IF(C259="","",IF(C259="Tournament",INDEX('Tournament Log'!$J:$J,E259),IF(C259="Guest",IF(INDEX('Guest Log'!$I:$I,Q259)="",1000,INDEX('Guest Log'!$I:$I,Q259)),IFERROR(LOOKUP(2,1/(($F$1:F258=G259)+($G$1:G258=G259)),IF($F$1:F258=G259,$N$1:N258,$O$1:O258)),1000))))</f>
        <v/>
      </c>
      <c r="J259" s="12" t="str">
        <f t="shared" si="21"/>
        <v/>
      </c>
      <c r="K259" s="12" t="str">
        <f>IF(C259="","",IF(C259="Match",IF(INDEX('Match Log'!$D:$D,D259)="Win",1,IF(INDEX('Match Log'!$D:$D,D259)="Draw",0.5,0)),IF(C259="Tournament",INDEX('Tournament Log'!$K:$K,E259),IF(INDEX('Guest Log'!$C:$C,Q259)="Win",1,IF(INDEX('Guest Log'!$C:$C,Q259)="Draw",0.5,0)))))</f>
        <v/>
      </c>
      <c r="L259" s="12" t="str">
        <f>IF(C259="","",IF(C259="Match",32,IF(C259="Tournament",MIN(32*INDEX('Tournament Log'!$D:$D,E259),96),32)))</f>
        <v/>
      </c>
      <c r="M259" s="12" t="str">
        <f t="shared" si="22"/>
        <v/>
      </c>
      <c r="N259" s="12" t="str">
        <f t="shared" si="23"/>
        <v/>
      </c>
      <c r="O259" s="12" t="str">
        <f t="shared" si="24"/>
        <v/>
      </c>
      <c r="P259" s="12" t="str">
        <f>IF(C259="Tournament",INDEX('Tournament Log'!$B:$B,E259),IF(C259="Guest","Guest: "&amp;INDEX('Guest Log'!$H:$H,Q259),""))</f>
        <v/>
      </c>
      <c r="Q259" t="str">
        <f>IFERROR(MATCH($A259,'Guest Log'!$L$4:$L$203,0)+3,"")</f>
        <v/>
      </c>
    </row>
    <row r="260" spans="1:17" ht="15" customHeight="1" x14ac:dyDescent="0.2">
      <c r="A260" s="12">
        <f>259</f>
        <v>259</v>
      </c>
      <c r="B260" s="12" t="str">
        <f>IF(C260="","",IF(C260="Match",INDEX('Match Log'!$A:$A,D260),IF(C260="Tournament",INDEX('Tournament Log'!$A:$A,E260),INDEX('Guest Log'!$A:$A,Q260))))</f>
        <v/>
      </c>
      <c r="C260" s="12" t="str">
        <f t="shared" si="20"/>
        <v/>
      </c>
      <c r="D260" s="31" t="str">
        <f>IFERROR(MATCH($A260,'Match Log'!$K$3:$K$501,0)+2,"")</f>
        <v/>
      </c>
      <c r="E260" s="31" t="str">
        <f>IFERROR(MATCH($A260,'Tournament Log'!$O$4:$O$203,0)+3,"")</f>
        <v/>
      </c>
      <c r="F260" s="12" t="str">
        <f>IF(C260="","",IF(C260="Match",INDEX('Match Log'!$B:$B,D260),IF(C260="Tournament",INDEX('Tournament Log'!$C:$C,E260),INDEX('Guest Log'!$B:$B,Q260))))</f>
        <v/>
      </c>
      <c r="G260" s="12" t="str">
        <f>IF(C260="","",IF(C260="Match",INDEX('Match Log'!$C:$C,D260),IF(C260="Tournament",INDEX('Tournament Log'!$B:$B,E260)&amp;" (Phantom)",INDEX('Guest Log'!$H:$H,Q260)&amp;" (Guest)")))</f>
        <v/>
      </c>
      <c r="H260" s="32" t="str">
        <f t="array" ref="H260">IF(C260="","",IFERROR(LOOKUP(2,1/(($F$1:F259=F260)+($G$1:G259=F260)),IF($F$1:F259=F260,$N$1:N259,$O$1:O259)),1000))</f>
        <v/>
      </c>
      <c r="I260" s="12" t="str">
        <f t="array" ref="I260">IF(C260="","",IF(C260="Tournament",INDEX('Tournament Log'!$J:$J,E260),IF(C260="Guest",IF(INDEX('Guest Log'!$I:$I,Q260)="",1000,INDEX('Guest Log'!$I:$I,Q260)),IFERROR(LOOKUP(2,1/(($F$1:F259=G260)+($G$1:G259=G260)),IF($F$1:F259=G260,$N$1:N259,$O$1:O259)),1000))))</f>
        <v/>
      </c>
      <c r="J260" s="12" t="str">
        <f t="shared" si="21"/>
        <v/>
      </c>
      <c r="K260" s="12" t="str">
        <f>IF(C260="","",IF(C260="Match",IF(INDEX('Match Log'!$D:$D,D260)="Win",1,IF(INDEX('Match Log'!$D:$D,D260)="Draw",0.5,0)),IF(C260="Tournament",INDEX('Tournament Log'!$K:$K,E260),IF(INDEX('Guest Log'!$C:$C,Q260)="Win",1,IF(INDEX('Guest Log'!$C:$C,Q260)="Draw",0.5,0)))))</f>
        <v/>
      </c>
      <c r="L260" s="12" t="str">
        <f>IF(C260="","",IF(C260="Match",32,IF(C260="Tournament",MIN(32*INDEX('Tournament Log'!$D:$D,E260),96),32)))</f>
        <v/>
      </c>
      <c r="M260" s="12" t="str">
        <f t="shared" si="22"/>
        <v/>
      </c>
      <c r="N260" s="12" t="str">
        <f t="shared" si="23"/>
        <v/>
      </c>
      <c r="O260" s="12" t="str">
        <f t="shared" si="24"/>
        <v/>
      </c>
      <c r="P260" s="12" t="str">
        <f>IF(C260="Tournament",INDEX('Tournament Log'!$B:$B,E260),IF(C260="Guest","Guest: "&amp;INDEX('Guest Log'!$H:$H,Q260),""))</f>
        <v/>
      </c>
      <c r="Q260" t="str">
        <f>IFERROR(MATCH($A260,'Guest Log'!$L$4:$L$203,0)+3,"")</f>
        <v/>
      </c>
    </row>
    <row r="261" spans="1:17" ht="15" customHeight="1" x14ac:dyDescent="0.2">
      <c r="A261" s="12">
        <f>260</f>
        <v>260</v>
      </c>
      <c r="B261" s="12" t="str">
        <f>IF(C261="","",IF(C261="Match",INDEX('Match Log'!$A:$A,D261),IF(C261="Tournament",INDEX('Tournament Log'!$A:$A,E261),INDEX('Guest Log'!$A:$A,Q261))))</f>
        <v/>
      </c>
      <c r="C261" s="12" t="str">
        <f t="shared" si="20"/>
        <v/>
      </c>
      <c r="D261" s="31" t="str">
        <f>IFERROR(MATCH($A261,'Match Log'!$K$3:$K$501,0)+2,"")</f>
        <v/>
      </c>
      <c r="E261" s="31" t="str">
        <f>IFERROR(MATCH($A261,'Tournament Log'!$O$4:$O$203,0)+3,"")</f>
        <v/>
      </c>
      <c r="F261" s="12" t="str">
        <f>IF(C261="","",IF(C261="Match",INDEX('Match Log'!$B:$B,D261),IF(C261="Tournament",INDEX('Tournament Log'!$C:$C,E261),INDEX('Guest Log'!$B:$B,Q261))))</f>
        <v/>
      </c>
      <c r="G261" s="12" t="str">
        <f>IF(C261="","",IF(C261="Match",INDEX('Match Log'!$C:$C,D261),IF(C261="Tournament",INDEX('Tournament Log'!$B:$B,E261)&amp;" (Phantom)",INDEX('Guest Log'!$H:$H,Q261)&amp;" (Guest)")))</f>
        <v/>
      </c>
      <c r="H261" s="32" t="str">
        <f t="array" ref="H261">IF(C261="","",IFERROR(LOOKUP(2,1/(($F$1:F260=F261)+($G$1:G260=F261)),IF($F$1:F260=F261,$N$1:N260,$O$1:O260)),1000))</f>
        <v/>
      </c>
      <c r="I261" s="12" t="str">
        <f t="array" ref="I261">IF(C261="","",IF(C261="Tournament",INDEX('Tournament Log'!$J:$J,E261),IF(C261="Guest",IF(INDEX('Guest Log'!$I:$I,Q261)="",1000,INDEX('Guest Log'!$I:$I,Q261)),IFERROR(LOOKUP(2,1/(($F$1:F260=G261)+($G$1:G260=G261)),IF($F$1:F260=G261,$N$1:N260,$O$1:O260)),1000))))</f>
        <v/>
      </c>
      <c r="J261" s="12" t="str">
        <f t="shared" si="21"/>
        <v/>
      </c>
      <c r="K261" s="12" t="str">
        <f>IF(C261="","",IF(C261="Match",IF(INDEX('Match Log'!$D:$D,D261)="Win",1,IF(INDEX('Match Log'!$D:$D,D261)="Draw",0.5,0)),IF(C261="Tournament",INDEX('Tournament Log'!$K:$K,E261),IF(INDEX('Guest Log'!$C:$C,Q261)="Win",1,IF(INDEX('Guest Log'!$C:$C,Q261)="Draw",0.5,0)))))</f>
        <v/>
      </c>
      <c r="L261" s="12" t="str">
        <f>IF(C261="","",IF(C261="Match",32,IF(C261="Tournament",MIN(32*INDEX('Tournament Log'!$D:$D,E261),96),32)))</f>
        <v/>
      </c>
      <c r="M261" s="12" t="str">
        <f t="shared" si="22"/>
        <v/>
      </c>
      <c r="N261" s="12" t="str">
        <f t="shared" si="23"/>
        <v/>
      </c>
      <c r="O261" s="12" t="str">
        <f t="shared" si="24"/>
        <v/>
      </c>
      <c r="P261" s="12" t="str">
        <f>IF(C261="Tournament",INDEX('Tournament Log'!$B:$B,E261),IF(C261="Guest","Guest: "&amp;INDEX('Guest Log'!$H:$H,Q261),""))</f>
        <v/>
      </c>
      <c r="Q261" t="str">
        <f>IFERROR(MATCH($A261,'Guest Log'!$L$4:$L$203,0)+3,"")</f>
        <v/>
      </c>
    </row>
    <row r="262" spans="1:17" ht="15" customHeight="1" x14ac:dyDescent="0.2">
      <c r="A262" s="12">
        <f>261</f>
        <v>261</v>
      </c>
      <c r="B262" s="12" t="str">
        <f>IF(C262="","",IF(C262="Match",INDEX('Match Log'!$A:$A,D262),IF(C262="Tournament",INDEX('Tournament Log'!$A:$A,E262),INDEX('Guest Log'!$A:$A,Q262))))</f>
        <v/>
      </c>
      <c r="C262" s="12" t="str">
        <f t="shared" si="20"/>
        <v/>
      </c>
      <c r="D262" s="31" t="str">
        <f>IFERROR(MATCH($A262,'Match Log'!$K$3:$K$501,0)+2,"")</f>
        <v/>
      </c>
      <c r="E262" s="31" t="str">
        <f>IFERROR(MATCH($A262,'Tournament Log'!$O$4:$O$203,0)+3,"")</f>
        <v/>
      </c>
      <c r="F262" s="12" t="str">
        <f>IF(C262="","",IF(C262="Match",INDEX('Match Log'!$B:$B,D262),IF(C262="Tournament",INDEX('Tournament Log'!$C:$C,E262),INDEX('Guest Log'!$B:$B,Q262))))</f>
        <v/>
      </c>
      <c r="G262" s="12" t="str">
        <f>IF(C262="","",IF(C262="Match",INDEX('Match Log'!$C:$C,D262),IF(C262="Tournament",INDEX('Tournament Log'!$B:$B,E262)&amp;" (Phantom)",INDEX('Guest Log'!$H:$H,Q262)&amp;" (Guest)")))</f>
        <v/>
      </c>
      <c r="H262" s="32" t="str">
        <f t="array" ref="H262">IF(C262="","",IFERROR(LOOKUP(2,1/(($F$1:F261=F262)+($G$1:G261=F262)),IF($F$1:F261=F262,$N$1:N261,$O$1:O261)),1000))</f>
        <v/>
      </c>
      <c r="I262" s="12" t="str">
        <f t="array" ref="I262">IF(C262="","",IF(C262="Tournament",INDEX('Tournament Log'!$J:$J,E262),IF(C262="Guest",IF(INDEX('Guest Log'!$I:$I,Q262)="",1000,INDEX('Guest Log'!$I:$I,Q262)),IFERROR(LOOKUP(2,1/(($F$1:F261=G262)+($G$1:G261=G262)),IF($F$1:F261=G262,$N$1:N261,$O$1:O261)),1000))))</f>
        <v/>
      </c>
      <c r="J262" s="12" t="str">
        <f t="shared" si="21"/>
        <v/>
      </c>
      <c r="K262" s="12" t="str">
        <f>IF(C262="","",IF(C262="Match",IF(INDEX('Match Log'!$D:$D,D262)="Win",1,IF(INDEX('Match Log'!$D:$D,D262)="Draw",0.5,0)),IF(C262="Tournament",INDEX('Tournament Log'!$K:$K,E262),IF(INDEX('Guest Log'!$C:$C,Q262)="Win",1,IF(INDEX('Guest Log'!$C:$C,Q262)="Draw",0.5,0)))))</f>
        <v/>
      </c>
      <c r="L262" s="12" t="str">
        <f>IF(C262="","",IF(C262="Match",32,IF(C262="Tournament",MIN(32*INDEX('Tournament Log'!$D:$D,E262),96),32)))</f>
        <v/>
      </c>
      <c r="M262" s="12" t="str">
        <f t="shared" si="22"/>
        <v/>
      </c>
      <c r="N262" s="12" t="str">
        <f t="shared" si="23"/>
        <v/>
      </c>
      <c r="O262" s="12" t="str">
        <f t="shared" si="24"/>
        <v/>
      </c>
      <c r="P262" s="12" t="str">
        <f>IF(C262="Tournament",INDEX('Tournament Log'!$B:$B,E262),IF(C262="Guest","Guest: "&amp;INDEX('Guest Log'!$H:$H,Q262),""))</f>
        <v/>
      </c>
      <c r="Q262" t="str">
        <f>IFERROR(MATCH($A262,'Guest Log'!$L$4:$L$203,0)+3,"")</f>
        <v/>
      </c>
    </row>
    <row r="263" spans="1:17" ht="15" customHeight="1" x14ac:dyDescent="0.2">
      <c r="A263" s="12">
        <f>262</f>
        <v>262</v>
      </c>
      <c r="B263" s="12" t="str">
        <f>IF(C263="","",IF(C263="Match",INDEX('Match Log'!$A:$A,D263),IF(C263="Tournament",INDEX('Tournament Log'!$A:$A,E263),INDEX('Guest Log'!$A:$A,Q263))))</f>
        <v/>
      </c>
      <c r="C263" s="12" t="str">
        <f t="shared" si="20"/>
        <v/>
      </c>
      <c r="D263" s="31" t="str">
        <f>IFERROR(MATCH($A263,'Match Log'!$K$3:$K$501,0)+2,"")</f>
        <v/>
      </c>
      <c r="E263" s="31" t="str">
        <f>IFERROR(MATCH($A263,'Tournament Log'!$O$4:$O$203,0)+3,"")</f>
        <v/>
      </c>
      <c r="F263" s="12" t="str">
        <f>IF(C263="","",IF(C263="Match",INDEX('Match Log'!$B:$B,D263),IF(C263="Tournament",INDEX('Tournament Log'!$C:$C,E263),INDEX('Guest Log'!$B:$B,Q263))))</f>
        <v/>
      </c>
      <c r="G263" s="12" t="str">
        <f>IF(C263="","",IF(C263="Match",INDEX('Match Log'!$C:$C,D263),IF(C263="Tournament",INDEX('Tournament Log'!$B:$B,E263)&amp;" (Phantom)",INDEX('Guest Log'!$H:$H,Q263)&amp;" (Guest)")))</f>
        <v/>
      </c>
      <c r="H263" s="32" t="str">
        <f t="array" ref="H263">IF(C263="","",IFERROR(LOOKUP(2,1/(($F$1:F262=F263)+($G$1:G262=F263)),IF($F$1:F262=F263,$N$1:N262,$O$1:O262)),1000))</f>
        <v/>
      </c>
      <c r="I263" s="12" t="str">
        <f t="array" ref="I263">IF(C263="","",IF(C263="Tournament",INDEX('Tournament Log'!$J:$J,E263),IF(C263="Guest",IF(INDEX('Guest Log'!$I:$I,Q263)="",1000,INDEX('Guest Log'!$I:$I,Q263)),IFERROR(LOOKUP(2,1/(($F$1:F262=G263)+($G$1:G262=G263)),IF($F$1:F262=G263,$N$1:N262,$O$1:O262)),1000))))</f>
        <v/>
      </c>
      <c r="J263" s="12" t="str">
        <f t="shared" si="21"/>
        <v/>
      </c>
      <c r="K263" s="12" t="str">
        <f>IF(C263="","",IF(C263="Match",IF(INDEX('Match Log'!$D:$D,D263)="Win",1,IF(INDEX('Match Log'!$D:$D,D263)="Draw",0.5,0)),IF(C263="Tournament",INDEX('Tournament Log'!$K:$K,E263),IF(INDEX('Guest Log'!$C:$C,Q263)="Win",1,IF(INDEX('Guest Log'!$C:$C,Q263)="Draw",0.5,0)))))</f>
        <v/>
      </c>
      <c r="L263" s="12" t="str">
        <f>IF(C263="","",IF(C263="Match",32,IF(C263="Tournament",MIN(32*INDEX('Tournament Log'!$D:$D,E263),96),32)))</f>
        <v/>
      </c>
      <c r="M263" s="12" t="str">
        <f t="shared" si="22"/>
        <v/>
      </c>
      <c r="N263" s="12" t="str">
        <f t="shared" si="23"/>
        <v/>
      </c>
      <c r="O263" s="12" t="str">
        <f t="shared" si="24"/>
        <v/>
      </c>
      <c r="P263" s="12" t="str">
        <f>IF(C263="Tournament",INDEX('Tournament Log'!$B:$B,E263),IF(C263="Guest","Guest: "&amp;INDEX('Guest Log'!$H:$H,Q263),""))</f>
        <v/>
      </c>
      <c r="Q263" t="str">
        <f>IFERROR(MATCH($A263,'Guest Log'!$L$4:$L$203,0)+3,"")</f>
        <v/>
      </c>
    </row>
    <row r="264" spans="1:17" ht="15" customHeight="1" x14ac:dyDescent="0.2">
      <c r="A264" s="12">
        <f>263</f>
        <v>263</v>
      </c>
      <c r="B264" s="12" t="str">
        <f>IF(C264="","",IF(C264="Match",INDEX('Match Log'!$A:$A,D264),IF(C264="Tournament",INDEX('Tournament Log'!$A:$A,E264),INDEX('Guest Log'!$A:$A,Q264))))</f>
        <v/>
      </c>
      <c r="C264" s="12" t="str">
        <f t="shared" si="20"/>
        <v/>
      </c>
      <c r="D264" s="31" t="str">
        <f>IFERROR(MATCH($A264,'Match Log'!$K$3:$K$501,0)+2,"")</f>
        <v/>
      </c>
      <c r="E264" s="31" t="str">
        <f>IFERROR(MATCH($A264,'Tournament Log'!$O$4:$O$203,0)+3,"")</f>
        <v/>
      </c>
      <c r="F264" s="12" t="str">
        <f>IF(C264="","",IF(C264="Match",INDEX('Match Log'!$B:$B,D264),IF(C264="Tournament",INDEX('Tournament Log'!$C:$C,E264),INDEX('Guest Log'!$B:$B,Q264))))</f>
        <v/>
      </c>
      <c r="G264" s="12" t="str">
        <f>IF(C264="","",IF(C264="Match",INDEX('Match Log'!$C:$C,D264),IF(C264="Tournament",INDEX('Tournament Log'!$B:$B,E264)&amp;" (Phantom)",INDEX('Guest Log'!$H:$H,Q264)&amp;" (Guest)")))</f>
        <v/>
      </c>
      <c r="H264" s="32" t="str">
        <f t="array" ref="H264">IF(C264="","",IFERROR(LOOKUP(2,1/(($F$1:F263=F264)+($G$1:G263=F264)),IF($F$1:F263=F264,$N$1:N263,$O$1:O263)),1000))</f>
        <v/>
      </c>
      <c r="I264" s="12" t="str">
        <f t="array" ref="I264">IF(C264="","",IF(C264="Tournament",INDEX('Tournament Log'!$J:$J,E264),IF(C264="Guest",IF(INDEX('Guest Log'!$I:$I,Q264)="",1000,INDEX('Guest Log'!$I:$I,Q264)),IFERROR(LOOKUP(2,1/(($F$1:F263=G264)+($G$1:G263=G264)),IF($F$1:F263=G264,$N$1:N263,$O$1:O263)),1000))))</f>
        <v/>
      </c>
      <c r="J264" s="12" t="str">
        <f t="shared" si="21"/>
        <v/>
      </c>
      <c r="K264" s="12" t="str">
        <f>IF(C264="","",IF(C264="Match",IF(INDEX('Match Log'!$D:$D,D264)="Win",1,IF(INDEX('Match Log'!$D:$D,D264)="Draw",0.5,0)),IF(C264="Tournament",INDEX('Tournament Log'!$K:$K,E264),IF(INDEX('Guest Log'!$C:$C,Q264)="Win",1,IF(INDEX('Guest Log'!$C:$C,Q264)="Draw",0.5,0)))))</f>
        <v/>
      </c>
      <c r="L264" s="12" t="str">
        <f>IF(C264="","",IF(C264="Match",32,IF(C264="Tournament",MIN(32*INDEX('Tournament Log'!$D:$D,E264),96),32)))</f>
        <v/>
      </c>
      <c r="M264" s="12" t="str">
        <f t="shared" si="22"/>
        <v/>
      </c>
      <c r="N264" s="12" t="str">
        <f t="shared" si="23"/>
        <v/>
      </c>
      <c r="O264" s="12" t="str">
        <f t="shared" si="24"/>
        <v/>
      </c>
      <c r="P264" s="12" t="str">
        <f>IF(C264="Tournament",INDEX('Tournament Log'!$B:$B,E264),IF(C264="Guest","Guest: "&amp;INDEX('Guest Log'!$H:$H,Q264),""))</f>
        <v/>
      </c>
      <c r="Q264" t="str">
        <f>IFERROR(MATCH($A264,'Guest Log'!$L$4:$L$203,0)+3,"")</f>
        <v/>
      </c>
    </row>
    <row r="265" spans="1:17" ht="15" customHeight="1" x14ac:dyDescent="0.2">
      <c r="A265" s="12">
        <f>264</f>
        <v>264</v>
      </c>
      <c r="B265" s="12" t="str">
        <f>IF(C265="","",IF(C265="Match",INDEX('Match Log'!$A:$A,D265),IF(C265="Tournament",INDEX('Tournament Log'!$A:$A,E265),INDEX('Guest Log'!$A:$A,Q265))))</f>
        <v/>
      </c>
      <c r="C265" s="12" t="str">
        <f t="shared" si="20"/>
        <v/>
      </c>
      <c r="D265" s="31" t="str">
        <f>IFERROR(MATCH($A265,'Match Log'!$K$3:$K$501,0)+2,"")</f>
        <v/>
      </c>
      <c r="E265" s="31" t="str">
        <f>IFERROR(MATCH($A265,'Tournament Log'!$O$4:$O$203,0)+3,"")</f>
        <v/>
      </c>
      <c r="F265" s="12" t="str">
        <f>IF(C265="","",IF(C265="Match",INDEX('Match Log'!$B:$B,D265),IF(C265="Tournament",INDEX('Tournament Log'!$C:$C,E265),INDEX('Guest Log'!$B:$B,Q265))))</f>
        <v/>
      </c>
      <c r="G265" s="12" t="str">
        <f>IF(C265="","",IF(C265="Match",INDEX('Match Log'!$C:$C,D265),IF(C265="Tournament",INDEX('Tournament Log'!$B:$B,E265)&amp;" (Phantom)",INDEX('Guest Log'!$H:$H,Q265)&amp;" (Guest)")))</f>
        <v/>
      </c>
      <c r="H265" s="32" t="str">
        <f t="array" ref="H265">IF(C265="","",IFERROR(LOOKUP(2,1/(($F$1:F264=F265)+($G$1:G264=F265)),IF($F$1:F264=F265,$N$1:N264,$O$1:O264)),1000))</f>
        <v/>
      </c>
      <c r="I265" s="12" t="str">
        <f t="array" ref="I265">IF(C265="","",IF(C265="Tournament",INDEX('Tournament Log'!$J:$J,E265),IF(C265="Guest",IF(INDEX('Guest Log'!$I:$I,Q265)="",1000,INDEX('Guest Log'!$I:$I,Q265)),IFERROR(LOOKUP(2,1/(($F$1:F264=G265)+($G$1:G264=G265)),IF($F$1:F264=G265,$N$1:N264,$O$1:O264)),1000))))</f>
        <v/>
      </c>
      <c r="J265" s="12" t="str">
        <f t="shared" si="21"/>
        <v/>
      </c>
      <c r="K265" s="12" t="str">
        <f>IF(C265="","",IF(C265="Match",IF(INDEX('Match Log'!$D:$D,D265)="Win",1,IF(INDEX('Match Log'!$D:$D,D265)="Draw",0.5,0)),IF(C265="Tournament",INDEX('Tournament Log'!$K:$K,E265),IF(INDEX('Guest Log'!$C:$C,Q265)="Win",1,IF(INDEX('Guest Log'!$C:$C,Q265)="Draw",0.5,0)))))</f>
        <v/>
      </c>
      <c r="L265" s="12" t="str">
        <f>IF(C265="","",IF(C265="Match",32,IF(C265="Tournament",MIN(32*INDEX('Tournament Log'!$D:$D,E265),96),32)))</f>
        <v/>
      </c>
      <c r="M265" s="12" t="str">
        <f t="shared" si="22"/>
        <v/>
      </c>
      <c r="N265" s="12" t="str">
        <f t="shared" si="23"/>
        <v/>
      </c>
      <c r="O265" s="12" t="str">
        <f t="shared" si="24"/>
        <v/>
      </c>
      <c r="P265" s="12" t="str">
        <f>IF(C265="Tournament",INDEX('Tournament Log'!$B:$B,E265),IF(C265="Guest","Guest: "&amp;INDEX('Guest Log'!$H:$H,Q265),""))</f>
        <v/>
      </c>
      <c r="Q265" t="str">
        <f>IFERROR(MATCH($A265,'Guest Log'!$L$4:$L$203,0)+3,"")</f>
        <v/>
      </c>
    </row>
    <row r="266" spans="1:17" ht="15" customHeight="1" x14ac:dyDescent="0.2">
      <c r="A266" s="12">
        <f>265</f>
        <v>265</v>
      </c>
      <c r="B266" s="12" t="str">
        <f>IF(C266="","",IF(C266="Match",INDEX('Match Log'!$A:$A,D266),IF(C266="Tournament",INDEX('Tournament Log'!$A:$A,E266),INDEX('Guest Log'!$A:$A,Q266))))</f>
        <v/>
      </c>
      <c r="C266" s="12" t="str">
        <f t="shared" si="20"/>
        <v/>
      </c>
      <c r="D266" s="31" t="str">
        <f>IFERROR(MATCH($A266,'Match Log'!$K$3:$K$501,0)+2,"")</f>
        <v/>
      </c>
      <c r="E266" s="31" t="str">
        <f>IFERROR(MATCH($A266,'Tournament Log'!$O$4:$O$203,0)+3,"")</f>
        <v/>
      </c>
      <c r="F266" s="12" t="str">
        <f>IF(C266="","",IF(C266="Match",INDEX('Match Log'!$B:$B,D266),IF(C266="Tournament",INDEX('Tournament Log'!$C:$C,E266),INDEX('Guest Log'!$B:$B,Q266))))</f>
        <v/>
      </c>
      <c r="G266" s="12" t="str">
        <f>IF(C266="","",IF(C266="Match",INDEX('Match Log'!$C:$C,D266),IF(C266="Tournament",INDEX('Tournament Log'!$B:$B,E266)&amp;" (Phantom)",INDEX('Guest Log'!$H:$H,Q266)&amp;" (Guest)")))</f>
        <v/>
      </c>
      <c r="H266" s="32" t="str">
        <f t="array" ref="H266">IF(C266="","",IFERROR(LOOKUP(2,1/(($F$1:F265=F266)+($G$1:G265=F266)),IF($F$1:F265=F266,$N$1:N265,$O$1:O265)),1000))</f>
        <v/>
      </c>
      <c r="I266" s="12" t="str">
        <f t="array" ref="I266">IF(C266="","",IF(C266="Tournament",INDEX('Tournament Log'!$J:$J,E266),IF(C266="Guest",IF(INDEX('Guest Log'!$I:$I,Q266)="",1000,INDEX('Guest Log'!$I:$I,Q266)),IFERROR(LOOKUP(2,1/(($F$1:F265=G266)+($G$1:G265=G266)),IF($F$1:F265=G266,$N$1:N265,$O$1:O265)),1000))))</f>
        <v/>
      </c>
      <c r="J266" s="12" t="str">
        <f t="shared" si="21"/>
        <v/>
      </c>
      <c r="K266" s="12" t="str">
        <f>IF(C266="","",IF(C266="Match",IF(INDEX('Match Log'!$D:$D,D266)="Win",1,IF(INDEX('Match Log'!$D:$D,D266)="Draw",0.5,0)),IF(C266="Tournament",INDEX('Tournament Log'!$K:$K,E266),IF(INDEX('Guest Log'!$C:$C,Q266)="Win",1,IF(INDEX('Guest Log'!$C:$C,Q266)="Draw",0.5,0)))))</f>
        <v/>
      </c>
      <c r="L266" s="12" t="str">
        <f>IF(C266="","",IF(C266="Match",32,IF(C266="Tournament",MIN(32*INDEX('Tournament Log'!$D:$D,E266),96),32)))</f>
        <v/>
      </c>
      <c r="M266" s="12" t="str">
        <f t="shared" si="22"/>
        <v/>
      </c>
      <c r="N266" s="12" t="str">
        <f t="shared" si="23"/>
        <v/>
      </c>
      <c r="O266" s="12" t="str">
        <f t="shared" si="24"/>
        <v/>
      </c>
      <c r="P266" s="12" t="str">
        <f>IF(C266="Tournament",INDEX('Tournament Log'!$B:$B,E266),IF(C266="Guest","Guest: "&amp;INDEX('Guest Log'!$H:$H,Q266),""))</f>
        <v/>
      </c>
      <c r="Q266" t="str">
        <f>IFERROR(MATCH($A266,'Guest Log'!$L$4:$L$203,0)+3,"")</f>
        <v/>
      </c>
    </row>
    <row r="267" spans="1:17" ht="15" customHeight="1" x14ac:dyDescent="0.2">
      <c r="A267" s="12">
        <f>266</f>
        <v>266</v>
      </c>
      <c r="B267" s="12" t="str">
        <f>IF(C267="","",IF(C267="Match",INDEX('Match Log'!$A:$A,D267),IF(C267="Tournament",INDEX('Tournament Log'!$A:$A,E267),INDEX('Guest Log'!$A:$A,Q267))))</f>
        <v/>
      </c>
      <c r="C267" s="12" t="str">
        <f t="shared" si="20"/>
        <v/>
      </c>
      <c r="D267" s="31" t="str">
        <f>IFERROR(MATCH($A267,'Match Log'!$K$3:$K$501,0)+2,"")</f>
        <v/>
      </c>
      <c r="E267" s="31" t="str">
        <f>IFERROR(MATCH($A267,'Tournament Log'!$O$4:$O$203,0)+3,"")</f>
        <v/>
      </c>
      <c r="F267" s="12" t="str">
        <f>IF(C267="","",IF(C267="Match",INDEX('Match Log'!$B:$B,D267),IF(C267="Tournament",INDEX('Tournament Log'!$C:$C,E267),INDEX('Guest Log'!$B:$B,Q267))))</f>
        <v/>
      </c>
      <c r="G267" s="12" t="str">
        <f>IF(C267="","",IF(C267="Match",INDEX('Match Log'!$C:$C,D267),IF(C267="Tournament",INDEX('Tournament Log'!$B:$B,E267)&amp;" (Phantom)",INDEX('Guest Log'!$H:$H,Q267)&amp;" (Guest)")))</f>
        <v/>
      </c>
      <c r="H267" s="32" t="str">
        <f t="array" ref="H267">IF(C267="","",IFERROR(LOOKUP(2,1/(($F$1:F266=F267)+($G$1:G266=F267)),IF($F$1:F266=F267,$N$1:N266,$O$1:O266)),1000))</f>
        <v/>
      </c>
      <c r="I267" s="12" t="str">
        <f t="array" ref="I267">IF(C267="","",IF(C267="Tournament",INDEX('Tournament Log'!$J:$J,E267),IF(C267="Guest",IF(INDEX('Guest Log'!$I:$I,Q267)="",1000,INDEX('Guest Log'!$I:$I,Q267)),IFERROR(LOOKUP(2,1/(($F$1:F266=G267)+($G$1:G266=G267)),IF($F$1:F266=G267,$N$1:N266,$O$1:O266)),1000))))</f>
        <v/>
      </c>
      <c r="J267" s="12" t="str">
        <f t="shared" si="21"/>
        <v/>
      </c>
      <c r="K267" s="12" t="str">
        <f>IF(C267="","",IF(C267="Match",IF(INDEX('Match Log'!$D:$D,D267)="Win",1,IF(INDEX('Match Log'!$D:$D,D267)="Draw",0.5,0)),IF(C267="Tournament",INDEX('Tournament Log'!$K:$K,E267),IF(INDEX('Guest Log'!$C:$C,Q267)="Win",1,IF(INDEX('Guest Log'!$C:$C,Q267)="Draw",0.5,0)))))</f>
        <v/>
      </c>
      <c r="L267" s="12" t="str">
        <f>IF(C267="","",IF(C267="Match",32,IF(C267="Tournament",MIN(32*INDEX('Tournament Log'!$D:$D,E267),96),32)))</f>
        <v/>
      </c>
      <c r="M267" s="12" t="str">
        <f t="shared" si="22"/>
        <v/>
      </c>
      <c r="N267" s="12" t="str">
        <f t="shared" si="23"/>
        <v/>
      </c>
      <c r="O267" s="12" t="str">
        <f t="shared" si="24"/>
        <v/>
      </c>
      <c r="P267" s="12" t="str">
        <f>IF(C267="Tournament",INDEX('Tournament Log'!$B:$B,E267),IF(C267="Guest","Guest: "&amp;INDEX('Guest Log'!$H:$H,Q267),""))</f>
        <v/>
      </c>
      <c r="Q267" t="str">
        <f>IFERROR(MATCH($A267,'Guest Log'!$L$4:$L$203,0)+3,"")</f>
        <v/>
      </c>
    </row>
    <row r="268" spans="1:17" ht="15" customHeight="1" x14ac:dyDescent="0.2">
      <c r="A268" s="12">
        <f>267</f>
        <v>267</v>
      </c>
      <c r="B268" s="12" t="str">
        <f>IF(C268="","",IF(C268="Match",INDEX('Match Log'!$A:$A,D268),IF(C268="Tournament",INDEX('Tournament Log'!$A:$A,E268),INDEX('Guest Log'!$A:$A,Q268))))</f>
        <v/>
      </c>
      <c r="C268" s="12" t="str">
        <f t="shared" si="20"/>
        <v/>
      </c>
      <c r="D268" s="31" t="str">
        <f>IFERROR(MATCH($A268,'Match Log'!$K$3:$K$501,0)+2,"")</f>
        <v/>
      </c>
      <c r="E268" s="31" t="str">
        <f>IFERROR(MATCH($A268,'Tournament Log'!$O$4:$O$203,0)+3,"")</f>
        <v/>
      </c>
      <c r="F268" s="12" t="str">
        <f>IF(C268="","",IF(C268="Match",INDEX('Match Log'!$B:$B,D268),IF(C268="Tournament",INDEX('Tournament Log'!$C:$C,E268),INDEX('Guest Log'!$B:$B,Q268))))</f>
        <v/>
      </c>
      <c r="G268" s="12" t="str">
        <f>IF(C268="","",IF(C268="Match",INDEX('Match Log'!$C:$C,D268),IF(C268="Tournament",INDEX('Tournament Log'!$B:$B,E268)&amp;" (Phantom)",INDEX('Guest Log'!$H:$H,Q268)&amp;" (Guest)")))</f>
        <v/>
      </c>
      <c r="H268" s="32" t="str">
        <f t="array" ref="H268">IF(C268="","",IFERROR(LOOKUP(2,1/(($F$1:F267=F268)+($G$1:G267=F268)),IF($F$1:F267=F268,$N$1:N267,$O$1:O267)),1000))</f>
        <v/>
      </c>
      <c r="I268" s="12" t="str">
        <f t="array" ref="I268">IF(C268="","",IF(C268="Tournament",INDEX('Tournament Log'!$J:$J,E268),IF(C268="Guest",IF(INDEX('Guest Log'!$I:$I,Q268)="",1000,INDEX('Guest Log'!$I:$I,Q268)),IFERROR(LOOKUP(2,1/(($F$1:F267=G268)+($G$1:G267=G268)),IF($F$1:F267=G268,$N$1:N267,$O$1:O267)),1000))))</f>
        <v/>
      </c>
      <c r="J268" s="12" t="str">
        <f t="shared" si="21"/>
        <v/>
      </c>
      <c r="K268" s="12" t="str">
        <f>IF(C268="","",IF(C268="Match",IF(INDEX('Match Log'!$D:$D,D268)="Win",1,IF(INDEX('Match Log'!$D:$D,D268)="Draw",0.5,0)),IF(C268="Tournament",INDEX('Tournament Log'!$K:$K,E268),IF(INDEX('Guest Log'!$C:$C,Q268)="Win",1,IF(INDEX('Guest Log'!$C:$C,Q268)="Draw",0.5,0)))))</f>
        <v/>
      </c>
      <c r="L268" s="12" t="str">
        <f>IF(C268="","",IF(C268="Match",32,IF(C268="Tournament",MIN(32*INDEX('Tournament Log'!$D:$D,E268),96),32)))</f>
        <v/>
      </c>
      <c r="M268" s="12" t="str">
        <f t="shared" si="22"/>
        <v/>
      </c>
      <c r="N268" s="12" t="str">
        <f t="shared" si="23"/>
        <v/>
      </c>
      <c r="O268" s="12" t="str">
        <f t="shared" si="24"/>
        <v/>
      </c>
      <c r="P268" s="12" t="str">
        <f>IF(C268="Tournament",INDEX('Tournament Log'!$B:$B,E268),IF(C268="Guest","Guest: "&amp;INDEX('Guest Log'!$H:$H,Q268),""))</f>
        <v/>
      </c>
      <c r="Q268" t="str">
        <f>IFERROR(MATCH($A268,'Guest Log'!$L$4:$L$203,0)+3,"")</f>
        <v/>
      </c>
    </row>
    <row r="269" spans="1:17" ht="15" customHeight="1" x14ac:dyDescent="0.2">
      <c r="A269" s="12">
        <f>268</f>
        <v>268</v>
      </c>
      <c r="B269" s="12" t="str">
        <f>IF(C269="","",IF(C269="Match",INDEX('Match Log'!$A:$A,D269),IF(C269="Tournament",INDEX('Tournament Log'!$A:$A,E269),INDEX('Guest Log'!$A:$A,Q269))))</f>
        <v/>
      </c>
      <c r="C269" s="12" t="str">
        <f t="shared" si="20"/>
        <v/>
      </c>
      <c r="D269" s="31" t="str">
        <f>IFERROR(MATCH($A269,'Match Log'!$K$3:$K$501,0)+2,"")</f>
        <v/>
      </c>
      <c r="E269" s="31" t="str">
        <f>IFERROR(MATCH($A269,'Tournament Log'!$O$4:$O$203,0)+3,"")</f>
        <v/>
      </c>
      <c r="F269" s="12" t="str">
        <f>IF(C269="","",IF(C269="Match",INDEX('Match Log'!$B:$B,D269),IF(C269="Tournament",INDEX('Tournament Log'!$C:$C,E269),INDEX('Guest Log'!$B:$B,Q269))))</f>
        <v/>
      </c>
      <c r="G269" s="12" t="str">
        <f>IF(C269="","",IF(C269="Match",INDEX('Match Log'!$C:$C,D269),IF(C269="Tournament",INDEX('Tournament Log'!$B:$B,E269)&amp;" (Phantom)",INDEX('Guest Log'!$H:$H,Q269)&amp;" (Guest)")))</f>
        <v/>
      </c>
      <c r="H269" s="32" t="str">
        <f t="array" ref="H269">IF(C269="","",IFERROR(LOOKUP(2,1/(($F$1:F268=F269)+($G$1:G268=F269)),IF($F$1:F268=F269,$N$1:N268,$O$1:O268)),1000))</f>
        <v/>
      </c>
      <c r="I269" s="12" t="str">
        <f t="array" ref="I269">IF(C269="","",IF(C269="Tournament",INDEX('Tournament Log'!$J:$J,E269),IF(C269="Guest",IF(INDEX('Guest Log'!$I:$I,Q269)="",1000,INDEX('Guest Log'!$I:$I,Q269)),IFERROR(LOOKUP(2,1/(($F$1:F268=G269)+($G$1:G268=G269)),IF($F$1:F268=G269,$N$1:N268,$O$1:O268)),1000))))</f>
        <v/>
      </c>
      <c r="J269" s="12" t="str">
        <f t="shared" si="21"/>
        <v/>
      </c>
      <c r="K269" s="12" t="str">
        <f>IF(C269="","",IF(C269="Match",IF(INDEX('Match Log'!$D:$D,D269)="Win",1,IF(INDEX('Match Log'!$D:$D,D269)="Draw",0.5,0)),IF(C269="Tournament",INDEX('Tournament Log'!$K:$K,E269),IF(INDEX('Guest Log'!$C:$C,Q269)="Win",1,IF(INDEX('Guest Log'!$C:$C,Q269)="Draw",0.5,0)))))</f>
        <v/>
      </c>
      <c r="L269" s="12" t="str">
        <f>IF(C269="","",IF(C269="Match",32,IF(C269="Tournament",MIN(32*INDEX('Tournament Log'!$D:$D,E269),96),32)))</f>
        <v/>
      </c>
      <c r="M269" s="12" t="str">
        <f t="shared" si="22"/>
        <v/>
      </c>
      <c r="N269" s="12" t="str">
        <f t="shared" si="23"/>
        <v/>
      </c>
      <c r="O269" s="12" t="str">
        <f t="shared" si="24"/>
        <v/>
      </c>
      <c r="P269" s="12" t="str">
        <f>IF(C269="Tournament",INDEX('Tournament Log'!$B:$B,E269),IF(C269="Guest","Guest: "&amp;INDEX('Guest Log'!$H:$H,Q269),""))</f>
        <v/>
      </c>
      <c r="Q269" t="str">
        <f>IFERROR(MATCH($A269,'Guest Log'!$L$4:$L$203,0)+3,"")</f>
        <v/>
      </c>
    </row>
    <row r="270" spans="1:17" ht="15" customHeight="1" x14ac:dyDescent="0.2">
      <c r="A270" s="12">
        <f>269</f>
        <v>269</v>
      </c>
      <c r="B270" s="12" t="str">
        <f>IF(C270="","",IF(C270="Match",INDEX('Match Log'!$A:$A,D270),IF(C270="Tournament",INDEX('Tournament Log'!$A:$A,E270),INDEX('Guest Log'!$A:$A,Q270))))</f>
        <v/>
      </c>
      <c r="C270" s="12" t="str">
        <f t="shared" si="20"/>
        <v/>
      </c>
      <c r="D270" s="31" t="str">
        <f>IFERROR(MATCH($A270,'Match Log'!$K$3:$K$501,0)+2,"")</f>
        <v/>
      </c>
      <c r="E270" s="31" t="str">
        <f>IFERROR(MATCH($A270,'Tournament Log'!$O$4:$O$203,0)+3,"")</f>
        <v/>
      </c>
      <c r="F270" s="12" t="str">
        <f>IF(C270="","",IF(C270="Match",INDEX('Match Log'!$B:$B,D270),IF(C270="Tournament",INDEX('Tournament Log'!$C:$C,E270),INDEX('Guest Log'!$B:$B,Q270))))</f>
        <v/>
      </c>
      <c r="G270" s="12" t="str">
        <f>IF(C270="","",IF(C270="Match",INDEX('Match Log'!$C:$C,D270),IF(C270="Tournament",INDEX('Tournament Log'!$B:$B,E270)&amp;" (Phantom)",INDEX('Guest Log'!$H:$H,Q270)&amp;" (Guest)")))</f>
        <v/>
      </c>
      <c r="H270" s="32" t="str">
        <f t="array" ref="H270">IF(C270="","",IFERROR(LOOKUP(2,1/(($F$1:F269=F270)+($G$1:G269=F270)),IF($F$1:F269=F270,$N$1:N269,$O$1:O269)),1000))</f>
        <v/>
      </c>
      <c r="I270" s="12" t="str">
        <f t="array" ref="I270">IF(C270="","",IF(C270="Tournament",INDEX('Tournament Log'!$J:$J,E270),IF(C270="Guest",IF(INDEX('Guest Log'!$I:$I,Q270)="",1000,INDEX('Guest Log'!$I:$I,Q270)),IFERROR(LOOKUP(2,1/(($F$1:F269=G270)+($G$1:G269=G270)),IF($F$1:F269=G270,$N$1:N269,$O$1:O269)),1000))))</f>
        <v/>
      </c>
      <c r="J270" s="12" t="str">
        <f t="shared" si="21"/>
        <v/>
      </c>
      <c r="K270" s="12" t="str">
        <f>IF(C270="","",IF(C270="Match",IF(INDEX('Match Log'!$D:$D,D270)="Win",1,IF(INDEX('Match Log'!$D:$D,D270)="Draw",0.5,0)),IF(C270="Tournament",INDEX('Tournament Log'!$K:$K,E270),IF(INDEX('Guest Log'!$C:$C,Q270)="Win",1,IF(INDEX('Guest Log'!$C:$C,Q270)="Draw",0.5,0)))))</f>
        <v/>
      </c>
      <c r="L270" s="12" t="str">
        <f>IF(C270="","",IF(C270="Match",32,IF(C270="Tournament",MIN(32*INDEX('Tournament Log'!$D:$D,E270),96),32)))</f>
        <v/>
      </c>
      <c r="M270" s="12" t="str">
        <f t="shared" si="22"/>
        <v/>
      </c>
      <c r="N270" s="12" t="str">
        <f t="shared" si="23"/>
        <v/>
      </c>
      <c r="O270" s="12" t="str">
        <f t="shared" si="24"/>
        <v/>
      </c>
      <c r="P270" s="12" t="str">
        <f>IF(C270="Tournament",INDEX('Tournament Log'!$B:$B,E270),IF(C270="Guest","Guest: "&amp;INDEX('Guest Log'!$H:$H,Q270),""))</f>
        <v/>
      </c>
      <c r="Q270" t="str">
        <f>IFERROR(MATCH($A270,'Guest Log'!$L$4:$L$203,0)+3,"")</f>
        <v/>
      </c>
    </row>
    <row r="271" spans="1:17" ht="15" customHeight="1" x14ac:dyDescent="0.2">
      <c r="A271" s="12">
        <f>270</f>
        <v>270</v>
      </c>
      <c r="B271" s="12" t="str">
        <f>IF(C271="","",IF(C271="Match",INDEX('Match Log'!$A:$A,D271),IF(C271="Tournament",INDEX('Tournament Log'!$A:$A,E271),INDEX('Guest Log'!$A:$A,Q271))))</f>
        <v/>
      </c>
      <c r="C271" s="12" t="str">
        <f t="shared" si="20"/>
        <v/>
      </c>
      <c r="D271" s="31" t="str">
        <f>IFERROR(MATCH($A271,'Match Log'!$K$3:$K$501,0)+2,"")</f>
        <v/>
      </c>
      <c r="E271" s="31" t="str">
        <f>IFERROR(MATCH($A271,'Tournament Log'!$O$4:$O$203,0)+3,"")</f>
        <v/>
      </c>
      <c r="F271" s="12" t="str">
        <f>IF(C271="","",IF(C271="Match",INDEX('Match Log'!$B:$B,D271),IF(C271="Tournament",INDEX('Tournament Log'!$C:$C,E271),INDEX('Guest Log'!$B:$B,Q271))))</f>
        <v/>
      </c>
      <c r="G271" s="12" t="str">
        <f>IF(C271="","",IF(C271="Match",INDEX('Match Log'!$C:$C,D271),IF(C271="Tournament",INDEX('Tournament Log'!$B:$B,E271)&amp;" (Phantom)",INDEX('Guest Log'!$H:$H,Q271)&amp;" (Guest)")))</f>
        <v/>
      </c>
      <c r="H271" s="32" t="str">
        <f t="array" ref="H271">IF(C271="","",IFERROR(LOOKUP(2,1/(($F$1:F270=F271)+($G$1:G270=F271)),IF($F$1:F270=F271,$N$1:N270,$O$1:O270)),1000))</f>
        <v/>
      </c>
      <c r="I271" s="12" t="str">
        <f t="array" ref="I271">IF(C271="","",IF(C271="Tournament",INDEX('Tournament Log'!$J:$J,E271),IF(C271="Guest",IF(INDEX('Guest Log'!$I:$I,Q271)="",1000,INDEX('Guest Log'!$I:$I,Q271)),IFERROR(LOOKUP(2,1/(($F$1:F270=G271)+($G$1:G270=G271)),IF($F$1:F270=G271,$N$1:N270,$O$1:O270)),1000))))</f>
        <v/>
      </c>
      <c r="J271" s="12" t="str">
        <f t="shared" si="21"/>
        <v/>
      </c>
      <c r="K271" s="12" t="str">
        <f>IF(C271="","",IF(C271="Match",IF(INDEX('Match Log'!$D:$D,D271)="Win",1,IF(INDEX('Match Log'!$D:$D,D271)="Draw",0.5,0)),IF(C271="Tournament",INDEX('Tournament Log'!$K:$K,E271),IF(INDEX('Guest Log'!$C:$C,Q271)="Win",1,IF(INDEX('Guest Log'!$C:$C,Q271)="Draw",0.5,0)))))</f>
        <v/>
      </c>
      <c r="L271" s="12" t="str">
        <f>IF(C271="","",IF(C271="Match",32,IF(C271="Tournament",MIN(32*INDEX('Tournament Log'!$D:$D,E271),96),32)))</f>
        <v/>
      </c>
      <c r="M271" s="12" t="str">
        <f t="shared" si="22"/>
        <v/>
      </c>
      <c r="N271" s="12" t="str">
        <f t="shared" si="23"/>
        <v/>
      </c>
      <c r="O271" s="12" t="str">
        <f t="shared" si="24"/>
        <v/>
      </c>
      <c r="P271" s="12" t="str">
        <f>IF(C271="Tournament",INDEX('Tournament Log'!$B:$B,E271),IF(C271="Guest","Guest: "&amp;INDEX('Guest Log'!$H:$H,Q271),""))</f>
        <v/>
      </c>
      <c r="Q271" t="str">
        <f>IFERROR(MATCH($A271,'Guest Log'!$L$4:$L$203,0)+3,"")</f>
        <v/>
      </c>
    </row>
    <row r="272" spans="1:17" ht="15" customHeight="1" x14ac:dyDescent="0.2">
      <c r="A272" s="12">
        <f>271</f>
        <v>271</v>
      </c>
      <c r="B272" s="12" t="str">
        <f>IF(C272="","",IF(C272="Match",INDEX('Match Log'!$A:$A,D272),IF(C272="Tournament",INDEX('Tournament Log'!$A:$A,E272),INDEX('Guest Log'!$A:$A,Q272))))</f>
        <v/>
      </c>
      <c r="C272" s="12" t="str">
        <f t="shared" si="20"/>
        <v/>
      </c>
      <c r="D272" s="31" t="str">
        <f>IFERROR(MATCH($A272,'Match Log'!$K$3:$K$501,0)+2,"")</f>
        <v/>
      </c>
      <c r="E272" s="31" t="str">
        <f>IFERROR(MATCH($A272,'Tournament Log'!$O$4:$O$203,0)+3,"")</f>
        <v/>
      </c>
      <c r="F272" s="12" t="str">
        <f>IF(C272="","",IF(C272="Match",INDEX('Match Log'!$B:$B,D272),IF(C272="Tournament",INDEX('Tournament Log'!$C:$C,E272),INDEX('Guest Log'!$B:$B,Q272))))</f>
        <v/>
      </c>
      <c r="G272" s="12" t="str">
        <f>IF(C272="","",IF(C272="Match",INDEX('Match Log'!$C:$C,D272),IF(C272="Tournament",INDEX('Tournament Log'!$B:$B,E272)&amp;" (Phantom)",INDEX('Guest Log'!$H:$H,Q272)&amp;" (Guest)")))</f>
        <v/>
      </c>
      <c r="H272" s="32" t="str">
        <f t="array" ref="H272">IF(C272="","",IFERROR(LOOKUP(2,1/(($F$1:F271=F272)+($G$1:G271=F272)),IF($F$1:F271=F272,$N$1:N271,$O$1:O271)),1000))</f>
        <v/>
      </c>
      <c r="I272" s="12" t="str">
        <f t="array" ref="I272">IF(C272="","",IF(C272="Tournament",INDEX('Tournament Log'!$J:$J,E272),IF(C272="Guest",IF(INDEX('Guest Log'!$I:$I,Q272)="",1000,INDEX('Guest Log'!$I:$I,Q272)),IFERROR(LOOKUP(2,1/(($F$1:F271=G272)+($G$1:G271=G272)),IF($F$1:F271=G272,$N$1:N271,$O$1:O271)),1000))))</f>
        <v/>
      </c>
      <c r="J272" s="12" t="str">
        <f t="shared" si="21"/>
        <v/>
      </c>
      <c r="K272" s="12" t="str">
        <f>IF(C272="","",IF(C272="Match",IF(INDEX('Match Log'!$D:$D,D272)="Win",1,IF(INDEX('Match Log'!$D:$D,D272)="Draw",0.5,0)),IF(C272="Tournament",INDEX('Tournament Log'!$K:$K,E272),IF(INDEX('Guest Log'!$C:$C,Q272)="Win",1,IF(INDEX('Guest Log'!$C:$C,Q272)="Draw",0.5,0)))))</f>
        <v/>
      </c>
      <c r="L272" s="12" t="str">
        <f>IF(C272="","",IF(C272="Match",32,IF(C272="Tournament",MIN(32*INDEX('Tournament Log'!$D:$D,E272),96),32)))</f>
        <v/>
      </c>
      <c r="M272" s="12" t="str">
        <f t="shared" si="22"/>
        <v/>
      </c>
      <c r="N272" s="12" t="str">
        <f t="shared" si="23"/>
        <v/>
      </c>
      <c r="O272" s="12" t="str">
        <f t="shared" si="24"/>
        <v/>
      </c>
      <c r="P272" s="12" t="str">
        <f>IF(C272="Tournament",INDEX('Tournament Log'!$B:$B,E272),IF(C272="Guest","Guest: "&amp;INDEX('Guest Log'!$H:$H,Q272),""))</f>
        <v/>
      </c>
      <c r="Q272" t="str">
        <f>IFERROR(MATCH($A272,'Guest Log'!$L$4:$L$203,0)+3,"")</f>
        <v/>
      </c>
    </row>
    <row r="273" spans="1:17" ht="15" customHeight="1" x14ac:dyDescent="0.2">
      <c r="A273" s="12">
        <f>272</f>
        <v>272</v>
      </c>
      <c r="B273" s="12" t="str">
        <f>IF(C273="","",IF(C273="Match",INDEX('Match Log'!$A:$A,D273),IF(C273="Tournament",INDEX('Tournament Log'!$A:$A,E273),INDEX('Guest Log'!$A:$A,Q273))))</f>
        <v/>
      </c>
      <c r="C273" s="12" t="str">
        <f t="shared" si="20"/>
        <v/>
      </c>
      <c r="D273" s="31" t="str">
        <f>IFERROR(MATCH($A273,'Match Log'!$K$3:$K$501,0)+2,"")</f>
        <v/>
      </c>
      <c r="E273" s="31" t="str">
        <f>IFERROR(MATCH($A273,'Tournament Log'!$O$4:$O$203,0)+3,"")</f>
        <v/>
      </c>
      <c r="F273" s="12" t="str">
        <f>IF(C273="","",IF(C273="Match",INDEX('Match Log'!$B:$B,D273),IF(C273="Tournament",INDEX('Tournament Log'!$C:$C,E273),INDEX('Guest Log'!$B:$B,Q273))))</f>
        <v/>
      </c>
      <c r="G273" s="12" t="str">
        <f>IF(C273="","",IF(C273="Match",INDEX('Match Log'!$C:$C,D273),IF(C273="Tournament",INDEX('Tournament Log'!$B:$B,E273)&amp;" (Phantom)",INDEX('Guest Log'!$H:$H,Q273)&amp;" (Guest)")))</f>
        <v/>
      </c>
      <c r="H273" s="32" t="str">
        <f t="array" ref="H273">IF(C273="","",IFERROR(LOOKUP(2,1/(($F$1:F272=F273)+($G$1:G272=F273)),IF($F$1:F272=F273,$N$1:N272,$O$1:O272)),1000))</f>
        <v/>
      </c>
      <c r="I273" s="12" t="str">
        <f t="array" ref="I273">IF(C273="","",IF(C273="Tournament",INDEX('Tournament Log'!$J:$J,E273),IF(C273="Guest",IF(INDEX('Guest Log'!$I:$I,Q273)="",1000,INDEX('Guest Log'!$I:$I,Q273)),IFERROR(LOOKUP(2,1/(($F$1:F272=G273)+($G$1:G272=G273)),IF($F$1:F272=G273,$N$1:N272,$O$1:O272)),1000))))</f>
        <v/>
      </c>
      <c r="J273" s="12" t="str">
        <f t="shared" si="21"/>
        <v/>
      </c>
      <c r="K273" s="12" t="str">
        <f>IF(C273="","",IF(C273="Match",IF(INDEX('Match Log'!$D:$D,D273)="Win",1,IF(INDEX('Match Log'!$D:$D,D273)="Draw",0.5,0)),IF(C273="Tournament",INDEX('Tournament Log'!$K:$K,E273),IF(INDEX('Guest Log'!$C:$C,Q273)="Win",1,IF(INDEX('Guest Log'!$C:$C,Q273)="Draw",0.5,0)))))</f>
        <v/>
      </c>
      <c r="L273" s="12" t="str">
        <f>IF(C273="","",IF(C273="Match",32,IF(C273="Tournament",MIN(32*INDEX('Tournament Log'!$D:$D,E273),96),32)))</f>
        <v/>
      </c>
      <c r="M273" s="12" t="str">
        <f t="shared" si="22"/>
        <v/>
      </c>
      <c r="N273" s="12" t="str">
        <f t="shared" si="23"/>
        <v/>
      </c>
      <c r="O273" s="12" t="str">
        <f t="shared" si="24"/>
        <v/>
      </c>
      <c r="P273" s="12" t="str">
        <f>IF(C273="Tournament",INDEX('Tournament Log'!$B:$B,E273),IF(C273="Guest","Guest: "&amp;INDEX('Guest Log'!$H:$H,Q273),""))</f>
        <v/>
      </c>
      <c r="Q273" t="str">
        <f>IFERROR(MATCH($A273,'Guest Log'!$L$4:$L$203,0)+3,"")</f>
        <v/>
      </c>
    </row>
    <row r="274" spans="1:17" ht="15" customHeight="1" x14ac:dyDescent="0.2">
      <c r="A274" s="12">
        <f>273</f>
        <v>273</v>
      </c>
      <c r="B274" s="12" t="str">
        <f>IF(C274="","",IF(C274="Match",INDEX('Match Log'!$A:$A,D274),IF(C274="Tournament",INDEX('Tournament Log'!$A:$A,E274),INDEX('Guest Log'!$A:$A,Q274))))</f>
        <v/>
      </c>
      <c r="C274" s="12" t="str">
        <f t="shared" si="20"/>
        <v/>
      </c>
      <c r="D274" s="31" t="str">
        <f>IFERROR(MATCH($A274,'Match Log'!$K$3:$K$501,0)+2,"")</f>
        <v/>
      </c>
      <c r="E274" s="31" t="str">
        <f>IFERROR(MATCH($A274,'Tournament Log'!$O$4:$O$203,0)+3,"")</f>
        <v/>
      </c>
      <c r="F274" s="12" t="str">
        <f>IF(C274="","",IF(C274="Match",INDEX('Match Log'!$B:$B,D274),IF(C274="Tournament",INDEX('Tournament Log'!$C:$C,E274),INDEX('Guest Log'!$B:$B,Q274))))</f>
        <v/>
      </c>
      <c r="G274" s="12" t="str">
        <f>IF(C274="","",IF(C274="Match",INDEX('Match Log'!$C:$C,D274),IF(C274="Tournament",INDEX('Tournament Log'!$B:$B,E274)&amp;" (Phantom)",INDEX('Guest Log'!$H:$H,Q274)&amp;" (Guest)")))</f>
        <v/>
      </c>
      <c r="H274" s="32" t="str">
        <f t="array" ref="H274">IF(C274="","",IFERROR(LOOKUP(2,1/(($F$1:F273=F274)+($G$1:G273=F274)),IF($F$1:F273=F274,$N$1:N273,$O$1:O273)),1000))</f>
        <v/>
      </c>
      <c r="I274" s="12" t="str">
        <f t="array" ref="I274">IF(C274="","",IF(C274="Tournament",INDEX('Tournament Log'!$J:$J,E274),IF(C274="Guest",IF(INDEX('Guest Log'!$I:$I,Q274)="",1000,INDEX('Guest Log'!$I:$I,Q274)),IFERROR(LOOKUP(2,1/(($F$1:F273=G274)+($G$1:G273=G274)),IF($F$1:F273=G274,$N$1:N273,$O$1:O273)),1000))))</f>
        <v/>
      </c>
      <c r="J274" s="12" t="str">
        <f t="shared" si="21"/>
        <v/>
      </c>
      <c r="K274" s="12" t="str">
        <f>IF(C274="","",IF(C274="Match",IF(INDEX('Match Log'!$D:$D,D274)="Win",1,IF(INDEX('Match Log'!$D:$D,D274)="Draw",0.5,0)),IF(C274="Tournament",INDEX('Tournament Log'!$K:$K,E274),IF(INDEX('Guest Log'!$C:$C,Q274)="Win",1,IF(INDEX('Guest Log'!$C:$C,Q274)="Draw",0.5,0)))))</f>
        <v/>
      </c>
      <c r="L274" s="12" t="str">
        <f>IF(C274="","",IF(C274="Match",32,IF(C274="Tournament",MIN(32*INDEX('Tournament Log'!$D:$D,E274),96),32)))</f>
        <v/>
      </c>
      <c r="M274" s="12" t="str">
        <f t="shared" si="22"/>
        <v/>
      </c>
      <c r="N274" s="12" t="str">
        <f t="shared" si="23"/>
        <v/>
      </c>
      <c r="O274" s="12" t="str">
        <f t="shared" si="24"/>
        <v/>
      </c>
      <c r="P274" s="12" t="str">
        <f>IF(C274="Tournament",INDEX('Tournament Log'!$B:$B,E274),IF(C274="Guest","Guest: "&amp;INDEX('Guest Log'!$H:$H,Q274),""))</f>
        <v/>
      </c>
      <c r="Q274" t="str">
        <f>IFERROR(MATCH($A274,'Guest Log'!$L$4:$L$203,0)+3,"")</f>
        <v/>
      </c>
    </row>
    <row r="275" spans="1:17" ht="15" customHeight="1" x14ac:dyDescent="0.2">
      <c r="A275" s="12">
        <f>274</f>
        <v>274</v>
      </c>
      <c r="B275" s="12" t="str">
        <f>IF(C275="","",IF(C275="Match",INDEX('Match Log'!$A:$A,D275),IF(C275="Tournament",INDEX('Tournament Log'!$A:$A,E275),INDEX('Guest Log'!$A:$A,Q275))))</f>
        <v/>
      </c>
      <c r="C275" s="12" t="str">
        <f t="shared" si="20"/>
        <v/>
      </c>
      <c r="D275" s="31" t="str">
        <f>IFERROR(MATCH($A275,'Match Log'!$K$3:$K$501,0)+2,"")</f>
        <v/>
      </c>
      <c r="E275" s="31" t="str">
        <f>IFERROR(MATCH($A275,'Tournament Log'!$O$4:$O$203,0)+3,"")</f>
        <v/>
      </c>
      <c r="F275" s="12" t="str">
        <f>IF(C275="","",IF(C275="Match",INDEX('Match Log'!$B:$B,D275),IF(C275="Tournament",INDEX('Tournament Log'!$C:$C,E275),INDEX('Guest Log'!$B:$B,Q275))))</f>
        <v/>
      </c>
      <c r="G275" s="12" t="str">
        <f>IF(C275="","",IF(C275="Match",INDEX('Match Log'!$C:$C,D275),IF(C275="Tournament",INDEX('Tournament Log'!$B:$B,E275)&amp;" (Phantom)",INDEX('Guest Log'!$H:$H,Q275)&amp;" (Guest)")))</f>
        <v/>
      </c>
      <c r="H275" s="32" t="str">
        <f t="array" ref="H275">IF(C275="","",IFERROR(LOOKUP(2,1/(($F$1:F274=F275)+($G$1:G274=F275)),IF($F$1:F274=F275,$N$1:N274,$O$1:O274)),1000))</f>
        <v/>
      </c>
      <c r="I275" s="12" t="str">
        <f t="array" ref="I275">IF(C275="","",IF(C275="Tournament",INDEX('Tournament Log'!$J:$J,E275),IF(C275="Guest",IF(INDEX('Guest Log'!$I:$I,Q275)="",1000,INDEX('Guest Log'!$I:$I,Q275)),IFERROR(LOOKUP(2,1/(($F$1:F274=G275)+($G$1:G274=G275)),IF($F$1:F274=G275,$N$1:N274,$O$1:O274)),1000))))</f>
        <v/>
      </c>
      <c r="J275" s="12" t="str">
        <f t="shared" si="21"/>
        <v/>
      </c>
      <c r="K275" s="12" t="str">
        <f>IF(C275="","",IF(C275="Match",IF(INDEX('Match Log'!$D:$D,D275)="Win",1,IF(INDEX('Match Log'!$D:$D,D275)="Draw",0.5,0)),IF(C275="Tournament",INDEX('Tournament Log'!$K:$K,E275),IF(INDEX('Guest Log'!$C:$C,Q275)="Win",1,IF(INDEX('Guest Log'!$C:$C,Q275)="Draw",0.5,0)))))</f>
        <v/>
      </c>
      <c r="L275" s="12" t="str">
        <f>IF(C275="","",IF(C275="Match",32,IF(C275="Tournament",MIN(32*INDEX('Tournament Log'!$D:$D,E275),96),32)))</f>
        <v/>
      </c>
      <c r="M275" s="12" t="str">
        <f t="shared" si="22"/>
        <v/>
      </c>
      <c r="N275" s="12" t="str">
        <f t="shared" si="23"/>
        <v/>
      </c>
      <c r="O275" s="12" t="str">
        <f t="shared" si="24"/>
        <v/>
      </c>
      <c r="P275" s="12" t="str">
        <f>IF(C275="Tournament",INDEX('Tournament Log'!$B:$B,E275),IF(C275="Guest","Guest: "&amp;INDEX('Guest Log'!$H:$H,Q275),""))</f>
        <v/>
      </c>
      <c r="Q275" t="str">
        <f>IFERROR(MATCH($A275,'Guest Log'!$L$4:$L$203,0)+3,"")</f>
        <v/>
      </c>
    </row>
    <row r="276" spans="1:17" ht="15" customHeight="1" x14ac:dyDescent="0.2">
      <c r="A276" s="12">
        <f>275</f>
        <v>275</v>
      </c>
      <c r="B276" s="12" t="str">
        <f>IF(C276="","",IF(C276="Match",INDEX('Match Log'!$A:$A,D276),IF(C276="Tournament",INDEX('Tournament Log'!$A:$A,E276),INDEX('Guest Log'!$A:$A,Q276))))</f>
        <v/>
      </c>
      <c r="C276" s="12" t="str">
        <f t="shared" si="20"/>
        <v/>
      </c>
      <c r="D276" s="31" t="str">
        <f>IFERROR(MATCH($A276,'Match Log'!$K$3:$K$501,0)+2,"")</f>
        <v/>
      </c>
      <c r="E276" s="31" t="str">
        <f>IFERROR(MATCH($A276,'Tournament Log'!$O$4:$O$203,0)+3,"")</f>
        <v/>
      </c>
      <c r="F276" s="12" t="str">
        <f>IF(C276="","",IF(C276="Match",INDEX('Match Log'!$B:$B,D276),IF(C276="Tournament",INDEX('Tournament Log'!$C:$C,E276),INDEX('Guest Log'!$B:$B,Q276))))</f>
        <v/>
      </c>
      <c r="G276" s="12" t="str">
        <f>IF(C276="","",IF(C276="Match",INDEX('Match Log'!$C:$C,D276),IF(C276="Tournament",INDEX('Tournament Log'!$B:$B,E276)&amp;" (Phantom)",INDEX('Guest Log'!$H:$H,Q276)&amp;" (Guest)")))</f>
        <v/>
      </c>
      <c r="H276" s="32" t="str">
        <f t="array" ref="H276">IF(C276="","",IFERROR(LOOKUP(2,1/(($F$1:F275=F276)+($G$1:G275=F276)),IF($F$1:F275=F276,$N$1:N275,$O$1:O275)),1000))</f>
        <v/>
      </c>
      <c r="I276" s="12" t="str">
        <f t="array" ref="I276">IF(C276="","",IF(C276="Tournament",INDEX('Tournament Log'!$J:$J,E276),IF(C276="Guest",IF(INDEX('Guest Log'!$I:$I,Q276)="",1000,INDEX('Guest Log'!$I:$I,Q276)),IFERROR(LOOKUP(2,1/(($F$1:F275=G276)+($G$1:G275=G276)),IF($F$1:F275=G276,$N$1:N275,$O$1:O275)),1000))))</f>
        <v/>
      </c>
      <c r="J276" s="12" t="str">
        <f t="shared" si="21"/>
        <v/>
      </c>
      <c r="K276" s="12" t="str">
        <f>IF(C276="","",IF(C276="Match",IF(INDEX('Match Log'!$D:$D,D276)="Win",1,IF(INDEX('Match Log'!$D:$D,D276)="Draw",0.5,0)),IF(C276="Tournament",INDEX('Tournament Log'!$K:$K,E276),IF(INDEX('Guest Log'!$C:$C,Q276)="Win",1,IF(INDEX('Guest Log'!$C:$C,Q276)="Draw",0.5,0)))))</f>
        <v/>
      </c>
      <c r="L276" s="12" t="str">
        <f>IF(C276="","",IF(C276="Match",32,IF(C276="Tournament",MIN(32*INDEX('Tournament Log'!$D:$D,E276),96),32)))</f>
        <v/>
      </c>
      <c r="M276" s="12" t="str">
        <f t="shared" si="22"/>
        <v/>
      </c>
      <c r="N276" s="12" t="str">
        <f t="shared" si="23"/>
        <v/>
      </c>
      <c r="O276" s="12" t="str">
        <f t="shared" si="24"/>
        <v/>
      </c>
      <c r="P276" s="12" t="str">
        <f>IF(C276="Tournament",INDEX('Tournament Log'!$B:$B,E276),IF(C276="Guest","Guest: "&amp;INDEX('Guest Log'!$H:$H,Q276),""))</f>
        <v/>
      </c>
      <c r="Q276" t="str">
        <f>IFERROR(MATCH($A276,'Guest Log'!$L$4:$L$203,0)+3,"")</f>
        <v/>
      </c>
    </row>
    <row r="277" spans="1:17" ht="15" customHeight="1" x14ac:dyDescent="0.2">
      <c r="A277" s="12">
        <f>276</f>
        <v>276</v>
      </c>
      <c r="B277" s="12" t="str">
        <f>IF(C277="","",IF(C277="Match",INDEX('Match Log'!$A:$A,D277),IF(C277="Tournament",INDEX('Tournament Log'!$A:$A,E277),INDEX('Guest Log'!$A:$A,Q277))))</f>
        <v/>
      </c>
      <c r="C277" s="12" t="str">
        <f t="shared" si="20"/>
        <v/>
      </c>
      <c r="D277" s="31" t="str">
        <f>IFERROR(MATCH($A277,'Match Log'!$K$3:$K$501,0)+2,"")</f>
        <v/>
      </c>
      <c r="E277" s="31" t="str">
        <f>IFERROR(MATCH($A277,'Tournament Log'!$O$4:$O$203,0)+3,"")</f>
        <v/>
      </c>
      <c r="F277" s="12" t="str">
        <f>IF(C277="","",IF(C277="Match",INDEX('Match Log'!$B:$B,D277),IF(C277="Tournament",INDEX('Tournament Log'!$C:$C,E277),INDEX('Guest Log'!$B:$B,Q277))))</f>
        <v/>
      </c>
      <c r="G277" s="12" t="str">
        <f>IF(C277="","",IF(C277="Match",INDEX('Match Log'!$C:$C,D277),IF(C277="Tournament",INDEX('Tournament Log'!$B:$B,E277)&amp;" (Phantom)",INDEX('Guest Log'!$H:$H,Q277)&amp;" (Guest)")))</f>
        <v/>
      </c>
      <c r="H277" s="32" t="str">
        <f t="array" ref="H277">IF(C277="","",IFERROR(LOOKUP(2,1/(($F$1:F276=F277)+($G$1:G276=F277)),IF($F$1:F276=F277,$N$1:N276,$O$1:O276)),1000))</f>
        <v/>
      </c>
      <c r="I277" s="12" t="str">
        <f t="array" ref="I277">IF(C277="","",IF(C277="Tournament",INDEX('Tournament Log'!$J:$J,E277),IF(C277="Guest",IF(INDEX('Guest Log'!$I:$I,Q277)="",1000,INDEX('Guest Log'!$I:$I,Q277)),IFERROR(LOOKUP(2,1/(($F$1:F276=G277)+($G$1:G276=G277)),IF($F$1:F276=G277,$N$1:N276,$O$1:O276)),1000))))</f>
        <v/>
      </c>
      <c r="J277" s="12" t="str">
        <f t="shared" si="21"/>
        <v/>
      </c>
      <c r="K277" s="12" t="str">
        <f>IF(C277="","",IF(C277="Match",IF(INDEX('Match Log'!$D:$D,D277)="Win",1,IF(INDEX('Match Log'!$D:$D,D277)="Draw",0.5,0)),IF(C277="Tournament",INDEX('Tournament Log'!$K:$K,E277),IF(INDEX('Guest Log'!$C:$C,Q277)="Win",1,IF(INDEX('Guest Log'!$C:$C,Q277)="Draw",0.5,0)))))</f>
        <v/>
      </c>
      <c r="L277" s="12" t="str">
        <f>IF(C277="","",IF(C277="Match",32,IF(C277="Tournament",MIN(32*INDEX('Tournament Log'!$D:$D,E277),96),32)))</f>
        <v/>
      </c>
      <c r="M277" s="12" t="str">
        <f t="shared" si="22"/>
        <v/>
      </c>
      <c r="N277" s="12" t="str">
        <f t="shared" si="23"/>
        <v/>
      </c>
      <c r="O277" s="12" t="str">
        <f t="shared" si="24"/>
        <v/>
      </c>
      <c r="P277" s="12" t="str">
        <f>IF(C277="Tournament",INDEX('Tournament Log'!$B:$B,E277),IF(C277="Guest","Guest: "&amp;INDEX('Guest Log'!$H:$H,Q277),""))</f>
        <v/>
      </c>
      <c r="Q277" t="str">
        <f>IFERROR(MATCH($A277,'Guest Log'!$L$4:$L$203,0)+3,"")</f>
        <v/>
      </c>
    </row>
    <row r="278" spans="1:17" ht="15" customHeight="1" x14ac:dyDescent="0.2">
      <c r="A278" s="12">
        <f>277</f>
        <v>277</v>
      </c>
      <c r="B278" s="12" t="str">
        <f>IF(C278="","",IF(C278="Match",INDEX('Match Log'!$A:$A,D278),IF(C278="Tournament",INDEX('Tournament Log'!$A:$A,E278),INDEX('Guest Log'!$A:$A,Q278))))</f>
        <v/>
      </c>
      <c r="C278" s="12" t="str">
        <f t="shared" si="20"/>
        <v/>
      </c>
      <c r="D278" s="31" t="str">
        <f>IFERROR(MATCH($A278,'Match Log'!$K$3:$K$501,0)+2,"")</f>
        <v/>
      </c>
      <c r="E278" s="31" t="str">
        <f>IFERROR(MATCH($A278,'Tournament Log'!$O$4:$O$203,0)+3,"")</f>
        <v/>
      </c>
      <c r="F278" s="12" t="str">
        <f>IF(C278="","",IF(C278="Match",INDEX('Match Log'!$B:$B,D278),IF(C278="Tournament",INDEX('Tournament Log'!$C:$C,E278),INDEX('Guest Log'!$B:$B,Q278))))</f>
        <v/>
      </c>
      <c r="G278" s="12" t="str">
        <f>IF(C278="","",IF(C278="Match",INDEX('Match Log'!$C:$C,D278),IF(C278="Tournament",INDEX('Tournament Log'!$B:$B,E278)&amp;" (Phantom)",INDEX('Guest Log'!$H:$H,Q278)&amp;" (Guest)")))</f>
        <v/>
      </c>
      <c r="H278" s="32" t="str">
        <f t="array" ref="H278">IF(C278="","",IFERROR(LOOKUP(2,1/(($F$1:F277=F278)+($G$1:G277=F278)),IF($F$1:F277=F278,$N$1:N277,$O$1:O277)),1000))</f>
        <v/>
      </c>
      <c r="I278" s="12" t="str">
        <f t="array" ref="I278">IF(C278="","",IF(C278="Tournament",INDEX('Tournament Log'!$J:$J,E278),IF(C278="Guest",IF(INDEX('Guest Log'!$I:$I,Q278)="",1000,INDEX('Guest Log'!$I:$I,Q278)),IFERROR(LOOKUP(2,1/(($F$1:F277=G278)+($G$1:G277=G278)),IF($F$1:F277=G278,$N$1:N277,$O$1:O277)),1000))))</f>
        <v/>
      </c>
      <c r="J278" s="12" t="str">
        <f t="shared" si="21"/>
        <v/>
      </c>
      <c r="K278" s="12" t="str">
        <f>IF(C278="","",IF(C278="Match",IF(INDEX('Match Log'!$D:$D,D278)="Win",1,IF(INDEX('Match Log'!$D:$D,D278)="Draw",0.5,0)),IF(C278="Tournament",INDEX('Tournament Log'!$K:$K,E278),IF(INDEX('Guest Log'!$C:$C,Q278)="Win",1,IF(INDEX('Guest Log'!$C:$C,Q278)="Draw",0.5,0)))))</f>
        <v/>
      </c>
      <c r="L278" s="12" t="str">
        <f>IF(C278="","",IF(C278="Match",32,IF(C278="Tournament",MIN(32*INDEX('Tournament Log'!$D:$D,E278),96),32)))</f>
        <v/>
      </c>
      <c r="M278" s="12" t="str">
        <f t="shared" si="22"/>
        <v/>
      </c>
      <c r="N278" s="12" t="str">
        <f t="shared" si="23"/>
        <v/>
      </c>
      <c r="O278" s="12" t="str">
        <f t="shared" si="24"/>
        <v/>
      </c>
      <c r="P278" s="12" t="str">
        <f>IF(C278="Tournament",INDEX('Tournament Log'!$B:$B,E278),IF(C278="Guest","Guest: "&amp;INDEX('Guest Log'!$H:$H,Q278),""))</f>
        <v/>
      </c>
      <c r="Q278" t="str">
        <f>IFERROR(MATCH($A278,'Guest Log'!$L$4:$L$203,0)+3,"")</f>
        <v/>
      </c>
    </row>
    <row r="279" spans="1:17" ht="15" customHeight="1" x14ac:dyDescent="0.2">
      <c r="A279" s="12">
        <f>278</f>
        <v>278</v>
      </c>
      <c r="B279" s="12" t="str">
        <f>IF(C279="","",IF(C279="Match",INDEX('Match Log'!$A:$A,D279),IF(C279="Tournament",INDEX('Tournament Log'!$A:$A,E279),INDEX('Guest Log'!$A:$A,Q279))))</f>
        <v/>
      </c>
      <c r="C279" s="12" t="str">
        <f t="shared" si="20"/>
        <v/>
      </c>
      <c r="D279" s="31" t="str">
        <f>IFERROR(MATCH($A279,'Match Log'!$K$3:$K$501,0)+2,"")</f>
        <v/>
      </c>
      <c r="E279" s="31" t="str">
        <f>IFERROR(MATCH($A279,'Tournament Log'!$O$4:$O$203,0)+3,"")</f>
        <v/>
      </c>
      <c r="F279" s="12" t="str">
        <f>IF(C279="","",IF(C279="Match",INDEX('Match Log'!$B:$B,D279),IF(C279="Tournament",INDEX('Tournament Log'!$C:$C,E279),INDEX('Guest Log'!$B:$B,Q279))))</f>
        <v/>
      </c>
      <c r="G279" s="12" t="str">
        <f>IF(C279="","",IF(C279="Match",INDEX('Match Log'!$C:$C,D279),IF(C279="Tournament",INDEX('Tournament Log'!$B:$B,E279)&amp;" (Phantom)",INDEX('Guest Log'!$H:$H,Q279)&amp;" (Guest)")))</f>
        <v/>
      </c>
      <c r="H279" s="32" t="str">
        <f t="array" ref="H279">IF(C279="","",IFERROR(LOOKUP(2,1/(($F$1:F278=F279)+($G$1:G278=F279)),IF($F$1:F278=F279,$N$1:N278,$O$1:O278)),1000))</f>
        <v/>
      </c>
      <c r="I279" s="12" t="str">
        <f t="array" ref="I279">IF(C279="","",IF(C279="Tournament",INDEX('Tournament Log'!$J:$J,E279),IF(C279="Guest",IF(INDEX('Guest Log'!$I:$I,Q279)="",1000,INDEX('Guest Log'!$I:$I,Q279)),IFERROR(LOOKUP(2,1/(($F$1:F278=G279)+($G$1:G278=G279)),IF($F$1:F278=G279,$N$1:N278,$O$1:O278)),1000))))</f>
        <v/>
      </c>
      <c r="J279" s="12" t="str">
        <f t="shared" si="21"/>
        <v/>
      </c>
      <c r="K279" s="12" t="str">
        <f>IF(C279="","",IF(C279="Match",IF(INDEX('Match Log'!$D:$D,D279)="Win",1,IF(INDEX('Match Log'!$D:$D,D279)="Draw",0.5,0)),IF(C279="Tournament",INDEX('Tournament Log'!$K:$K,E279),IF(INDEX('Guest Log'!$C:$C,Q279)="Win",1,IF(INDEX('Guest Log'!$C:$C,Q279)="Draw",0.5,0)))))</f>
        <v/>
      </c>
      <c r="L279" s="12" t="str">
        <f>IF(C279="","",IF(C279="Match",32,IF(C279="Tournament",MIN(32*INDEX('Tournament Log'!$D:$D,E279),96),32)))</f>
        <v/>
      </c>
      <c r="M279" s="12" t="str">
        <f t="shared" si="22"/>
        <v/>
      </c>
      <c r="N279" s="12" t="str">
        <f t="shared" si="23"/>
        <v/>
      </c>
      <c r="O279" s="12" t="str">
        <f t="shared" si="24"/>
        <v/>
      </c>
      <c r="P279" s="12" t="str">
        <f>IF(C279="Tournament",INDEX('Tournament Log'!$B:$B,E279),IF(C279="Guest","Guest: "&amp;INDEX('Guest Log'!$H:$H,Q279),""))</f>
        <v/>
      </c>
      <c r="Q279" t="str">
        <f>IFERROR(MATCH($A279,'Guest Log'!$L$4:$L$203,0)+3,"")</f>
        <v/>
      </c>
    </row>
    <row r="280" spans="1:17" ht="15" customHeight="1" x14ac:dyDescent="0.2">
      <c r="A280" s="12">
        <f>279</f>
        <v>279</v>
      </c>
      <c r="B280" s="12" t="str">
        <f>IF(C280="","",IF(C280="Match",INDEX('Match Log'!$A:$A,D280),IF(C280="Tournament",INDEX('Tournament Log'!$A:$A,E280),INDEX('Guest Log'!$A:$A,Q280))))</f>
        <v/>
      </c>
      <c r="C280" s="12" t="str">
        <f t="shared" si="20"/>
        <v/>
      </c>
      <c r="D280" s="31" t="str">
        <f>IFERROR(MATCH($A280,'Match Log'!$K$3:$K$501,0)+2,"")</f>
        <v/>
      </c>
      <c r="E280" s="31" t="str">
        <f>IFERROR(MATCH($A280,'Tournament Log'!$O$4:$O$203,0)+3,"")</f>
        <v/>
      </c>
      <c r="F280" s="12" t="str">
        <f>IF(C280="","",IF(C280="Match",INDEX('Match Log'!$B:$B,D280),IF(C280="Tournament",INDEX('Tournament Log'!$C:$C,E280),INDEX('Guest Log'!$B:$B,Q280))))</f>
        <v/>
      </c>
      <c r="G280" s="12" t="str">
        <f>IF(C280="","",IF(C280="Match",INDEX('Match Log'!$C:$C,D280),IF(C280="Tournament",INDEX('Tournament Log'!$B:$B,E280)&amp;" (Phantom)",INDEX('Guest Log'!$H:$H,Q280)&amp;" (Guest)")))</f>
        <v/>
      </c>
      <c r="H280" s="32" t="str">
        <f t="array" ref="H280">IF(C280="","",IFERROR(LOOKUP(2,1/(($F$1:F279=F280)+($G$1:G279=F280)),IF($F$1:F279=F280,$N$1:N279,$O$1:O279)),1000))</f>
        <v/>
      </c>
      <c r="I280" s="12" t="str">
        <f t="array" ref="I280">IF(C280="","",IF(C280="Tournament",INDEX('Tournament Log'!$J:$J,E280),IF(C280="Guest",IF(INDEX('Guest Log'!$I:$I,Q280)="",1000,INDEX('Guest Log'!$I:$I,Q280)),IFERROR(LOOKUP(2,1/(($F$1:F279=G280)+($G$1:G279=G280)),IF($F$1:F279=G280,$N$1:N279,$O$1:O279)),1000))))</f>
        <v/>
      </c>
      <c r="J280" s="12" t="str">
        <f t="shared" si="21"/>
        <v/>
      </c>
      <c r="K280" s="12" t="str">
        <f>IF(C280="","",IF(C280="Match",IF(INDEX('Match Log'!$D:$D,D280)="Win",1,IF(INDEX('Match Log'!$D:$D,D280)="Draw",0.5,0)),IF(C280="Tournament",INDEX('Tournament Log'!$K:$K,E280),IF(INDEX('Guest Log'!$C:$C,Q280)="Win",1,IF(INDEX('Guest Log'!$C:$C,Q280)="Draw",0.5,0)))))</f>
        <v/>
      </c>
      <c r="L280" s="12" t="str">
        <f>IF(C280="","",IF(C280="Match",32,IF(C280="Tournament",MIN(32*INDEX('Tournament Log'!$D:$D,E280),96),32)))</f>
        <v/>
      </c>
      <c r="M280" s="12" t="str">
        <f t="shared" si="22"/>
        <v/>
      </c>
      <c r="N280" s="12" t="str">
        <f t="shared" si="23"/>
        <v/>
      </c>
      <c r="O280" s="12" t="str">
        <f t="shared" si="24"/>
        <v/>
      </c>
      <c r="P280" s="12" t="str">
        <f>IF(C280="Tournament",INDEX('Tournament Log'!$B:$B,E280),IF(C280="Guest","Guest: "&amp;INDEX('Guest Log'!$H:$H,Q280),""))</f>
        <v/>
      </c>
      <c r="Q280" t="str">
        <f>IFERROR(MATCH($A280,'Guest Log'!$L$4:$L$203,0)+3,"")</f>
        <v/>
      </c>
    </row>
    <row r="281" spans="1:17" ht="15" customHeight="1" x14ac:dyDescent="0.2">
      <c r="A281" s="12">
        <f>280</f>
        <v>280</v>
      </c>
      <c r="B281" s="12" t="str">
        <f>IF(C281="","",IF(C281="Match",INDEX('Match Log'!$A:$A,D281),IF(C281="Tournament",INDEX('Tournament Log'!$A:$A,E281),INDEX('Guest Log'!$A:$A,Q281))))</f>
        <v/>
      </c>
      <c r="C281" s="12" t="str">
        <f t="shared" si="20"/>
        <v/>
      </c>
      <c r="D281" s="31" t="str">
        <f>IFERROR(MATCH($A281,'Match Log'!$K$3:$K$501,0)+2,"")</f>
        <v/>
      </c>
      <c r="E281" s="31" t="str">
        <f>IFERROR(MATCH($A281,'Tournament Log'!$O$4:$O$203,0)+3,"")</f>
        <v/>
      </c>
      <c r="F281" s="12" t="str">
        <f>IF(C281="","",IF(C281="Match",INDEX('Match Log'!$B:$B,D281),IF(C281="Tournament",INDEX('Tournament Log'!$C:$C,E281),INDEX('Guest Log'!$B:$B,Q281))))</f>
        <v/>
      </c>
      <c r="G281" s="12" t="str">
        <f>IF(C281="","",IF(C281="Match",INDEX('Match Log'!$C:$C,D281),IF(C281="Tournament",INDEX('Tournament Log'!$B:$B,E281)&amp;" (Phantom)",INDEX('Guest Log'!$H:$H,Q281)&amp;" (Guest)")))</f>
        <v/>
      </c>
      <c r="H281" s="32" t="str">
        <f t="array" ref="H281">IF(C281="","",IFERROR(LOOKUP(2,1/(($F$1:F280=F281)+($G$1:G280=F281)),IF($F$1:F280=F281,$N$1:N280,$O$1:O280)),1000))</f>
        <v/>
      </c>
      <c r="I281" s="12" t="str">
        <f t="array" ref="I281">IF(C281="","",IF(C281="Tournament",INDEX('Tournament Log'!$J:$J,E281),IF(C281="Guest",IF(INDEX('Guest Log'!$I:$I,Q281)="",1000,INDEX('Guest Log'!$I:$I,Q281)),IFERROR(LOOKUP(2,1/(($F$1:F280=G281)+($G$1:G280=G281)),IF($F$1:F280=G281,$N$1:N280,$O$1:O280)),1000))))</f>
        <v/>
      </c>
      <c r="J281" s="12" t="str">
        <f t="shared" si="21"/>
        <v/>
      </c>
      <c r="K281" s="12" t="str">
        <f>IF(C281="","",IF(C281="Match",IF(INDEX('Match Log'!$D:$D,D281)="Win",1,IF(INDEX('Match Log'!$D:$D,D281)="Draw",0.5,0)),IF(C281="Tournament",INDEX('Tournament Log'!$K:$K,E281),IF(INDEX('Guest Log'!$C:$C,Q281)="Win",1,IF(INDEX('Guest Log'!$C:$C,Q281)="Draw",0.5,0)))))</f>
        <v/>
      </c>
      <c r="L281" s="12" t="str">
        <f>IF(C281="","",IF(C281="Match",32,IF(C281="Tournament",MIN(32*INDEX('Tournament Log'!$D:$D,E281),96),32)))</f>
        <v/>
      </c>
      <c r="M281" s="12" t="str">
        <f t="shared" si="22"/>
        <v/>
      </c>
      <c r="N281" s="12" t="str">
        <f t="shared" si="23"/>
        <v/>
      </c>
      <c r="O281" s="12" t="str">
        <f t="shared" si="24"/>
        <v/>
      </c>
      <c r="P281" s="12" t="str">
        <f>IF(C281="Tournament",INDEX('Tournament Log'!$B:$B,E281),IF(C281="Guest","Guest: "&amp;INDEX('Guest Log'!$H:$H,Q281),""))</f>
        <v/>
      </c>
      <c r="Q281" t="str">
        <f>IFERROR(MATCH($A281,'Guest Log'!$L$4:$L$203,0)+3,"")</f>
        <v/>
      </c>
    </row>
    <row r="282" spans="1:17" ht="15" customHeight="1" x14ac:dyDescent="0.2">
      <c r="A282" s="12">
        <f>281</f>
        <v>281</v>
      </c>
      <c r="B282" s="12" t="str">
        <f>IF(C282="","",IF(C282="Match",INDEX('Match Log'!$A:$A,D282),IF(C282="Tournament",INDEX('Tournament Log'!$A:$A,E282),INDEX('Guest Log'!$A:$A,Q282))))</f>
        <v/>
      </c>
      <c r="C282" s="12" t="str">
        <f t="shared" si="20"/>
        <v/>
      </c>
      <c r="D282" s="31" t="str">
        <f>IFERROR(MATCH($A282,'Match Log'!$K$3:$K$501,0)+2,"")</f>
        <v/>
      </c>
      <c r="E282" s="31" t="str">
        <f>IFERROR(MATCH($A282,'Tournament Log'!$O$4:$O$203,0)+3,"")</f>
        <v/>
      </c>
      <c r="F282" s="12" t="str">
        <f>IF(C282="","",IF(C282="Match",INDEX('Match Log'!$B:$B,D282),IF(C282="Tournament",INDEX('Tournament Log'!$C:$C,E282),INDEX('Guest Log'!$B:$B,Q282))))</f>
        <v/>
      </c>
      <c r="G282" s="12" t="str">
        <f>IF(C282="","",IF(C282="Match",INDEX('Match Log'!$C:$C,D282),IF(C282="Tournament",INDEX('Tournament Log'!$B:$B,E282)&amp;" (Phantom)",INDEX('Guest Log'!$H:$H,Q282)&amp;" (Guest)")))</f>
        <v/>
      </c>
      <c r="H282" s="32" t="str">
        <f t="array" ref="H282">IF(C282="","",IFERROR(LOOKUP(2,1/(($F$1:F281=F282)+($G$1:G281=F282)),IF($F$1:F281=F282,$N$1:N281,$O$1:O281)),1000))</f>
        <v/>
      </c>
      <c r="I282" s="12" t="str">
        <f t="array" ref="I282">IF(C282="","",IF(C282="Tournament",INDEX('Tournament Log'!$J:$J,E282),IF(C282="Guest",IF(INDEX('Guest Log'!$I:$I,Q282)="",1000,INDEX('Guest Log'!$I:$I,Q282)),IFERROR(LOOKUP(2,1/(($F$1:F281=G282)+($G$1:G281=G282)),IF($F$1:F281=G282,$N$1:N281,$O$1:O281)),1000))))</f>
        <v/>
      </c>
      <c r="J282" s="12" t="str">
        <f t="shared" si="21"/>
        <v/>
      </c>
      <c r="K282" s="12" t="str">
        <f>IF(C282="","",IF(C282="Match",IF(INDEX('Match Log'!$D:$D,D282)="Win",1,IF(INDEX('Match Log'!$D:$D,D282)="Draw",0.5,0)),IF(C282="Tournament",INDEX('Tournament Log'!$K:$K,E282),IF(INDEX('Guest Log'!$C:$C,Q282)="Win",1,IF(INDEX('Guest Log'!$C:$C,Q282)="Draw",0.5,0)))))</f>
        <v/>
      </c>
      <c r="L282" s="12" t="str">
        <f>IF(C282="","",IF(C282="Match",32,IF(C282="Tournament",MIN(32*INDEX('Tournament Log'!$D:$D,E282),96),32)))</f>
        <v/>
      </c>
      <c r="M282" s="12" t="str">
        <f t="shared" si="22"/>
        <v/>
      </c>
      <c r="N282" s="12" t="str">
        <f t="shared" si="23"/>
        <v/>
      </c>
      <c r="O282" s="12" t="str">
        <f t="shared" si="24"/>
        <v/>
      </c>
      <c r="P282" s="12" t="str">
        <f>IF(C282="Tournament",INDEX('Tournament Log'!$B:$B,E282),IF(C282="Guest","Guest: "&amp;INDEX('Guest Log'!$H:$H,Q282),""))</f>
        <v/>
      </c>
      <c r="Q282" t="str">
        <f>IFERROR(MATCH($A282,'Guest Log'!$L$4:$L$203,0)+3,"")</f>
        <v/>
      </c>
    </row>
    <row r="283" spans="1:17" ht="15" customHeight="1" x14ac:dyDescent="0.2">
      <c r="A283" s="12">
        <f>282</f>
        <v>282</v>
      </c>
      <c r="B283" s="12" t="str">
        <f>IF(C283="","",IF(C283="Match",INDEX('Match Log'!$A:$A,D283),IF(C283="Tournament",INDEX('Tournament Log'!$A:$A,E283),INDEX('Guest Log'!$A:$A,Q283))))</f>
        <v/>
      </c>
      <c r="C283" s="12" t="str">
        <f t="shared" si="20"/>
        <v/>
      </c>
      <c r="D283" s="31" t="str">
        <f>IFERROR(MATCH($A283,'Match Log'!$K$3:$K$501,0)+2,"")</f>
        <v/>
      </c>
      <c r="E283" s="31" t="str">
        <f>IFERROR(MATCH($A283,'Tournament Log'!$O$4:$O$203,0)+3,"")</f>
        <v/>
      </c>
      <c r="F283" s="12" t="str">
        <f>IF(C283="","",IF(C283="Match",INDEX('Match Log'!$B:$B,D283),IF(C283="Tournament",INDEX('Tournament Log'!$C:$C,E283),INDEX('Guest Log'!$B:$B,Q283))))</f>
        <v/>
      </c>
      <c r="G283" s="12" t="str">
        <f>IF(C283="","",IF(C283="Match",INDEX('Match Log'!$C:$C,D283),IF(C283="Tournament",INDEX('Tournament Log'!$B:$B,E283)&amp;" (Phantom)",INDEX('Guest Log'!$H:$H,Q283)&amp;" (Guest)")))</f>
        <v/>
      </c>
      <c r="H283" s="32" t="str">
        <f t="array" ref="H283">IF(C283="","",IFERROR(LOOKUP(2,1/(($F$1:F282=F283)+($G$1:G282=F283)),IF($F$1:F282=F283,$N$1:N282,$O$1:O282)),1000))</f>
        <v/>
      </c>
      <c r="I283" s="12" t="str">
        <f t="array" ref="I283">IF(C283="","",IF(C283="Tournament",INDEX('Tournament Log'!$J:$J,E283),IF(C283="Guest",IF(INDEX('Guest Log'!$I:$I,Q283)="",1000,INDEX('Guest Log'!$I:$I,Q283)),IFERROR(LOOKUP(2,1/(($F$1:F282=G283)+($G$1:G282=G283)),IF($F$1:F282=G283,$N$1:N282,$O$1:O282)),1000))))</f>
        <v/>
      </c>
      <c r="J283" s="12" t="str">
        <f t="shared" si="21"/>
        <v/>
      </c>
      <c r="K283" s="12" t="str">
        <f>IF(C283="","",IF(C283="Match",IF(INDEX('Match Log'!$D:$D,D283)="Win",1,IF(INDEX('Match Log'!$D:$D,D283)="Draw",0.5,0)),IF(C283="Tournament",INDEX('Tournament Log'!$K:$K,E283),IF(INDEX('Guest Log'!$C:$C,Q283)="Win",1,IF(INDEX('Guest Log'!$C:$C,Q283)="Draw",0.5,0)))))</f>
        <v/>
      </c>
      <c r="L283" s="12" t="str">
        <f>IF(C283="","",IF(C283="Match",32,IF(C283="Tournament",MIN(32*INDEX('Tournament Log'!$D:$D,E283),96),32)))</f>
        <v/>
      </c>
      <c r="M283" s="12" t="str">
        <f t="shared" si="22"/>
        <v/>
      </c>
      <c r="N283" s="12" t="str">
        <f t="shared" si="23"/>
        <v/>
      </c>
      <c r="O283" s="12" t="str">
        <f t="shared" si="24"/>
        <v/>
      </c>
      <c r="P283" s="12" t="str">
        <f>IF(C283="Tournament",INDEX('Tournament Log'!$B:$B,E283),IF(C283="Guest","Guest: "&amp;INDEX('Guest Log'!$H:$H,Q283),""))</f>
        <v/>
      </c>
      <c r="Q283" t="str">
        <f>IFERROR(MATCH($A283,'Guest Log'!$L$4:$L$203,0)+3,"")</f>
        <v/>
      </c>
    </row>
    <row r="284" spans="1:17" ht="15" customHeight="1" x14ac:dyDescent="0.2">
      <c r="A284" s="12">
        <f>283</f>
        <v>283</v>
      </c>
      <c r="B284" s="12" t="str">
        <f>IF(C284="","",IF(C284="Match",INDEX('Match Log'!$A:$A,D284),IF(C284="Tournament",INDEX('Tournament Log'!$A:$A,E284),INDEX('Guest Log'!$A:$A,Q284))))</f>
        <v/>
      </c>
      <c r="C284" s="12" t="str">
        <f t="shared" si="20"/>
        <v/>
      </c>
      <c r="D284" s="31" t="str">
        <f>IFERROR(MATCH($A284,'Match Log'!$K$3:$K$501,0)+2,"")</f>
        <v/>
      </c>
      <c r="E284" s="31" t="str">
        <f>IFERROR(MATCH($A284,'Tournament Log'!$O$4:$O$203,0)+3,"")</f>
        <v/>
      </c>
      <c r="F284" s="12" t="str">
        <f>IF(C284="","",IF(C284="Match",INDEX('Match Log'!$B:$B,D284),IF(C284="Tournament",INDEX('Tournament Log'!$C:$C,E284),INDEX('Guest Log'!$B:$B,Q284))))</f>
        <v/>
      </c>
      <c r="G284" s="12" t="str">
        <f>IF(C284="","",IF(C284="Match",INDEX('Match Log'!$C:$C,D284),IF(C284="Tournament",INDEX('Tournament Log'!$B:$B,E284)&amp;" (Phantom)",INDEX('Guest Log'!$H:$H,Q284)&amp;" (Guest)")))</f>
        <v/>
      </c>
      <c r="H284" s="32" t="str">
        <f t="array" ref="H284">IF(C284="","",IFERROR(LOOKUP(2,1/(($F$1:F283=F284)+($G$1:G283=F284)),IF($F$1:F283=F284,$N$1:N283,$O$1:O283)),1000))</f>
        <v/>
      </c>
      <c r="I284" s="12" t="str">
        <f t="array" ref="I284">IF(C284="","",IF(C284="Tournament",INDEX('Tournament Log'!$J:$J,E284),IF(C284="Guest",IF(INDEX('Guest Log'!$I:$I,Q284)="",1000,INDEX('Guest Log'!$I:$I,Q284)),IFERROR(LOOKUP(2,1/(($F$1:F283=G284)+($G$1:G283=G284)),IF($F$1:F283=G284,$N$1:N283,$O$1:O283)),1000))))</f>
        <v/>
      </c>
      <c r="J284" s="12" t="str">
        <f t="shared" si="21"/>
        <v/>
      </c>
      <c r="K284" s="12" t="str">
        <f>IF(C284="","",IF(C284="Match",IF(INDEX('Match Log'!$D:$D,D284)="Win",1,IF(INDEX('Match Log'!$D:$D,D284)="Draw",0.5,0)),IF(C284="Tournament",INDEX('Tournament Log'!$K:$K,E284),IF(INDEX('Guest Log'!$C:$C,Q284)="Win",1,IF(INDEX('Guest Log'!$C:$C,Q284)="Draw",0.5,0)))))</f>
        <v/>
      </c>
      <c r="L284" s="12" t="str">
        <f>IF(C284="","",IF(C284="Match",32,IF(C284="Tournament",MIN(32*INDEX('Tournament Log'!$D:$D,E284),96),32)))</f>
        <v/>
      </c>
      <c r="M284" s="12" t="str">
        <f t="shared" si="22"/>
        <v/>
      </c>
      <c r="N284" s="12" t="str">
        <f t="shared" si="23"/>
        <v/>
      </c>
      <c r="O284" s="12" t="str">
        <f t="shared" si="24"/>
        <v/>
      </c>
      <c r="P284" s="12" t="str">
        <f>IF(C284="Tournament",INDEX('Tournament Log'!$B:$B,E284),IF(C284="Guest","Guest: "&amp;INDEX('Guest Log'!$H:$H,Q284),""))</f>
        <v/>
      </c>
      <c r="Q284" t="str">
        <f>IFERROR(MATCH($A284,'Guest Log'!$L$4:$L$203,0)+3,"")</f>
        <v/>
      </c>
    </row>
    <row r="285" spans="1:17" ht="15" customHeight="1" x14ac:dyDescent="0.2">
      <c r="A285" s="12">
        <f>284</f>
        <v>284</v>
      </c>
      <c r="B285" s="12" t="str">
        <f>IF(C285="","",IF(C285="Match",INDEX('Match Log'!$A:$A,D285),IF(C285="Tournament",INDEX('Tournament Log'!$A:$A,E285),INDEX('Guest Log'!$A:$A,Q285))))</f>
        <v/>
      </c>
      <c r="C285" s="12" t="str">
        <f t="shared" si="20"/>
        <v/>
      </c>
      <c r="D285" s="31" t="str">
        <f>IFERROR(MATCH($A285,'Match Log'!$K$3:$K$501,0)+2,"")</f>
        <v/>
      </c>
      <c r="E285" s="31" t="str">
        <f>IFERROR(MATCH($A285,'Tournament Log'!$O$4:$O$203,0)+3,"")</f>
        <v/>
      </c>
      <c r="F285" s="12" t="str">
        <f>IF(C285="","",IF(C285="Match",INDEX('Match Log'!$B:$B,D285),IF(C285="Tournament",INDEX('Tournament Log'!$C:$C,E285),INDEX('Guest Log'!$B:$B,Q285))))</f>
        <v/>
      </c>
      <c r="G285" s="12" t="str">
        <f>IF(C285="","",IF(C285="Match",INDEX('Match Log'!$C:$C,D285),IF(C285="Tournament",INDEX('Tournament Log'!$B:$B,E285)&amp;" (Phantom)",INDEX('Guest Log'!$H:$H,Q285)&amp;" (Guest)")))</f>
        <v/>
      </c>
      <c r="H285" s="32" t="str">
        <f t="array" ref="H285">IF(C285="","",IFERROR(LOOKUP(2,1/(($F$1:F284=F285)+($G$1:G284=F285)),IF($F$1:F284=F285,$N$1:N284,$O$1:O284)),1000))</f>
        <v/>
      </c>
      <c r="I285" s="12" t="str">
        <f t="array" ref="I285">IF(C285="","",IF(C285="Tournament",INDEX('Tournament Log'!$J:$J,E285),IF(C285="Guest",IF(INDEX('Guest Log'!$I:$I,Q285)="",1000,INDEX('Guest Log'!$I:$I,Q285)),IFERROR(LOOKUP(2,1/(($F$1:F284=G285)+($G$1:G284=G285)),IF($F$1:F284=G285,$N$1:N284,$O$1:O284)),1000))))</f>
        <v/>
      </c>
      <c r="J285" s="12" t="str">
        <f t="shared" si="21"/>
        <v/>
      </c>
      <c r="K285" s="12" t="str">
        <f>IF(C285="","",IF(C285="Match",IF(INDEX('Match Log'!$D:$D,D285)="Win",1,IF(INDEX('Match Log'!$D:$D,D285)="Draw",0.5,0)),IF(C285="Tournament",INDEX('Tournament Log'!$K:$K,E285),IF(INDEX('Guest Log'!$C:$C,Q285)="Win",1,IF(INDEX('Guest Log'!$C:$C,Q285)="Draw",0.5,0)))))</f>
        <v/>
      </c>
      <c r="L285" s="12" t="str">
        <f>IF(C285="","",IF(C285="Match",32,IF(C285="Tournament",MIN(32*INDEX('Tournament Log'!$D:$D,E285),96),32)))</f>
        <v/>
      </c>
      <c r="M285" s="12" t="str">
        <f t="shared" si="22"/>
        <v/>
      </c>
      <c r="N285" s="12" t="str">
        <f t="shared" si="23"/>
        <v/>
      </c>
      <c r="O285" s="12" t="str">
        <f t="shared" si="24"/>
        <v/>
      </c>
      <c r="P285" s="12" t="str">
        <f>IF(C285="Tournament",INDEX('Tournament Log'!$B:$B,E285),IF(C285="Guest","Guest: "&amp;INDEX('Guest Log'!$H:$H,Q285),""))</f>
        <v/>
      </c>
      <c r="Q285" t="str">
        <f>IFERROR(MATCH($A285,'Guest Log'!$L$4:$L$203,0)+3,"")</f>
        <v/>
      </c>
    </row>
    <row r="286" spans="1:17" ht="15" customHeight="1" x14ac:dyDescent="0.2">
      <c r="A286" s="12">
        <f>285</f>
        <v>285</v>
      </c>
      <c r="B286" s="12" t="str">
        <f>IF(C286="","",IF(C286="Match",INDEX('Match Log'!$A:$A,D286),IF(C286="Tournament",INDEX('Tournament Log'!$A:$A,E286),INDEX('Guest Log'!$A:$A,Q286))))</f>
        <v/>
      </c>
      <c r="C286" s="12" t="str">
        <f t="shared" si="20"/>
        <v/>
      </c>
      <c r="D286" s="31" t="str">
        <f>IFERROR(MATCH($A286,'Match Log'!$K$3:$K$501,0)+2,"")</f>
        <v/>
      </c>
      <c r="E286" s="31" t="str">
        <f>IFERROR(MATCH($A286,'Tournament Log'!$O$4:$O$203,0)+3,"")</f>
        <v/>
      </c>
      <c r="F286" s="12" t="str">
        <f>IF(C286="","",IF(C286="Match",INDEX('Match Log'!$B:$B,D286),IF(C286="Tournament",INDEX('Tournament Log'!$C:$C,E286),INDEX('Guest Log'!$B:$B,Q286))))</f>
        <v/>
      </c>
      <c r="G286" s="12" t="str">
        <f>IF(C286="","",IF(C286="Match",INDEX('Match Log'!$C:$C,D286),IF(C286="Tournament",INDEX('Tournament Log'!$B:$B,E286)&amp;" (Phantom)",INDEX('Guest Log'!$H:$H,Q286)&amp;" (Guest)")))</f>
        <v/>
      </c>
      <c r="H286" s="32" t="str">
        <f t="array" ref="H286">IF(C286="","",IFERROR(LOOKUP(2,1/(($F$1:F285=F286)+($G$1:G285=F286)),IF($F$1:F285=F286,$N$1:N285,$O$1:O285)),1000))</f>
        <v/>
      </c>
      <c r="I286" s="12" t="str">
        <f t="array" ref="I286">IF(C286="","",IF(C286="Tournament",INDEX('Tournament Log'!$J:$J,E286),IF(C286="Guest",IF(INDEX('Guest Log'!$I:$I,Q286)="",1000,INDEX('Guest Log'!$I:$I,Q286)),IFERROR(LOOKUP(2,1/(($F$1:F285=G286)+($G$1:G285=G286)),IF($F$1:F285=G286,$N$1:N285,$O$1:O285)),1000))))</f>
        <v/>
      </c>
      <c r="J286" s="12" t="str">
        <f t="shared" si="21"/>
        <v/>
      </c>
      <c r="K286" s="12" t="str">
        <f>IF(C286="","",IF(C286="Match",IF(INDEX('Match Log'!$D:$D,D286)="Win",1,IF(INDEX('Match Log'!$D:$D,D286)="Draw",0.5,0)),IF(C286="Tournament",INDEX('Tournament Log'!$K:$K,E286),IF(INDEX('Guest Log'!$C:$C,Q286)="Win",1,IF(INDEX('Guest Log'!$C:$C,Q286)="Draw",0.5,0)))))</f>
        <v/>
      </c>
      <c r="L286" s="12" t="str">
        <f>IF(C286="","",IF(C286="Match",32,IF(C286="Tournament",MIN(32*INDEX('Tournament Log'!$D:$D,E286),96),32)))</f>
        <v/>
      </c>
      <c r="M286" s="12" t="str">
        <f t="shared" si="22"/>
        <v/>
      </c>
      <c r="N286" s="12" t="str">
        <f t="shared" si="23"/>
        <v/>
      </c>
      <c r="O286" s="12" t="str">
        <f t="shared" si="24"/>
        <v/>
      </c>
      <c r="P286" s="12" t="str">
        <f>IF(C286="Tournament",INDEX('Tournament Log'!$B:$B,E286),IF(C286="Guest","Guest: "&amp;INDEX('Guest Log'!$H:$H,Q286),""))</f>
        <v/>
      </c>
      <c r="Q286" t="str">
        <f>IFERROR(MATCH($A286,'Guest Log'!$L$4:$L$203,0)+3,"")</f>
        <v/>
      </c>
    </row>
    <row r="287" spans="1:17" ht="15" customHeight="1" x14ac:dyDescent="0.2">
      <c r="A287" s="12">
        <f>286</f>
        <v>286</v>
      </c>
      <c r="B287" s="12" t="str">
        <f>IF(C287="","",IF(C287="Match",INDEX('Match Log'!$A:$A,D287),IF(C287="Tournament",INDEX('Tournament Log'!$A:$A,E287),INDEX('Guest Log'!$A:$A,Q287))))</f>
        <v/>
      </c>
      <c r="C287" s="12" t="str">
        <f t="shared" si="20"/>
        <v/>
      </c>
      <c r="D287" s="31" t="str">
        <f>IFERROR(MATCH($A287,'Match Log'!$K$3:$K$501,0)+2,"")</f>
        <v/>
      </c>
      <c r="E287" s="31" t="str">
        <f>IFERROR(MATCH($A287,'Tournament Log'!$O$4:$O$203,0)+3,"")</f>
        <v/>
      </c>
      <c r="F287" s="12" t="str">
        <f>IF(C287="","",IF(C287="Match",INDEX('Match Log'!$B:$B,D287),IF(C287="Tournament",INDEX('Tournament Log'!$C:$C,E287),INDEX('Guest Log'!$B:$B,Q287))))</f>
        <v/>
      </c>
      <c r="G287" s="12" t="str">
        <f>IF(C287="","",IF(C287="Match",INDEX('Match Log'!$C:$C,D287),IF(C287="Tournament",INDEX('Tournament Log'!$B:$B,E287)&amp;" (Phantom)",INDEX('Guest Log'!$H:$H,Q287)&amp;" (Guest)")))</f>
        <v/>
      </c>
      <c r="H287" s="32" t="str">
        <f t="array" ref="H287">IF(C287="","",IFERROR(LOOKUP(2,1/(($F$1:F286=F287)+($G$1:G286=F287)),IF($F$1:F286=F287,$N$1:N286,$O$1:O286)),1000))</f>
        <v/>
      </c>
      <c r="I287" s="12" t="str">
        <f t="array" ref="I287">IF(C287="","",IF(C287="Tournament",INDEX('Tournament Log'!$J:$J,E287),IF(C287="Guest",IF(INDEX('Guest Log'!$I:$I,Q287)="",1000,INDEX('Guest Log'!$I:$I,Q287)),IFERROR(LOOKUP(2,1/(($F$1:F286=G287)+($G$1:G286=G287)),IF($F$1:F286=G287,$N$1:N286,$O$1:O286)),1000))))</f>
        <v/>
      </c>
      <c r="J287" s="12" t="str">
        <f t="shared" si="21"/>
        <v/>
      </c>
      <c r="K287" s="12" t="str">
        <f>IF(C287="","",IF(C287="Match",IF(INDEX('Match Log'!$D:$D,D287)="Win",1,IF(INDEX('Match Log'!$D:$D,D287)="Draw",0.5,0)),IF(C287="Tournament",INDEX('Tournament Log'!$K:$K,E287),IF(INDEX('Guest Log'!$C:$C,Q287)="Win",1,IF(INDEX('Guest Log'!$C:$C,Q287)="Draw",0.5,0)))))</f>
        <v/>
      </c>
      <c r="L287" s="12" t="str">
        <f>IF(C287="","",IF(C287="Match",32,IF(C287="Tournament",MIN(32*INDEX('Tournament Log'!$D:$D,E287),96),32)))</f>
        <v/>
      </c>
      <c r="M287" s="12" t="str">
        <f t="shared" si="22"/>
        <v/>
      </c>
      <c r="N287" s="12" t="str">
        <f t="shared" si="23"/>
        <v/>
      </c>
      <c r="O287" s="12" t="str">
        <f t="shared" si="24"/>
        <v/>
      </c>
      <c r="P287" s="12" t="str">
        <f>IF(C287="Tournament",INDEX('Tournament Log'!$B:$B,E287),IF(C287="Guest","Guest: "&amp;INDEX('Guest Log'!$H:$H,Q287),""))</f>
        <v/>
      </c>
      <c r="Q287" t="str">
        <f>IFERROR(MATCH($A287,'Guest Log'!$L$4:$L$203,0)+3,"")</f>
        <v/>
      </c>
    </row>
    <row r="288" spans="1:17" ht="15" customHeight="1" x14ac:dyDescent="0.2">
      <c r="A288" s="12">
        <f>287</f>
        <v>287</v>
      </c>
      <c r="B288" s="12" t="str">
        <f>IF(C288="","",IF(C288="Match",INDEX('Match Log'!$A:$A,D288),IF(C288="Tournament",INDEX('Tournament Log'!$A:$A,E288),INDEX('Guest Log'!$A:$A,Q288))))</f>
        <v/>
      </c>
      <c r="C288" s="12" t="str">
        <f t="shared" si="20"/>
        <v/>
      </c>
      <c r="D288" s="31" t="str">
        <f>IFERROR(MATCH($A288,'Match Log'!$K$3:$K$501,0)+2,"")</f>
        <v/>
      </c>
      <c r="E288" s="31" t="str">
        <f>IFERROR(MATCH($A288,'Tournament Log'!$O$4:$O$203,0)+3,"")</f>
        <v/>
      </c>
      <c r="F288" s="12" t="str">
        <f>IF(C288="","",IF(C288="Match",INDEX('Match Log'!$B:$B,D288),IF(C288="Tournament",INDEX('Tournament Log'!$C:$C,E288),INDEX('Guest Log'!$B:$B,Q288))))</f>
        <v/>
      </c>
      <c r="G288" s="12" t="str">
        <f>IF(C288="","",IF(C288="Match",INDEX('Match Log'!$C:$C,D288),IF(C288="Tournament",INDEX('Tournament Log'!$B:$B,E288)&amp;" (Phantom)",INDEX('Guest Log'!$H:$H,Q288)&amp;" (Guest)")))</f>
        <v/>
      </c>
      <c r="H288" s="32" t="str">
        <f t="array" ref="H288">IF(C288="","",IFERROR(LOOKUP(2,1/(($F$1:F287=F288)+($G$1:G287=F288)),IF($F$1:F287=F288,$N$1:N287,$O$1:O287)),1000))</f>
        <v/>
      </c>
      <c r="I288" s="12" t="str">
        <f t="array" ref="I288">IF(C288="","",IF(C288="Tournament",INDEX('Tournament Log'!$J:$J,E288),IF(C288="Guest",IF(INDEX('Guest Log'!$I:$I,Q288)="",1000,INDEX('Guest Log'!$I:$I,Q288)),IFERROR(LOOKUP(2,1/(($F$1:F287=G288)+($G$1:G287=G288)),IF($F$1:F287=G288,$N$1:N287,$O$1:O287)),1000))))</f>
        <v/>
      </c>
      <c r="J288" s="12" t="str">
        <f t="shared" si="21"/>
        <v/>
      </c>
      <c r="K288" s="12" t="str">
        <f>IF(C288="","",IF(C288="Match",IF(INDEX('Match Log'!$D:$D,D288)="Win",1,IF(INDEX('Match Log'!$D:$D,D288)="Draw",0.5,0)),IF(C288="Tournament",INDEX('Tournament Log'!$K:$K,E288),IF(INDEX('Guest Log'!$C:$C,Q288)="Win",1,IF(INDEX('Guest Log'!$C:$C,Q288)="Draw",0.5,0)))))</f>
        <v/>
      </c>
      <c r="L288" s="12" t="str">
        <f>IF(C288="","",IF(C288="Match",32,IF(C288="Tournament",MIN(32*INDEX('Tournament Log'!$D:$D,E288),96),32)))</f>
        <v/>
      </c>
      <c r="M288" s="12" t="str">
        <f t="shared" si="22"/>
        <v/>
      </c>
      <c r="N288" s="12" t="str">
        <f t="shared" si="23"/>
        <v/>
      </c>
      <c r="O288" s="12" t="str">
        <f t="shared" si="24"/>
        <v/>
      </c>
      <c r="P288" s="12" t="str">
        <f>IF(C288="Tournament",INDEX('Tournament Log'!$B:$B,E288),IF(C288="Guest","Guest: "&amp;INDEX('Guest Log'!$H:$H,Q288),""))</f>
        <v/>
      </c>
      <c r="Q288" t="str">
        <f>IFERROR(MATCH($A288,'Guest Log'!$L$4:$L$203,0)+3,"")</f>
        <v/>
      </c>
    </row>
    <row r="289" spans="1:17" ht="15" customHeight="1" x14ac:dyDescent="0.2">
      <c r="A289" s="12">
        <f>288</f>
        <v>288</v>
      </c>
      <c r="B289" s="12" t="str">
        <f>IF(C289="","",IF(C289="Match",INDEX('Match Log'!$A:$A,D289),IF(C289="Tournament",INDEX('Tournament Log'!$A:$A,E289),INDEX('Guest Log'!$A:$A,Q289))))</f>
        <v/>
      </c>
      <c r="C289" s="12" t="str">
        <f t="shared" si="20"/>
        <v/>
      </c>
      <c r="D289" s="31" t="str">
        <f>IFERROR(MATCH($A289,'Match Log'!$K$3:$K$501,0)+2,"")</f>
        <v/>
      </c>
      <c r="E289" s="31" t="str">
        <f>IFERROR(MATCH($A289,'Tournament Log'!$O$4:$O$203,0)+3,"")</f>
        <v/>
      </c>
      <c r="F289" s="12" t="str">
        <f>IF(C289="","",IF(C289="Match",INDEX('Match Log'!$B:$B,D289),IF(C289="Tournament",INDEX('Tournament Log'!$C:$C,E289),INDEX('Guest Log'!$B:$B,Q289))))</f>
        <v/>
      </c>
      <c r="G289" s="12" t="str">
        <f>IF(C289="","",IF(C289="Match",INDEX('Match Log'!$C:$C,D289),IF(C289="Tournament",INDEX('Tournament Log'!$B:$B,E289)&amp;" (Phantom)",INDEX('Guest Log'!$H:$H,Q289)&amp;" (Guest)")))</f>
        <v/>
      </c>
      <c r="H289" s="32" t="str">
        <f t="array" ref="H289">IF(C289="","",IFERROR(LOOKUP(2,1/(($F$1:F288=F289)+($G$1:G288=F289)),IF($F$1:F288=F289,$N$1:N288,$O$1:O288)),1000))</f>
        <v/>
      </c>
      <c r="I289" s="12" t="str">
        <f t="array" ref="I289">IF(C289="","",IF(C289="Tournament",INDEX('Tournament Log'!$J:$J,E289),IF(C289="Guest",IF(INDEX('Guest Log'!$I:$I,Q289)="",1000,INDEX('Guest Log'!$I:$I,Q289)),IFERROR(LOOKUP(2,1/(($F$1:F288=G289)+($G$1:G288=G289)),IF($F$1:F288=G289,$N$1:N288,$O$1:O288)),1000))))</f>
        <v/>
      </c>
      <c r="J289" s="12" t="str">
        <f t="shared" si="21"/>
        <v/>
      </c>
      <c r="K289" s="12" t="str">
        <f>IF(C289="","",IF(C289="Match",IF(INDEX('Match Log'!$D:$D,D289)="Win",1,IF(INDEX('Match Log'!$D:$D,D289)="Draw",0.5,0)),IF(C289="Tournament",INDEX('Tournament Log'!$K:$K,E289),IF(INDEX('Guest Log'!$C:$C,Q289)="Win",1,IF(INDEX('Guest Log'!$C:$C,Q289)="Draw",0.5,0)))))</f>
        <v/>
      </c>
      <c r="L289" s="12" t="str">
        <f>IF(C289="","",IF(C289="Match",32,IF(C289="Tournament",MIN(32*INDEX('Tournament Log'!$D:$D,E289),96),32)))</f>
        <v/>
      </c>
      <c r="M289" s="12" t="str">
        <f t="shared" si="22"/>
        <v/>
      </c>
      <c r="N289" s="12" t="str">
        <f t="shared" si="23"/>
        <v/>
      </c>
      <c r="O289" s="12" t="str">
        <f t="shared" si="24"/>
        <v/>
      </c>
      <c r="P289" s="12" t="str">
        <f>IF(C289="Tournament",INDEX('Tournament Log'!$B:$B,E289),IF(C289="Guest","Guest: "&amp;INDEX('Guest Log'!$H:$H,Q289),""))</f>
        <v/>
      </c>
      <c r="Q289" t="str">
        <f>IFERROR(MATCH($A289,'Guest Log'!$L$4:$L$203,0)+3,"")</f>
        <v/>
      </c>
    </row>
    <row r="290" spans="1:17" ht="15" customHeight="1" x14ac:dyDescent="0.2">
      <c r="A290" s="12">
        <f>289</f>
        <v>289</v>
      </c>
      <c r="B290" s="12" t="str">
        <f>IF(C290="","",IF(C290="Match",INDEX('Match Log'!$A:$A,D290),IF(C290="Tournament",INDEX('Tournament Log'!$A:$A,E290),INDEX('Guest Log'!$A:$A,Q290))))</f>
        <v/>
      </c>
      <c r="C290" s="12" t="str">
        <f t="shared" si="20"/>
        <v/>
      </c>
      <c r="D290" s="31" t="str">
        <f>IFERROR(MATCH($A290,'Match Log'!$K$3:$K$501,0)+2,"")</f>
        <v/>
      </c>
      <c r="E290" s="31" t="str">
        <f>IFERROR(MATCH($A290,'Tournament Log'!$O$4:$O$203,0)+3,"")</f>
        <v/>
      </c>
      <c r="F290" s="12" t="str">
        <f>IF(C290="","",IF(C290="Match",INDEX('Match Log'!$B:$B,D290),IF(C290="Tournament",INDEX('Tournament Log'!$C:$C,E290),INDEX('Guest Log'!$B:$B,Q290))))</f>
        <v/>
      </c>
      <c r="G290" s="12" t="str">
        <f>IF(C290="","",IF(C290="Match",INDEX('Match Log'!$C:$C,D290),IF(C290="Tournament",INDEX('Tournament Log'!$B:$B,E290)&amp;" (Phantom)",INDEX('Guest Log'!$H:$H,Q290)&amp;" (Guest)")))</f>
        <v/>
      </c>
      <c r="H290" s="32" t="str">
        <f t="array" ref="H290">IF(C290="","",IFERROR(LOOKUP(2,1/(($F$1:F289=F290)+($G$1:G289=F290)),IF($F$1:F289=F290,$N$1:N289,$O$1:O289)),1000))</f>
        <v/>
      </c>
      <c r="I290" s="12" t="str">
        <f t="array" ref="I290">IF(C290="","",IF(C290="Tournament",INDEX('Tournament Log'!$J:$J,E290),IF(C290="Guest",IF(INDEX('Guest Log'!$I:$I,Q290)="",1000,INDEX('Guest Log'!$I:$I,Q290)),IFERROR(LOOKUP(2,1/(($F$1:F289=G290)+($G$1:G289=G290)),IF($F$1:F289=G290,$N$1:N289,$O$1:O289)),1000))))</f>
        <v/>
      </c>
      <c r="J290" s="12" t="str">
        <f t="shared" si="21"/>
        <v/>
      </c>
      <c r="K290" s="12" t="str">
        <f>IF(C290="","",IF(C290="Match",IF(INDEX('Match Log'!$D:$D,D290)="Win",1,IF(INDEX('Match Log'!$D:$D,D290)="Draw",0.5,0)),IF(C290="Tournament",INDEX('Tournament Log'!$K:$K,E290),IF(INDEX('Guest Log'!$C:$C,Q290)="Win",1,IF(INDEX('Guest Log'!$C:$C,Q290)="Draw",0.5,0)))))</f>
        <v/>
      </c>
      <c r="L290" s="12" t="str">
        <f>IF(C290="","",IF(C290="Match",32,IF(C290="Tournament",MIN(32*INDEX('Tournament Log'!$D:$D,E290),96),32)))</f>
        <v/>
      </c>
      <c r="M290" s="12" t="str">
        <f t="shared" si="22"/>
        <v/>
      </c>
      <c r="N290" s="12" t="str">
        <f t="shared" si="23"/>
        <v/>
      </c>
      <c r="O290" s="12" t="str">
        <f t="shared" si="24"/>
        <v/>
      </c>
      <c r="P290" s="12" t="str">
        <f>IF(C290="Tournament",INDEX('Tournament Log'!$B:$B,E290),IF(C290="Guest","Guest: "&amp;INDEX('Guest Log'!$H:$H,Q290),""))</f>
        <v/>
      </c>
      <c r="Q290" t="str">
        <f>IFERROR(MATCH($A290,'Guest Log'!$L$4:$L$203,0)+3,"")</f>
        <v/>
      </c>
    </row>
    <row r="291" spans="1:17" ht="15" customHeight="1" x14ac:dyDescent="0.2">
      <c r="A291" s="12">
        <f>290</f>
        <v>290</v>
      </c>
      <c r="B291" s="12" t="str">
        <f>IF(C291="","",IF(C291="Match",INDEX('Match Log'!$A:$A,D291),IF(C291="Tournament",INDEX('Tournament Log'!$A:$A,E291),INDEX('Guest Log'!$A:$A,Q291))))</f>
        <v/>
      </c>
      <c r="C291" s="12" t="str">
        <f t="shared" si="20"/>
        <v/>
      </c>
      <c r="D291" s="31" t="str">
        <f>IFERROR(MATCH($A291,'Match Log'!$K$3:$K$501,0)+2,"")</f>
        <v/>
      </c>
      <c r="E291" s="31" t="str">
        <f>IFERROR(MATCH($A291,'Tournament Log'!$O$4:$O$203,0)+3,"")</f>
        <v/>
      </c>
      <c r="F291" s="12" t="str">
        <f>IF(C291="","",IF(C291="Match",INDEX('Match Log'!$B:$B,D291),IF(C291="Tournament",INDEX('Tournament Log'!$C:$C,E291),INDEX('Guest Log'!$B:$B,Q291))))</f>
        <v/>
      </c>
      <c r="G291" s="12" t="str">
        <f>IF(C291="","",IF(C291="Match",INDEX('Match Log'!$C:$C,D291),IF(C291="Tournament",INDEX('Tournament Log'!$B:$B,E291)&amp;" (Phantom)",INDEX('Guest Log'!$H:$H,Q291)&amp;" (Guest)")))</f>
        <v/>
      </c>
      <c r="H291" s="32" t="str">
        <f t="array" ref="H291">IF(C291="","",IFERROR(LOOKUP(2,1/(($F$1:F290=F291)+($G$1:G290=F291)),IF($F$1:F290=F291,$N$1:N290,$O$1:O290)),1000))</f>
        <v/>
      </c>
      <c r="I291" s="12" t="str">
        <f t="array" ref="I291">IF(C291="","",IF(C291="Tournament",INDEX('Tournament Log'!$J:$J,E291),IF(C291="Guest",IF(INDEX('Guest Log'!$I:$I,Q291)="",1000,INDEX('Guest Log'!$I:$I,Q291)),IFERROR(LOOKUP(2,1/(($F$1:F290=G291)+($G$1:G290=G291)),IF($F$1:F290=G291,$N$1:N290,$O$1:O290)),1000))))</f>
        <v/>
      </c>
      <c r="J291" s="12" t="str">
        <f t="shared" si="21"/>
        <v/>
      </c>
      <c r="K291" s="12" t="str">
        <f>IF(C291="","",IF(C291="Match",IF(INDEX('Match Log'!$D:$D,D291)="Win",1,IF(INDEX('Match Log'!$D:$D,D291)="Draw",0.5,0)),IF(C291="Tournament",INDEX('Tournament Log'!$K:$K,E291),IF(INDEX('Guest Log'!$C:$C,Q291)="Win",1,IF(INDEX('Guest Log'!$C:$C,Q291)="Draw",0.5,0)))))</f>
        <v/>
      </c>
      <c r="L291" s="12" t="str">
        <f>IF(C291="","",IF(C291="Match",32,IF(C291="Tournament",MIN(32*INDEX('Tournament Log'!$D:$D,E291),96),32)))</f>
        <v/>
      </c>
      <c r="M291" s="12" t="str">
        <f t="shared" si="22"/>
        <v/>
      </c>
      <c r="N291" s="12" t="str">
        <f t="shared" si="23"/>
        <v/>
      </c>
      <c r="O291" s="12" t="str">
        <f t="shared" si="24"/>
        <v/>
      </c>
      <c r="P291" s="12" t="str">
        <f>IF(C291="Tournament",INDEX('Tournament Log'!$B:$B,E291),IF(C291="Guest","Guest: "&amp;INDEX('Guest Log'!$H:$H,Q291),""))</f>
        <v/>
      </c>
      <c r="Q291" t="str">
        <f>IFERROR(MATCH($A291,'Guest Log'!$L$4:$L$203,0)+3,"")</f>
        <v/>
      </c>
    </row>
    <row r="292" spans="1:17" ht="15" customHeight="1" x14ac:dyDescent="0.2">
      <c r="A292" s="12">
        <f>291</f>
        <v>291</v>
      </c>
      <c r="B292" s="12" t="str">
        <f>IF(C292="","",IF(C292="Match",INDEX('Match Log'!$A:$A,D292),IF(C292="Tournament",INDEX('Tournament Log'!$A:$A,E292),INDEX('Guest Log'!$A:$A,Q292))))</f>
        <v/>
      </c>
      <c r="C292" s="12" t="str">
        <f t="shared" si="20"/>
        <v/>
      </c>
      <c r="D292" s="31" t="str">
        <f>IFERROR(MATCH($A292,'Match Log'!$K$3:$K$501,0)+2,"")</f>
        <v/>
      </c>
      <c r="E292" s="31" t="str">
        <f>IFERROR(MATCH($A292,'Tournament Log'!$O$4:$O$203,0)+3,"")</f>
        <v/>
      </c>
      <c r="F292" s="12" t="str">
        <f>IF(C292="","",IF(C292="Match",INDEX('Match Log'!$B:$B,D292),IF(C292="Tournament",INDEX('Tournament Log'!$C:$C,E292),INDEX('Guest Log'!$B:$B,Q292))))</f>
        <v/>
      </c>
      <c r="G292" s="12" t="str">
        <f>IF(C292="","",IF(C292="Match",INDEX('Match Log'!$C:$C,D292),IF(C292="Tournament",INDEX('Tournament Log'!$B:$B,E292)&amp;" (Phantom)",INDEX('Guest Log'!$H:$H,Q292)&amp;" (Guest)")))</f>
        <v/>
      </c>
      <c r="H292" s="32" t="str">
        <f t="array" ref="H292">IF(C292="","",IFERROR(LOOKUP(2,1/(($F$1:F291=F292)+($G$1:G291=F292)),IF($F$1:F291=F292,$N$1:N291,$O$1:O291)),1000))</f>
        <v/>
      </c>
      <c r="I292" s="12" t="str">
        <f t="array" ref="I292">IF(C292="","",IF(C292="Tournament",INDEX('Tournament Log'!$J:$J,E292),IF(C292="Guest",IF(INDEX('Guest Log'!$I:$I,Q292)="",1000,INDEX('Guest Log'!$I:$I,Q292)),IFERROR(LOOKUP(2,1/(($F$1:F291=G292)+($G$1:G291=G292)),IF($F$1:F291=G292,$N$1:N291,$O$1:O291)),1000))))</f>
        <v/>
      </c>
      <c r="J292" s="12" t="str">
        <f t="shared" si="21"/>
        <v/>
      </c>
      <c r="K292" s="12" t="str">
        <f>IF(C292="","",IF(C292="Match",IF(INDEX('Match Log'!$D:$D,D292)="Win",1,IF(INDEX('Match Log'!$D:$D,D292)="Draw",0.5,0)),IF(C292="Tournament",INDEX('Tournament Log'!$K:$K,E292),IF(INDEX('Guest Log'!$C:$C,Q292)="Win",1,IF(INDEX('Guest Log'!$C:$C,Q292)="Draw",0.5,0)))))</f>
        <v/>
      </c>
      <c r="L292" s="12" t="str">
        <f>IF(C292="","",IF(C292="Match",32,IF(C292="Tournament",MIN(32*INDEX('Tournament Log'!$D:$D,E292),96),32)))</f>
        <v/>
      </c>
      <c r="M292" s="12" t="str">
        <f t="shared" si="22"/>
        <v/>
      </c>
      <c r="N292" s="12" t="str">
        <f t="shared" si="23"/>
        <v/>
      </c>
      <c r="O292" s="12" t="str">
        <f t="shared" si="24"/>
        <v/>
      </c>
      <c r="P292" s="12" t="str">
        <f>IF(C292="Tournament",INDEX('Tournament Log'!$B:$B,E292),IF(C292="Guest","Guest: "&amp;INDEX('Guest Log'!$H:$H,Q292),""))</f>
        <v/>
      </c>
      <c r="Q292" t="str">
        <f>IFERROR(MATCH($A292,'Guest Log'!$L$4:$L$203,0)+3,"")</f>
        <v/>
      </c>
    </row>
    <row r="293" spans="1:17" ht="15" customHeight="1" x14ac:dyDescent="0.2">
      <c r="A293" s="12">
        <f>292</f>
        <v>292</v>
      </c>
      <c r="B293" s="12" t="str">
        <f>IF(C293="","",IF(C293="Match",INDEX('Match Log'!$A:$A,D293),IF(C293="Tournament",INDEX('Tournament Log'!$A:$A,E293),INDEX('Guest Log'!$A:$A,Q293))))</f>
        <v/>
      </c>
      <c r="C293" s="12" t="str">
        <f t="shared" si="20"/>
        <v/>
      </c>
      <c r="D293" s="31" t="str">
        <f>IFERROR(MATCH($A293,'Match Log'!$K$3:$K$501,0)+2,"")</f>
        <v/>
      </c>
      <c r="E293" s="31" t="str">
        <f>IFERROR(MATCH($A293,'Tournament Log'!$O$4:$O$203,0)+3,"")</f>
        <v/>
      </c>
      <c r="F293" s="12" t="str">
        <f>IF(C293="","",IF(C293="Match",INDEX('Match Log'!$B:$B,D293),IF(C293="Tournament",INDEX('Tournament Log'!$C:$C,E293),INDEX('Guest Log'!$B:$B,Q293))))</f>
        <v/>
      </c>
      <c r="G293" s="12" t="str">
        <f>IF(C293="","",IF(C293="Match",INDEX('Match Log'!$C:$C,D293),IF(C293="Tournament",INDEX('Tournament Log'!$B:$B,E293)&amp;" (Phantom)",INDEX('Guest Log'!$H:$H,Q293)&amp;" (Guest)")))</f>
        <v/>
      </c>
      <c r="H293" s="32" t="str">
        <f t="array" ref="H293">IF(C293="","",IFERROR(LOOKUP(2,1/(($F$1:F292=F293)+($G$1:G292=F293)),IF($F$1:F292=F293,$N$1:N292,$O$1:O292)),1000))</f>
        <v/>
      </c>
      <c r="I293" s="12" t="str">
        <f t="array" ref="I293">IF(C293="","",IF(C293="Tournament",INDEX('Tournament Log'!$J:$J,E293),IF(C293="Guest",IF(INDEX('Guest Log'!$I:$I,Q293)="",1000,INDEX('Guest Log'!$I:$I,Q293)),IFERROR(LOOKUP(2,1/(($F$1:F292=G293)+($G$1:G292=G293)),IF($F$1:F292=G293,$N$1:N292,$O$1:O292)),1000))))</f>
        <v/>
      </c>
      <c r="J293" s="12" t="str">
        <f t="shared" si="21"/>
        <v/>
      </c>
      <c r="K293" s="12" t="str">
        <f>IF(C293="","",IF(C293="Match",IF(INDEX('Match Log'!$D:$D,D293)="Win",1,IF(INDEX('Match Log'!$D:$D,D293)="Draw",0.5,0)),IF(C293="Tournament",INDEX('Tournament Log'!$K:$K,E293),IF(INDEX('Guest Log'!$C:$C,Q293)="Win",1,IF(INDEX('Guest Log'!$C:$C,Q293)="Draw",0.5,0)))))</f>
        <v/>
      </c>
      <c r="L293" s="12" t="str">
        <f>IF(C293="","",IF(C293="Match",32,IF(C293="Tournament",MIN(32*INDEX('Tournament Log'!$D:$D,E293),96),32)))</f>
        <v/>
      </c>
      <c r="M293" s="12" t="str">
        <f t="shared" si="22"/>
        <v/>
      </c>
      <c r="N293" s="12" t="str">
        <f t="shared" si="23"/>
        <v/>
      </c>
      <c r="O293" s="12" t="str">
        <f t="shared" si="24"/>
        <v/>
      </c>
      <c r="P293" s="12" t="str">
        <f>IF(C293="Tournament",INDEX('Tournament Log'!$B:$B,E293),IF(C293="Guest","Guest: "&amp;INDEX('Guest Log'!$H:$H,Q293),""))</f>
        <v/>
      </c>
      <c r="Q293" t="str">
        <f>IFERROR(MATCH($A293,'Guest Log'!$L$4:$L$203,0)+3,"")</f>
        <v/>
      </c>
    </row>
    <row r="294" spans="1:17" ht="15" customHeight="1" x14ac:dyDescent="0.2">
      <c r="A294" s="12">
        <f>293</f>
        <v>293</v>
      </c>
      <c r="B294" s="12" t="str">
        <f>IF(C294="","",IF(C294="Match",INDEX('Match Log'!$A:$A,D294),IF(C294="Tournament",INDEX('Tournament Log'!$A:$A,E294),INDEX('Guest Log'!$A:$A,Q294))))</f>
        <v/>
      </c>
      <c r="C294" s="12" t="str">
        <f t="shared" si="20"/>
        <v/>
      </c>
      <c r="D294" s="31" t="str">
        <f>IFERROR(MATCH($A294,'Match Log'!$K$3:$K$501,0)+2,"")</f>
        <v/>
      </c>
      <c r="E294" s="31" t="str">
        <f>IFERROR(MATCH($A294,'Tournament Log'!$O$4:$O$203,0)+3,"")</f>
        <v/>
      </c>
      <c r="F294" s="12" t="str">
        <f>IF(C294="","",IF(C294="Match",INDEX('Match Log'!$B:$B,D294),IF(C294="Tournament",INDEX('Tournament Log'!$C:$C,E294),INDEX('Guest Log'!$B:$B,Q294))))</f>
        <v/>
      </c>
      <c r="G294" s="12" t="str">
        <f>IF(C294="","",IF(C294="Match",INDEX('Match Log'!$C:$C,D294),IF(C294="Tournament",INDEX('Tournament Log'!$B:$B,E294)&amp;" (Phantom)",INDEX('Guest Log'!$H:$H,Q294)&amp;" (Guest)")))</f>
        <v/>
      </c>
      <c r="H294" s="32" t="str">
        <f t="array" ref="H294">IF(C294="","",IFERROR(LOOKUP(2,1/(($F$1:F293=F294)+($G$1:G293=F294)),IF($F$1:F293=F294,$N$1:N293,$O$1:O293)),1000))</f>
        <v/>
      </c>
      <c r="I294" s="12" t="str">
        <f t="array" ref="I294">IF(C294="","",IF(C294="Tournament",INDEX('Tournament Log'!$J:$J,E294),IF(C294="Guest",IF(INDEX('Guest Log'!$I:$I,Q294)="",1000,INDEX('Guest Log'!$I:$I,Q294)),IFERROR(LOOKUP(2,1/(($F$1:F293=G294)+($G$1:G293=G294)),IF($F$1:F293=G294,$N$1:N293,$O$1:O293)),1000))))</f>
        <v/>
      </c>
      <c r="J294" s="12" t="str">
        <f t="shared" si="21"/>
        <v/>
      </c>
      <c r="K294" s="12" t="str">
        <f>IF(C294="","",IF(C294="Match",IF(INDEX('Match Log'!$D:$D,D294)="Win",1,IF(INDEX('Match Log'!$D:$D,D294)="Draw",0.5,0)),IF(C294="Tournament",INDEX('Tournament Log'!$K:$K,E294),IF(INDEX('Guest Log'!$C:$C,Q294)="Win",1,IF(INDEX('Guest Log'!$C:$C,Q294)="Draw",0.5,0)))))</f>
        <v/>
      </c>
      <c r="L294" s="12" t="str">
        <f>IF(C294="","",IF(C294="Match",32,IF(C294="Tournament",MIN(32*INDEX('Tournament Log'!$D:$D,E294),96),32)))</f>
        <v/>
      </c>
      <c r="M294" s="12" t="str">
        <f t="shared" si="22"/>
        <v/>
      </c>
      <c r="N294" s="12" t="str">
        <f t="shared" si="23"/>
        <v/>
      </c>
      <c r="O294" s="12" t="str">
        <f t="shared" si="24"/>
        <v/>
      </c>
      <c r="P294" s="12" t="str">
        <f>IF(C294="Tournament",INDEX('Tournament Log'!$B:$B,E294),IF(C294="Guest","Guest: "&amp;INDEX('Guest Log'!$H:$H,Q294),""))</f>
        <v/>
      </c>
      <c r="Q294" t="str">
        <f>IFERROR(MATCH($A294,'Guest Log'!$L$4:$L$203,0)+3,"")</f>
        <v/>
      </c>
    </row>
    <row r="295" spans="1:17" ht="15" customHeight="1" x14ac:dyDescent="0.2">
      <c r="A295" s="12">
        <f>294</f>
        <v>294</v>
      </c>
      <c r="B295" s="12" t="str">
        <f>IF(C295="","",IF(C295="Match",INDEX('Match Log'!$A:$A,D295),IF(C295="Tournament",INDEX('Tournament Log'!$A:$A,E295),INDEX('Guest Log'!$A:$A,Q295))))</f>
        <v/>
      </c>
      <c r="C295" s="12" t="str">
        <f t="shared" si="20"/>
        <v/>
      </c>
      <c r="D295" s="31" t="str">
        <f>IFERROR(MATCH($A295,'Match Log'!$K$3:$K$501,0)+2,"")</f>
        <v/>
      </c>
      <c r="E295" s="31" t="str">
        <f>IFERROR(MATCH($A295,'Tournament Log'!$O$4:$O$203,0)+3,"")</f>
        <v/>
      </c>
      <c r="F295" s="12" t="str">
        <f>IF(C295="","",IF(C295="Match",INDEX('Match Log'!$B:$B,D295),IF(C295="Tournament",INDEX('Tournament Log'!$C:$C,E295),INDEX('Guest Log'!$B:$B,Q295))))</f>
        <v/>
      </c>
      <c r="G295" s="12" t="str">
        <f>IF(C295="","",IF(C295="Match",INDEX('Match Log'!$C:$C,D295),IF(C295="Tournament",INDEX('Tournament Log'!$B:$B,E295)&amp;" (Phantom)",INDEX('Guest Log'!$H:$H,Q295)&amp;" (Guest)")))</f>
        <v/>
      </c>
      <c r="H295" s="32" t="str">
        <f t="array" ref="H295">IF(C295="","",IFERROR(LOOKUP(2,1/(($F$1:F294=F295)+($G$1:G294=F295)),IF($F$1:F294=F295,$N$1:N294,$O$1:O294)),1000))</f>
        <v/>
      </c>
      <c r="I295" s="12" t="str">
        <f t="array" ref="I295">IF(C295="","",IF(C295="Tournament",INDEX('Tournament Log'!$J:$J,E295),IF(C295="Guest",IF(INDEX('Guest Log'!$I:$I,Q295)="",1000,INDEX('Guest Log'!$I:$I,Q295)),IFERROR(LOOKUP(2,1/(($F$1:F294=G295)+($G$1:G294=G295)),IF($F$1:F294=G295,$N$1:N294,$O$1:O294)),1000))))</f>
        <v/>
      </c>
      <c r="J295" s="12" t="str">
        <f t="shared" si="21"/>
        <v/>
      </c>
      <c r="K295" s="12" t="str">
        <f>IF(C295="","",IF(C295="Match",IF(INDEX('Match Log'!$D:$D,D295)="Win",1,IF(INDEX('Match Log'!$D:$D,D295)="Draw",0.5,0)),IF(C295="Tournament",INDEX('Tournament Log'!$K:$K,E295),IF(INDEX('Guest Log'!$C:$C,Q295)="Win",1,IF(INDEX('Guest Log'!$C:$C,Q295)="Draw",0.5,0)))))</f>
        <v/>
      </c>
      <c r="L295" s="12" t="str">
        <f>IF(C295="","",IF(C295="Match",32,IF(C295="Tournament",MIN(32*INDEX('Tournament Log'!$D:$D,E295),96),32)))</f>
        <v/>
      </c>
      <c r="M295" s="12" t="str">
        <f t="shared" si="22"/>
        <v/>
      </c>
      <c r="N295" s="12" t="str">
        <f t="shared" si="23"/>
        <v/>
      </c>
      <c r="O295" s="12" t="str">
        <f t="shared" si="24"/>
        <v/>
      </c>
      <c r="P295" s="12" t="str">
        <f>IF(C295="Tournament",INDEX('Tournament Log'!$B:$B,E295),IF(C295="Guest","Guest: "&amp;INDEX('Guest Log'!$H:$H,Q295),""))</f>
        <v/>
      </c>
      <c r="Q295" t="str">
        <f>IFERROR(MATCH($A295,'Guest Log'!$L$4:$L$203,0)+3,"")</f>
        <v/>
      </c>
    </row>
    <row r="296" spans="1:17" ht="15" customHeight="1" x14ac:dyDescent="0.2">
      <c r="A296" s="12">
        <f>295</f>
        <v>295</v>
      </c>
      <c r="B296" s="12" t="str">
        <f>IF(C296="","",IF(C296="Match",INDEX('Match Log'!$A:$A,D296),IF(C296="Tournament",INDEX('Tournament Log'!$A:$A,E296),INDEX('Guest Log'!$A:$A,Q296))))</f>
        <v/>
      </c>
      <c r="C296" s="12" t="str">
        <f t="shared" si="20"/>
        <v/>
      </c>
      <c r="D296" s="31" t="str">
        <f>IFERROR(MATCH($A296,'Match Log'!$K$3:$K$501,0)+2,"")</f>
        <v/>
      </c>
      <c r="E296" s="31" t="str">
        <f>IFERROR(MATCH($A296,'Tournament Log'!$O$4:$O$203,0)+3,"")</f>
        <v/>
      </c>
      <c r="F296" s="12" t="str">
        <f>IF(C296="","",IF(C296="Match",INDEX('Match Log'!$B:$B,D296),IF(C296="Tournament",INDEX('Tournament Log'!$C:$C,E296),INDEX('Guest Log'!$B:$B,Q296))))</f>
        <v/>
      </c>
      <c r="G296" s="12" t="str">
        <f>IF(C296="","",IF(C296="Match",INDEX('Match Log'!$C:$C,D296),IF(C296="Tournament",INDEX('Tournament Log'!$B:$B,E296)&amp;" (Phantom)",INDEX('Guest Log'!$H:$H,Q296)&amp;" (Guest)")))</f>
        <v/>
      </c>
      <c r="H296" s="32" t="str">
        <f t="array" ref="H296">IF(C296="","",IFERROR(LOOKUP(2,1/(($F$1:F295=F296)+($G$1:G295=F296)),IF($F$1:F295=F296,$N$1:N295,$O$1:O295)),1000))</f>
        <v/>
      </c>
      <c r="I296" s="12" t="str">
        <f t="array" ref="I296">IF(C296="","",IF(C296="Tournament",INDEX('Tournament Log'!$J:$J,E296),IF(C296="Guest",IF(INDEX('Guest Log'!$I:$I,Q296)="",1000,INDEX('Guest Log'!$I:$I,Q296)),IFERROR(LOOKUP(2,1/(($F$1:F295=G296)+($G$1:G295=G296)),IF($F$1:F295=G296,$N$1:N295,$O$1:O295)),1000))))</f>
        <v/>
      </c>
      <c r="J296" s="12" t="str">
        <f t="shared" si="21"/>
        <v/>
      </c>
      <c r="K296" s="12" t="str">
        <f>IF(C296="","",IF(C296="Match",IF(INDEX('Match Log'!$D:$D,D296)="Win",1,IF(INDEX('Match Log'!$D:$D,D296)="Draw",0.5,0)),IF(C296="Tournament",INDEX('Tournament Log'!$K:$K,E296),IF(INDEX('Guest Log'!$C:$C,Q296)="Win",1,IF(INDEX('Guest Log'!$C:$C,Q296)="Draw",0.5,0)))))</f>
        <v/>
      </c>
      <c r="L296" s="12" t="str">
        <f>IF(C296="","",IF(C296="Match",32,IF(C296="Tournament",MIN(32*INDEX('Tournament Log'!$D:$D,E296),96),32)))</f>
        <v/>
      </c>
      <c r="M296" s="12" t="str">
        <f t="shared" si="22"/>
        <v/>
      </c>
      <c r="N296" s="12" t="str">
        <f t="shared" si="23"/>
        <v/>
      </c>
      <c r="O296" s="12" t="str">
        <f t="shared" si="24"/>
        <v/>
      </c>
      <c r="P296" s="12" t="str">
        <f>IF(C296="Tournament",INDEX('Tournament Log'!$B:$B,E296),IF(C296="Guest","Guest: "&amp;INDEX('Guest Log'!$H:$H,Q296),""))</f>
        <v/>
      </c>
      <c r="Q296" t="str">
        <f>IFERROR(MATCH($A296,'Guest Log'!$L$4:$L$203,0)+3,"")</f>
        <v/>
      </c>
    </row>
    <row r="297" spans="1:17" ht="15" customHeight="1" x14ac:dyDescent="0.2">
      <c r="A297" s="12">
        <f>296</f>
        <v>296</v>
      </c>
      <c r="B297" s="12" t="str">
        <f>IF(C297="","",IF(C297="Match",INDEX('Match Log'!$A:$A,D297),IF(C297="Tournament",INDEX('Tournament Log'!$A:$A,E297),INDEX('Guest Log'!$A:$A,Q297))))</f>
        <v/>
      </c>
      <c r="C297" s="12" t="str">
        <f t="shared" si="20"/>
        <v/>
      </c>
      <c r="D297" s="31" t="str">
        <f>IFERROR(MATCH($A297,'Match Log'!$K$3:$K$501,0)+2,"")</f>
        <v/>
      </c>
      <c r="E297" s="31" t="str">
        <f>IFERROR(MATCH($A297,'Tournament Log'!$O$4:$O$203,0)+3,"")</f>
        <v/>
      </c>
      <c r="F297" s="12" t="str">
        <f>IF(C297="","",IF(C297="Match",INDEX('Match Log'!$B:$B,D297),IF(C297="Tournament",INDEX('Tournament Log'!$C:$C,E297),INDEX('Guest Log'!$B:$B,Q297))))</f>
        <v/>
      </c>
      <c r="G297" s="12" t="str">
        <f>IF(C297="","",IF(C297="Match",INDEX('Match Log'!$C:$C,D297),IF(C297="Tournament",INDEX('Tournament Log'!$B:$B,E297)&amp;" (Phantom)",INDEX('Guest Log'!$H:$H,Q297)&amp;" (Guest)")))</f>
        <v/>
      </c>
      <c r="H297" s="32" t="str">
        <f t="array" ref="H297">IF(C297="","",IFERROR(LOOKUP(2,1/(($F$1:F296=F297)+($G$1:G296=F297)),IF($F$1:F296=F297,$N$1:N296,$O$1:O296)),1000))</f>
        <v/>
      </c>
      <c r="I297" s="12" t="str">
        <f t="array" ref="I297">IF(C297="","",IF(C297="Tournament",INDEX('Tournament Log'!$J:$J,E297),IF(C297="Guest",IF(INDEX('Guest Log'!$I:$I,Q297)="",1000,INDEX('Guest Log'!$I:$I,Q297)),IFERROR(LOOKUP(2,1/(($F$1:F296=G297)+($G$1:G296=G297)),IF($F$1:F296=G297,$N$1:N296,$O$1:O296)),1000))))</f>
        <v/>
      </c>
      <c r="J297" s="12" t="str">
        <f t="shared" si="21"/>
        <v/>
      </c>
      <c r="K297" s="12" t="str">
        <f>IF(C297="","",IF(C297="Match",IF(INDEX('Match Log'!$D:$D,D297)="Win",1,IF(INDEX('Match Log'!$D:$D,D297)="Draw",0.5,0)),IF(C297="Tournament",INDEX('Tournament Log'!$K:$K,E297),IF(INDEX('Guest Log'!$C:$C,Q297)="Win",1,IF(INDEX('Guest Log'!$C:$C,Q297)="Draw",0.5,0)))))</f>
        <v/>
      </c>
      <c r="L297" s="12" t="str">
        <f>IF(C297="","",IF(C297="Match",32,IF(C297="Tournament",MIN(32*INDEX('Tournament Log'!$D:$D,E297),96),32)))</f>
        <v/>
      </c>
      <c r="M297" s="12" t="str">
        <f t="shared" si="22"/>
        <v/>
      </c>
      <c r="N297" s="12" t="str">
        <f t="shared" si="23"/>
        <v/>
      </c>
      <c r="O297" s="12" t="str">
        <f t="shared" si="24"/>
        <v/>
      </c>
      <c r="P297" s="12" t="str">
        <f>IF(C297="Tournament",INDEX('Tournament Log'!$B:$B,E297),IF(C297="Guest","Guest: "&amp;INDEX('Guest Log'!$H:$H,Q297),""))</f>
        <v/>
      </c>
      <c r="Q297" t="str">
        <f>IFERROR(MATCH($A297,'Guest Log'!$L$4:$L$203,0)+3,"")</f>
        <v/>
      </c>
    </row>
    <row r="298" spans="1:17" ht="15" customHeight="1" x14ac:dyDescent="0.2">
      <c r="A298" s="12">
        <f>297</f>
        <v>297</v>
      </c>
      <c r="B298" s="12" t="str">
        <f>IF(C298="","",IF(C298="Match",INDEX('Match Log'!$A:$A,D298),IF(C298="Tournament",INDEX('Tournament Log'!$A:$A,E298),INDEX('Guest Log'!$A:$A,Q298))))</f>
        <v/>
      </c>
      <c r="C298" s="12" t="str">
        <f t="shared" si="20"/>
        <v/>
      </c>
      <c r="D298" s="31" t="str">
        <f>IFERROR(MATCH($A298,'Match Log'!$K$3:$K$501,0)+2,"")</f>
        <v/>
      </c>
      <c r="E298" s="31" t="str">
        <f>IFERROR(MATCH($A298,'Tournament Log'!$O$4:$O$203,0)+3,"")</f>
        <v/>
      </c>
      <c r="F298" s="12" t="str">
        <f>IF(C298="","",IF(C298="Match",INDEX('Match Log'!$B:$B,D298),IF(C298="Tournament",INDEX('Tournament Log'!$C:$C,E298),INDEX('Guest Log'!$B:$B,Q298))))</f>
        <v/>
      </c>
      <c r="G298" s="12" t="str">
        <f>IF(C298="","",IF(C298="Match",INDEX('Match Log'!$C:$C,D298),IF(C298="Tournament",INDEX('Tournament Log'!$B:$B,E298)&amp;" (Phantom)",INDEX('Guest Log'!$H:$H,Q298)&amp;" (Guest)")))</f>
        <v/>
      </c>
      <c r="H298" s="32" t="str">
        <f t="array" ref="H298">IF(C298="","",IFERROR(LOOKUP(2,1/(($F$1:F297=F298)+($G$1:G297=F298)),IF($F$1:F297=F298,$N$1:N297,$O$1:O297)),1000))</f>
        <v/>
      </c>
      <c r="I298" s="12" t="str">
        <f t="array" ref="I298">IF(C298="","",IF(C298="Tournament",INDEX('Tournament Log'!$J:$J,E298),IF(C298="Guest",IF(INDEX('Guest Log'!$I:$I,Q298)="",1000,INDEX('Guest Log'!$I:$I,Q298)),IFERROR(LOOKUP(2,1/(($F$1:F297=G298)+($G$1:G297=G298)),IF($F$1:F297=G298,$N$1:N297,$O$1:O297)),1000))))</f>
        <v/>
      </c>
      <c r="J298" s="12" t="str">
        <f t="shared" si="21"/>
        <v/>
      </c>
      <c r="K298" s="12" t="str">
        <f>IF(C298="","",IF(C298="Match",IF(INDEX('Match Log'!$D:$D,D298)="Win",1,IF(INDEX('Match Log'!$D:$D,D298)="Draw",0.5,0)),IF(C298="Tournament",INDEX('Tournament Log'!$K:$K,E298),IF(INDEX('Guest Log'!$C:$C,Q298)="Win",1,IF(INDEX('Guest Log'!$C:$C,Q298)="Draw",0.5,0)))))</f>
        <v/>
      </c>
      <c r="L298" s="12" t="str">
        <f>IF(C298="","",IF(C298="Match",32,IF(C298="Tournament",MIN(32*INDEX('Tournament Log'!$D:$D,E298),96),32)))</f>
        <v/>
      </c>
      <c r="M298" s="12" t="str">
        <f t="shared" si="22"/>
        <v/>
      </c>
      <c r="N298" s="12" t="str">
        <f t="shared" si="23"/>
        <v/>
      </c>
      <c r="O298" s="12" t="str">
        <f t="shared" si="24"/>
        <v/>
      </c>
      <c r="P298" s="12" t="str">
        <f>IF(C298="Tournament",INDEX('Tournament Log'!$B:$B,E298),IF(C298="Guest","Guest: "&amp;INDEX('Guest Log'!$H:$H,Q298),""))</f>
        <v/>
      </c>
      <c r="Q298" t="str">
        <f>IFERROR(MATCH($A298,'Guest Log'!$L$4:$L$203,0)+3,"")</f>
        <v/>
      </c>
    </row>
    <row r="299" spans="1:17" ht="15" customHeight="1" x14ac:dyDescent="0.2">
      <c r="A299" s="12">
        <f>298</f>
        <v>298</v>
      </c>
      <c r="B299" s="12" t="str">
        <f>IF(C299="","",IF(C299="Match",INDEX('Match Log'!$A:$A,D299),IF(C299="Tournament",INDEX('Tournament Log'!$A:$A,E299),INDEX('Guest Log'!$A:$A,Q299))))</f>
        <v/>
      </c>
      <c r="C299" s="12" t="str">
        <f t="shared" si="20"/>
        <v/>
      </c>
      <c r="D299" s="31" t="str">
        <f>IFERROR(MATCH($A299,'Match Log'!$K$3:$K$501,0)+2,"")</f>
        <v/>
      </c>
      <c r="E299" s="31" t="str">
        <f>IFERROR(MATCH($A299,'Tournament Log'!$O$4:$O$203,0)+3,"")</f>
        <v/>
      </c>
      <c r="F299" s="12" t="str">
        <f>IF(C299="","",IF(C299="Match",INDEX('Match Log'!$B:$B,D299),IF(C299="Tournament",INDEX('Tournament Log'!$C:$C,E299),INDEX('Guest Log'!$B:$B,Q299))))</f>
        <v/>
      </c>
      <c r="G299" s="12" t="str">
        <f>IF(C299="","",IF(C299="Match",INDEX('Match Log'!$C:$C,D299),IF(C299="Tournament",INDEX('Tournament Log'!$B:$B,E299)&amp;" (Phantom)",INDEX('Guest Log'!$H:$H,Q299)&amp;" (Guest)")))</f>
        <v/>
      </c>
      <c r="H299" s="32" t="str">
        <f t="array" ref="H299">IF(C299="","",IFERROR(LOOKUP(2,1/(($F$1:F298=F299)+($G$1:G298=F299)),IF($F$1:F298=F299,$N$1:N298,$O$1:O298)),1000))</f>
        <v/>
      </c>
      <c r="I299" s="12" t="str">
        <f t="array" ref="I299">IF(C299="","",IF(C299="Tournament",INDEX('Tournament Log'!$J:$J,E299),IF(C299="Guest",IF(INDEX('Guest Log'!$I:$I,Q299)="",1000,INDEX('Guest Log'!$I:$I,Q299)),IFERROR(LOOKUP(2,1/(($F$1:F298=G299)+($G$1:G298=G299)),IF($F$1:F298=G299,$N$1:N298,$O$1:O298)),1000))))</f>
        <v/>
      </c>
      <c r="J299" s="12" t="str">
        <f t="shared" si="21"/>
        <v/>
      </c>
      <c r="K299" s="12" t="str">
        <f>IF(C299="","",IF(C299="Match",IF(INDEX('Match Log'!$D:$D,D299)="Win",1,IF(INDEX('Match Log'!$D:$D,D299)="Draw",0.5,0)),IF(C299="Tournament",INDEX('Tournament Log'!$K:$K,E299),IF(INDEX('Guest Log'!$C:$C,Q299)="Win",1,IF(INDEX('Guest Log'!$C:$C,Q299)="Draw",0.5,0)))))</f>
        <v/>
      </c>
      <c r="L299" s="12" t="str">
        <f>IF(C299="","",IF(C299="Match",32,IF(C299="Tournament",MIN(32*INDEX('Tournament Log'!$D:$D,E299),96),32)))</f>
        <v/>
      </c>
      <c r="M299" s="12" t="str">
        <f t="shared" si="22"/>
        <v/>
      </c>
      <c r="N299" s="12" t="str">
        <f t="shared" si="23"/>
        <v/>
      </c>
      <c r="O299" s="12" t="str">
        <f t="shared" si="24"/>
        <v/>
      </c>
      <c r="P299" s="12" t="str">
        <f>IF(C299="Tournament",INDEX('Tournament Log'!$B:$B,E299),IF(C299="Guest","Guest: "&amp;INDEX('Guest Log'!$H:$H,Q299),""))</f>
        <v/>
      </c>
      <c r="Q299" t="str">
        <f>IFERROR(MATCH($A299,'Guest Log'!$L$4:$L$203,0)+3,"")</f>
        <v/>
      </c>
    </row>
    <row r="300" spans="1:17" ht="15" customHeight="1" x14ac:dyDescent="0.2">
      <c r="A300" s="12">
        <f>299</f>
        <v>299</v>
      </c>
      <c r="B300" s="12" t="str">
        <f>IF(C300="","",IF(C300="Match",INDEX('Match Log'!$A:$A,D300),IF(C300="Tournament",INDEX('Tournament Log'!$A:$A,E300),INDEX('Guest Log'!$A:$A,Q300))))</f>
        <v/>
      </c>
      <c r="C300" s="12" t="str">
        <f t="shared" si="20"/>
        <v/>
      </c>
      <c r="D300" s="31" t="str">
        <f>IFERROR(MATCH($A300,'Match Log'!$K$3:$K$501,0)+2,"")</f>
        <v/>
      </c>
      <c r="E300" s="31" t="str">
        <f>IFERROR(MATCH($A300,'Tournament Log'!$O$4:$O$203,0)+3,"")</f>
        <v/>
      </c>
      <c r="F300" s="12" t="str">
        <f>IF(C300="","",IF(C300="Match",INDEX('Match Log'!$B:$B,D300),IF(C300="Tournament",INDEX('Tournament Log'!$C:$C,E300),INDEX('Guest Log'!$B:$B,Q300))))</f>
        <v/>
      </c>
      <c r="G300" s="12" t="str">
        <f>IF(C300="","",IF(C300="Match",INDEX('Match Log'!$C:$C,D300),IF(C300="Tournament",INDEX('Tournament Log'!$B:$B,E300)&amp;" (Phantom)",INDEX('Guest Log'!$H:$H,Q300)&amp;" (Guest)")))</f>
        <v/>
      </c>
      <c r="H300" s="32" t="str">
        <f t="array" ref="H300">IF(C300="","",IFERROR(LOOKUP(2,1/(($F$1:F299=F300)+($G$1:G299=F300)),IF($F$1:F299=F300,$N$1:N299,$O$1:O299)),1000))</f>
        <v/>
      </c>
      <c r="I300" s="12" t="str">
        <f t="array" ref="I300">IF(C300="","",IF(C300="Tournament",INDEX('Tournament Log'!$J:$J,E300),IF(C300="Guest",IF(INDEX('Guest Log'!$I:$I,Q300)="",1000,INDEX('Guest Log'!$I:$I,Q300)),IFERROR(LOOKUP(2,1/(($F$1:F299=G300)+($G$1:G299=G300)),IF($F$1:F299=G300,$N$1:N299,$O$1:O299)),1000))))</f>
        <v/>
      </c>
      <c r="J300" s="12" t="str">
        <f t="shared" si="21"/>
        <v/>
      </c>
      <c r="K300" s="12" t="str">
        <f>IF(C300="","",IF(C300="Match",IF(INDEX('Match Log'!$D:$D,D300)="Win",1,IF(INDEX('Match Log'!$D:$D,D300)="Draw",0.5,0)),IF(C300="Tournament",INDEX('Tournament Log'!$K:$K,E300),IF(INDEX('Guest Log'!$C:$C,Q300)="Win",1,IF(INDEX('Guest Log'!$C:$C,Q300)="Draw",0.5,0)))))</f>
        <v/>
      </c>
      <c r="L300" s="12" t="str">
        <f>IF(C300="","",IF(C300="Match",32,IF(C300="Tournament",MIN(32*INDEX('Tournament Log'!$D:$D,E300),96),32)))</f>
        <v/>
      </c>
      <c r="M300" s="12" t="str">
        <f t="shared" si="22"/>
        <v/>
      </c>
      <c r="N300" s="12" t="str">
        <f t="shared" si="23"/>
        <v/>
      </c>
      <c r="O300" s="12" t="str">
        <f t="shared" si="24"/>
        <v/>
      </c>
      <c r="P300" s="12" t="str">
        <f>IF(C300="Tournament",INDEX('Tournament Log'!$B:$B,E300),IF(C300="Guest","Guest: "&amp;INDEX('Guest Log'!$H:$H,Q300),""))</f>
        <v/>
      </c>
      <c r="Q300" t="str">
        <f>IFERROR(MATCH($A300,'Guest Log'!$L$4:$L$203,0)+3,"")</f>
        <v/>
      </c>
    </row>
    <row r="301" spans="1:17" ht="15" customHeight="1" x14ac:dyDescent="0.2">
      <c r="A301" s="12">
        <f>300</f>
        <v>300</v>
      </c>
      <c r="B301" s="12" t="str">
        <f>IF(C301="","",IF(C301="Match",INDEX('Match Log'!$A:$A,D301),IF(C301="Tournament",INDEX('Tournament Log'!$A:$A,E301),INDEX('Guest Log'!$A:$A,Q301))))</f>
        <v/>
      </c>
      <c r="C301" s="12" t="str">
        <f t="shared" si="20"/>
        <v/>
      </c>
      <c r="D301" s="31" t="str">
        <f>IFERROR(MATCH($A301,'Match Log'!$K$3:$K$501,0)+2,"")</f>
        <v/>
      </c>
      <c r="E301" s="31" t="str">
        <f>IFERROR(MATCH($A301,'Tournament Log'!$O$4:$O$203,0)+3,"")</f>
        <v/>
      </c>
      <c r="F301" s="12" t="str">
        <f>IF(C301="","",IF(C301="Match",INDEX('Match Log'!$B:$B,D301),IF(C301="Tournament",INDEX('Tournament Log'!$C:$C,E301),INDEX('Guest Log'!$B:$B,Q301))))</f>
        <v/>
      </c>
      <c r="G301" s="12" t="str">
        <f>IF(C301="","",IF(C301="Match",INDEX('Match Log'!$C:$C,D301),IF(C301="Tournament",INDEX('Tournament Log'!$B:$B,E301)&amp;" (Phantom)",INDEX('Guest Log'!$H:$H,Q301)&amp;" (Guest)")))</f>
        <v/>
      </c>
      <c r="H301" s="32" t="str">
        <f t="array" ref="H301">IF(C301="","",IFERROR(LOOKUP(2,1/(($F$1:F300=F301)+($G$1:G300=F301)),IF($F$1:F300=F301,$N$1:N300,$O$1:O300)),1000))</f>
        <v/>
      </c>
      <c r="I301" s="12" t="str">
        <f t="array" ref="I301">IF(C301="","",IF(C301="Tournament",INDEX('Tournament Log'!$J:$J,E301),IF(C301="Guest",IF(INDEX('Guest Log'!$I:$I,Q301)="",1000,INDEX('Guest Log'!$I:$I,Q301)),IFERROR(LOOKUP(2,1/(($F$1:F300=G301)+($G$1:G300=G301)),IF($F$1:F300=G301,$N$1:N300,$O$1:O300)),1000))))</f>
        <v/>
      </c>
      <c r="J301" s="12" t="str">
        <f t="shared" si="21"/>
        <v/>
      </c>
      <c r="K301" s="12" t="str">
        <f>IF(C301="","",IF(C301="Match",IF(INDEX('Match Log'!$D:$D,D301)="Win",1,IF(INDEX('Match Log'!$D:$D,D301)="Draw",0.5,0)),IF(C301="Tournament",INDEX('Tournament Log'!$K:$K,E301),IF(INDEX('Guest Log'!$C:$C,Q301)="Win",1,IF(INDEX('Guest Log'!$C:$C,Q301)="Draw",0.5,0)))))</f>
        <v/>
      </c>
      <c r="L301" s="12" t="str">
        <f>IF(C301="","",IF(C301="Match",32,IF(C301="Tournament",MIN(32*INDEX('Tournament Log'!$D:$D,E301),96),32)))</f>
        <v/>
      </c>
      <c r="M301" s="12" t="str">
        <f t="shared" si="22"/>
        <v/>
      </c>
      <c r="N301" s="12" t="str">
        <f t="shared" si="23"/>
        <v/>
      </c>
      <c r="O301" s="12" t="str">
        <f t="shared" si="24"/>
        <v/>
      </c>
      <c r="P301" s="12" t="str">
        <f>IF(C301="Tournament",INDEX('Tournament Log'!$B:$B,E301),IF(C301="Guest","Guest: "&amp;INDEX('Guest Log'!$H:$H,Q301),""))</f>
        <v/>
      </c>
      <c r="Q301" t="str">
        <f>IFERROR(MATCH($A301,'Guest Log'!$L$4:$L$203,0)+3,"")</f>
        <v/>
      </c>
    </row>
    <row r="302" spans="1:17" ht="15" customHeight="1" x14ac:dyDescent="0.2">
      <c r="A302" s="12">
        <f>301</f>
        <v>301</v>
      </c>
      <c r="B302" s="12" t="str">
        <f>IF(C302="","",IF(C302="Match",INDEX('Match Log'!$A:$A,D302),IF(C302="Tournament",INDEX('Tournament Log'!$A:$A,E302),INDEX('Guest Log'!$A:$A,Q302))))</f>
        <v/>
      </c>
      <c r="C302" s="12" t="str">
        <f t="shared" si="20"/>
        <v/>
      </c>
      <c r="D302" s="31" t="str">
        <f>IFERROR(MATCH($A302,'Match Log'!$K$3:$K$501,0)+2,"")</f>
        <v/>
      </c>
      <c r="E302" s="31" t="str">
        <f>IFERROR(MATCH($A302,'Tournament Log'!$O$4:$O$203,0)+3,"")</f>
        <v/>
      </c>
      <c r="F302" s="12" t="str">
        <f>IF(C302="","",IF(C302="Match",INDEX('Match Log'!$B:$B,D302),IF(C302="Tournament",INDEX('Tournament Log'!$C:$C,E302),INDEX('Guest Log'!$B:$B,Q302))))</f>
        <v/>
      </c>
      <c r="G302" s="12" t="str">
        <f>IF(C302="","",IF(C302="Match",INDEX('Match Log'!$C:$C,D302),IF(C302="Tournament",INDEX('Tournament Log'!$B:$B,E302)&amp;" (Phantom)",INDEX('Guest Log'!$H:$H,Q302)&amp;" (Guest)")))</f>
        <v/>
      </c>
      <c r="H302" s="32" t="str">
        <f t="array" ref="H302">IF(C302="","",IFERROR(LOOKUP(2,1/(($F$1:F301=F302)+($G$1:G301=F302)),IF($F$1:F301=F302,$N$1:N301,$O$1:O301)),1000))</f>
        <v/>
      </c>
      <c r="I302" s="12" t="str">
        <f t="array" ref="I302">IF(C302="","",IF(C302="Tournament",INDEX('Tournament Log'!$J:$J,E302),IF(C302="Guest",IF(INDEX('Guest Log'!$I:$I,Q302)="",1000,INDEX('Guest Log'!$I:$I,Q302)),IFERROR(LOOKUP(2,1/(($F$1:F301=G302)+($G$1:G301=G302)),IF($F$1:F301=G302,$N$1:N301,$O$1:O301)),1000))))</f>
        <v/>
      </c>
      <c r="J302" s="12" t="str">
        <f t="shared" si="21"/>
        <v/>
      </c>
      <c r="K302" s="12" t="str">
        <f>IF(C302="","",IF(C302="Match",IF(INDEX('Match Log'!$D:$D,D302)="Win",1,IF(INDEX('Match Log'!$D:$D,D302)="Draw",0.5,0)),IF(C302="Tournament",INDEX('Tournament Log'!$K:$K,E302),IF(INDEX('Guest Log'!$C:$C,Q302)="Win",1,IF(INDEX('Guest Log'!$C:$C,Q302)="Draw",0.5,0)))))</f>
        <v/>
      </c>
      <c r="L302" s="12" t="str">
        <f>IF(C302="","",IF(C302="Match",32,IF(C302="Tournament",MIN(32*INDEX('Tournament Log'!$D:$D,E302),96),32)))</f>
        <v/>
      </c>
      <c r="M302" s="12" t="str">
        <f t="shared" si="22"/>
        <v/>
      </c>
      <c r="N302" s="12" t="str">
        <f t="shared" si="23"/>
        <v/>
      </c>
      <c r="O302" s="12" t="str">
        <f t="shared" si="24"/>
        <v/>
      </c>
      <c r="P302" s="12" t="str">
        <f>IF(C302="Tournament",INDEX('Tournament Log'!$B:$B,E302),IF(C302="Guest","Guest: "&amp;INDEX('Guest Log'!$H:$H,Q302),""))</f>
        <v/>
      </c>
      <c r="Q302" t="str">
        <f>IFERROR(MATCH($A302,'Guest Log'!$L$4:$L$203,0)+3,"")</f>
        <v/>
      </c>
    </row>
    <row r="303" spans="1:17" ht="15" customHeight="1" x14ac:dyDescent="0.2">
      <c r="A303" s="12">
        <f>302</f>
        <v>302</v>
      </c>
      <c r="B303" s="12" t="str">
        <f>IF(C303="","",IF(C303="Match",INDEX('Match Log'!$A:$A,D303),IF(C303="Tournament",INDEX('Tournament Log'!$A:$A,E303),INDEX('Guest Log'!$A:$A,Q303))))</f>
        <v/>
      </c>
      <c r="C303" s="12" t="str">
        <f t="shared" si="20"/>
        <v/>
      </c>
      <c r="D303" s="31" t="str">
        <f>IFERROR(MATCH($A303,'Match Log'!$K$3:$K$501,0)+2,"")</f>
        <v/>
      </c>
      <c r="E303" s="31" t="str">
        <f>IFERROR(MATCH($A303,'Tournament Log'!$O$4:$O$203,0)+3,"")</f>
        <v/>
      </c>
      <c r="F303" s="12" t="str">
        <f>IF(C303="","",IF(C303="Match",INDEX('Match Log'!$B:$B,D303),IF(C303="Tournament",INDEX('Tournament Log'!$C:$C,E303),INDEX('Guest Log'!$B:$B,Q303))))</f>
        <v/>
      </c>
      <c r="G303" s="12" t="str">
        <f>IF(C303="","",IF(C303="Match",INDEX('Match Log'!$C:$C,D303),IF(C303="Tournament",INDEX('Tournament Log'!$B:$B,E303)&amp;" (Phantom)",INDEX('Guest Log'!$H:$H,Q303)&amp;" (Guest)")))</f>
        <v/>
      </c>
      <c r="H303" s="32" t="str">
        <f t="array" ref="H303">IF(C303="","",IFERROR(LOOKUP(2,1/(($F$1:F302=F303)+($G$1:G302=F303)),IF($F$1:F302=F303,$N$1:N302,$O$1:O302)),1000))</f>
        <v/>
      </c>
      <c r="I303" s="12" t="str">
        <f t="array" ref="I303">IF(C303="","",IF(C303="Tournament",INDEX('Tournament Log'!$J:$J,E303),IF(C303="Guest",IF(INDEX('Guest Log'!$I:$I,Q303)="",1000,INDEX('Guest Log'!$I:$I,Q303)),IFERROR(LOOKUP(2,1/(($F$1:F302=G303)+($G$1:G302=G303)),IF($F$1:F302=G303,$N$1:N302,$O$1:O302)),1000))))</f>
        <v/>
      </c>
      <c r="J303" s="12" t="str">
        <f t="shared" si="21"/>
        <v/>
      </c>
      <c r="K303" s="12" t="str">
        <f>IF(C303="","",IF(C303="Match",IF(INDEX('Match Log'!$D:$D,D303)="Win",1,IF(INDEX('Match Log'!$D:$D,D303)="Draw",0.5,0)),IF(C303="Tournament",INDEX('Tournament Log'!$K:$K,E303),IF(INDEX('Guest Log'!$C:$C,Q303)="Win",1,IF(INDEX('Guest Log'!$C:$C,Q303)="Draw",0.5,0)))))</f>
        <v/>
      </c>
      <c r="L303" s="12" t="str">
        <f>IF(C303="","",IF(C303="Match",32,IF(C303="Tournament",MIN(32*INDEX('Tournament Log'!$D:$D,E303),96),32)))</f>
        <v/>
      </c>
      <c r="M303" s="12" t="str">
        <f t="shared" si="22"/>
        <v/>
      </c>
      <c r="N303" s="12" t="str">
        <f t="shared" si="23"/>
        <v/>
      </c>
      <c r="O303" s="12" t="str">
        <f t="shared" si="24"/>
        <v/>
      </c>
      <c r="P303" s="12" t="str">
        <f>IF(C303="Tournament",INDEX('Tournament Log'!$B:$B,E303),IF(C303="Guest","Guest: "&amp;INDEX('Guest Log'!$H:$H,Q303),""))</f>
        <v/>
      </c>
      <c r="Q303" t="str">
        <f>IFERROR(MATCH($A303,'Guest Log'!$L$4:$L$203,0)+3,"")</f>
        <v/>
      </c>
    </row>
    <row r="304" spans="1:17" ht="15" customHeight="1" x14ac:dyDescent="0.2">
      <c r="A304" s="12">
        <f>303</f>
        <v>303</v>
      </c>
      <c r="B304" s="12" t="str">
        <f>IF(C304="","",IF(C304="Match",INDEX('Match Log'!$A:$A,D304),IF(C304="Tournament",INDEX('Tournament Log'!$A:$A,E304),INDEX('Guest Log'!$A:$A,Q304))))</f>
        <v/>
      </c>
      <c r="C304" s="12" t="str">
        <f t="shared" si="20"/>
        <v/>
      </c>
      <c r="D304" s="31" t="str">
        <f>IFERROR(MATCH($A304,'Match Log'!$K$3:$K$501,0)+2,"")</f>
        <v/>
      </c>
      <c r="E304" s="31" t="str">
        <f>IFERROR(MATCH($A304,'Tournament Log'!$O$4:$O$203,0)+3,"")</f>
        <v/>
      </c>
      <c r="F304" s="12" t="str">
        <f>IF(C304="","",IF(C304="Match",INDEX('Match Log'!$B:$B,D304),IF(C304="Tournament",INDEX('Tournament Log'!$C:$C,E304),INDEX('Guest Log'!$B:$B,Q304))))</f>
        <v/>
      </c>
      <c r="G304" s="12" t="str">
        <f>IF(C304="","",IF(C304="Match",INDEX('Match Log'!$C:$C,D304),IF(C304="Tournament",INDEX('Tournament Log'!$B:$B,E304)&amp;" (Phantom)",INDEX('Guest Log'!$H:$H,Q304)&amp;" (Guest)")))</f>
        <v/>
      </c>
      <c r="H304" s="32" t="str">
        <f t="array" ref="H304">IF(C304="","",IFERROR(LOOKUP(2,1/(($F$1:F303=F304)+($G$1:G303=F304)),IF($F$1:F303=F304,$N$1:N303,$O$1:O303)),1000))</f>
        <v/>
      </c>
      <c r="I304" s="12" t="str">
        <f t="array" ref="I304">IF(C304="","",IF(C304="Tournament",INDEX('Tournament Log'!$J:$J,E304),IF(C304="Guest",IF(INDEX('Guest Log'!$I:$I,Q304)="",1000,INDEX('Guest Log'!$I:$I,Q304)),IFERROR(LOOKUP(2,1/(($F$1:F303=G304)+($G$1:G303=G304)),IF($F$1:F303=G304,$N$1:N303,$O$1:O303)),1000))))</f>
        <v/>
      </c>
      <c r="J304" s="12" t="str">
        <f t="shared" si="21"/>
        <v/>
      </c>
      <c r="K304" s="12" t="str">
        <f>IF(C304="","",IF(C304="Match",IF(INDEX('Match Log'!$D:$D,D304)="Win",1,IF(INDEX('Match Log'!$D:$D,D304)="Draw",0.5,0)),IF(C304="Tournament",INDEX('Tournament Log'!$K:$K,E304),IF(INDEX('Guest Log'!$C:$C,Q304)="Win",1,IF(INDEX('Guest Log'!$C:$C,Q304)="Draw",0.5,0)))))</f>
        <v/>
      </c>
      <c r="L304" s="12" t="str">
        <f>IF(C304="","",IF(C304="Match",32,IF(C304="Tournament",MIN(32*INDEX('Tournament Log'!$D:$D,E304),96),32)))</f>
        <v/>
      </c>
      <c r="M304" s="12" t="str">
        <f t="shared" si="22"/>
        <v/>
      </c>
      <c r="N304" s="12" t="str">
        <f t="shared" si="23"/>
        <v/>
      </c>
      <c r="O304" s="12" t="str">
        <f t="shared" si="24"/>
        <v/>
      </c>
      <c r="P304" s="12" t="str">
        <f>IF(C304="Tournament",INDEX('Tournament Log'!$B:$B,E304),IF(C304="Guest","Guest: "&amp;INDEX('Guest Log'!$H:$H,Q304),""))</f>
        <v/>
      </c>
      <c r="Q304" t="str">
        <f>IFERROR(MATCH($A304,'Guest Log'!$L$4:$L$203,0)+3,"")</f>
        <v/>
      </c>
    </row>
    <row r="305" spans="1:17" ht="15" customHeight="1" x14ac:dyDescent="0.2">
      <c r="A305" s="12">
        <f>304</f>
        <v>304</v>
      </c>
      <c r="B305" s="12" t="str">
        <f>IF(C305="","",IF(C305="Match",INDEX('Match Log'!$A:$A,D305),IF(C305="Tournament",INDEX('Tournament Log'!$A:$A,E305),INDEX('Guest Log'!$A:$A,Q305))))</f>
        <v/>
      </c>
      <c r="C305" s="12" t="str">
        <f t="shared" si="20"/>
        <v/>
      </c>
      <c r="D305" s="31" t="str">
        <f>IFERROR(MATCH($A305,'Match Log'!$K$3:$K$501,0)+2,"")</f>
        <v/>
      </c>
      <c r="E305" s="31" t="str">
        <f>IFERROR(MATCH($A305,'Tournament Log'!$O$4:$O$203,0)+3,"")</f>
        <v/>
      </c>
      <c r="F305" s="12" t="str">
        <f>IF(C305="","",IF(C305="Match",INDEX('Match Log'!$B:$B,D305),IF(C305="Tournament",INDEX('Tournament Log'!$C:$C,E305),INDEX('Guest Log'!$B:$B,Q305))))</f>
        <v/>
      </c>
      <c r="G305" s="12" t="str">
        <f>IF(C305="","",IF(C305="Match",INDEX('Match Log'!$C:$C,D305),IF(C305="Tournament",INDEX('Tournament Log'!$B:$B,E305)&amp;" (Phantom)",INDEX('Guest Log'!$H:$H,Q305)&amp;" (Guest)")))</f>
        <v/>
      </c>
      <c r="H305" s="32" t="str">
        <f t="array" ref="H305">IF(C305="","",IFERROR(LOOKUP(2,1/(($F$1:F304=F305)+($G$1:G304=F305)),IF($F$1:F304=F305,$N$1:N304,$O$1:O304)),1000))</f>
        <v/>
      </c>
      <c r="I305" s="12" t="str">
        <f t="array" ref="I305">IF(C305="","",IF(C305="Tournament",INDEX('Tournament Log'!$J:$J,E305),IF(C305="Guest",IF(INDEX('Guest Log'!$I:$I,Q305)="",1000,INDEX('Guest Log'!$I:$I,Q305)),IFERROR(LOOKUP(2,1/(($F$1:F304=G305)+($G$1:G304=G305)),IF($F$1:F304=G305,$N$1:N304,$O$1:O304)),1000))))</f>
        <v/>
      </c>
      <c r="J305" s="12" t="str">
        <f t="shared" si="21"/>
        <v/>
      </c>
      <c r="K305" s="12" t="str">
        <f>IF(C305="","",IF(C305="Match",IF(INDEX('Match Log'!$D:$D,D305)="Win",1,IF(INDEX('Match Log'!$D:$D,D305)="Draw",0.5,0)),IF(C305="Tournament",INDEX('Tournament Log'!$K:$K,E305),IF(INDEX('Guest Log'!$C:$C,Q305)="Win",1,IF(INDEX('Guest Log'!$C:$C,Q305)="Draw",0.5,0)))))</f>
        <v/>
      </c>
      <c r="L305" s="12" t="str">
        <f>IF(C305="","",IF(C305="Match",32,IF(C305="Tournament",MIN(32*INDEX('Tournament Log'!$D:$D,E305),96),32)))</f>
        <v/>
      </c>
      <c r="M305" s="12" t="str">
        <f t="shared" si="22"/>
        <v/>
      </c>
      <c r="N305" s="12" t="str">
        <f t="shared" si="23"/>
        <v/>
      </c>
      <c r="O305" s="12" t="str">
        <f t="shared" si="24"/>
        <v/>
      </c>
      <c r="P305" s="12" t="str">
        <f>IF(C305="Tournament",INDEX('Tournament Log'!$B:$B,E305),IF(C305="Guest","Guest: "&amp;INDEX('Guest Log'!$H:$H,Q305),""))</f>
        <v/>
      </c>
      <c r="Q305" t="str">
        <f>IFERROR(MATCH($A305,'Guest Log'!$L$4:$L$203,0)+3,"")</f>
        <v/>
      </c>
    </row>
    <row r="306" spans="1:17" ht="15" customHeight="1" x14ac:dyDescent="0.2">
      <c r="A306" s="12">
        <f>305</f>
        <v>305</v>
      </c>
      <c r="B306" s="12" t="str">
        <f>IF(C306="","",IF(C306="Match",INDEX('Match Log'!$A:$A,D306),IF(C306="Tournament",INDEX('Tournament Log'!$A:$A,E306),INDEX('Guest Log'!$A:$A,Q306))))</f>
        <v/>
      </c>
      <c r="C306" s="12" t="str">
        <f t="shared" si="20"/>
        <v/>
      </c>
      <c r="D306" s="31" t="str">
        <f>IFERROR(MATCH($A306,'Match Log'!$K$3:$K$501,0)+2,"")</f>
        <v/>
      </c>
      <c r="E306" s="31" t="str">
        <f>IFERROR(MATCH($A306,'Tournament Log'!$O$4:$O$203,0)+3,"")</f>
        <v/>
      </c>
      <c r="F306" s="12" t="str">
        <f>IF(C306="","",IF(C306="Match",INDEX('Match Log'!$B:$B,D306),IF(C306="Tournament",INDEX('Tournament Log'!$C:$C,E306),INDEX('Guest Log'!$B:$B,Q306))))</f>
        <v/>
      </c>
      <c r="G306" s="12" t="str">
        <f>IF(C306="","",IF(C306="Match",INDEX('Match Log'!$C:$C,D306),IF(C306="Tournament",INDEX('Tournament Log'!$B:$B,E306)&amp;" (Phantom)",INDEX('Guest Log'!$H:$H,Q306)&amp;" (Guest)")))</f>
        <v/>
      </c>
      <c r="H306" s="32" t="str">
        <f t="array" ref="H306">IF(C306="","",IFERROR(LOOKUP(2,1/(($F$1:F305=F306)+($G$1:G305=F306)),IF($F$1:F305=F306,$N$1:N305,$O$1:O305)),1000))</f>
        <v/>
      </c>
      <c r="I306" s="12" t="str">
        <f t="array" ref="I306">IF(C306="","",IF(C306="Tournament",INDEX('Tournament Log'!$J:$J,E306),IF(C306="Guest",IF(INDEX('Guest Log'!$I:$I,Q306)="",1000,INDEX('Guest Log'!$I:$I,Q306)),IFERROR(LOOKUP(2,1/(($F$1:F305=G306)+($G$1:G305=G306)),IF($F$1:F305=G306,$N$1:N305,$O$1:O305)),1000))))</f>
        <v/>
      </c>
      <c r="J306" s="12" t="str">
        <f t="shared" si="21"/>
        <v/>
      </c>
      <c r="K306" s="12" t="str">
        <f>IF(C306="","",IF(C306="Match",IF(INDEX('Match Log'!$D:$D,D306)="Win",1,IF(INDEX('Match Log'!$D:$D,D306)="Draw",0.5,0)),IF(C306="Tournament",INDEX('Tournament Log'!$K:$K,E306),IF(INDEX('Guest Log'!$C:$C,Q306)="Win",1,IF(INDEX('Guest Log'!$C:$C,Q306)="Draw",0.5,0)))))</f>
        <v/>
      </c>
      <c r="L306" s="12" t="str">
        <f>IF(C306="","",IF(C306="Match",32,IF(C306="Tournament",MIN(32*INDEX('Tournament Log'!$D:$D,E306),96),32)))</f>
        <v/>
      </c>
      <c r="M306" s="12" t="str">
        <f t="shared" si="22"/>
        <v/>
      </c>
      <c r="N306" s="12" t="str">
        <f t="shared" si="23"/>
        <v/>
      </c>
      <c r="O306" s="12" t="str">
        <f t="shared" si="24"/>
        <v/>
      </c>
      <c r="P306" s="12" t="str">
        <f>IF(C306="Tournament",INDEX('Tournament Log'!$B:$B,E306),IF(C306="Guest","Guest: "&amp;INDEX('Guest Log'!$H:$H,Q306),""))</f>
        <v/>
      </c>
      <c r="Q306" t="str">
        <f>IFERROR(MATCH($A306,'Guest Log'!$L$4:$L$203,0)+3,"")</f>
        <v/>
      </c>
    </row>
    <row r="307" spans="1:17" ht="15" customHeight="1" x14ac:dyDescent="0.2">
      <c r="A307" s="12">
        <f>306</f>
        <v>306</v>
      </c>
      <c r="B307" s="12" t="str">
        <f>IF(C307="","",IF(C307="Match",INDEX('Match Log'!$A:$A,D307),IF(C307="Tournament",INDEX('Tournament Log'!$A:$A,E307),INDEX('Guest Log'!$A:$A,Q307))))</f>
        <v/>
      </c>
      <c r="C307" s="12" t="str">
        <f t="shared" si="20"/>
        <v/>
      </c>
      <c r="D307" s="31" t="str">
        <f>IFERROR(MATCH($A307,'Match Log'!$K$3:$K$501,0)+2,"")</f>
        <v/>
      </c>
      <c r="E307" s="31" t="str">
        <f>IFERROR(MATCH($A307,'Tournament Log'!$O$4:$O$203,0)+3,"")</f>
        <v/>
      </c>
      <c r="F307" s="12" t="str">
        <f>IF(C307="","",IF(C307="Match",INDEX('Match Log'!$B:$B,D307),IF(C307="Tournament",INDEX('Tournament Log'!$C:$C,E307),INDEX('Guest Log'!$B:$B,Q307))))</f>
        <v/>
      </c>
      <c r="G307" s="12" t="str">
        <f>IF(C307="","",IF(C307="Match",INDEX('Match Log'!$C:$C,D307),IF(C307="Tournament",INDEX('Tournament Log'!$B:$B,E307)&amp;" (Phantom)",INDEX('Guest Log'!$H:$H,Q307)&amp;" (Guest)")))</f>
        <v/>
      </c>
      <c r="H307" s="32" t="str">
        <f t="array" ref="H307">IF(C307="","",IFERROR(LOOKUP(2,1/(($F$1:F306=F307)+($G$1:G306=F307)),IF($F$1:F306=F307,$N$1:N306,$O$1:O306)),1000))</f>
        <v/>
      </c>
      <c r="I307" s="12" t="str">
        <f t="array" ref="I307">IF(C307="","",IF(C307="Tournament",INDEX('Tournament Log'!$J:$J,E307),IF(C307="Guest",IF(INDEX('Guest Log'!$I:$I,Q307)="",1000,INDEX('Guest Log'!$I:$I,Q307)),IFERROR(LOOKUP(2,1/(($F$1:F306=G307)+($G$1:G306=G307)),IF($F$1:F306=G307,$N$1:N306,$O$1:O306)),1000))))</f>
        <v/>
      </c>
      <c r="J307" s="12" t="str">
        <f t="shared" si="21"/>
        <v/>
      </c>
      <c r="K307" s="12" t="str">
        <f>IF(C307="","",IF(C307="Match",IF(INDEX('Match Log'!$D:$D,D307)="Win",1,IF(INDEX('Match Log'!$D:$D,D307)="Draw",0.5,0)),IF(C307="Tournament",INDEX('Tournament Log'!$K:$K,E307),IF(INDEX('Guest Log'!$C:$C,Q307)="Win",1,IF(INDEX('Guest Log'!$C:$C,Q307)="Draw",0.5,0)))))</f>
        <v/>
      </c>
      <c r="L307" s="12" t="str">
        <f>IF(C307="","",IF(C307="Match",32,IF(C307="Tournament",MIN(32*INDEX('Tournament Log'!$D:$D,E307),96),32)))</f>
        <v/>
      </c>
      <c r="M307" s="12" t="str">
        <f t="shared" si="22"/>
        <v/>
      </c>
      <c r="N307" s="12" t="str">
        <f t="shared" si="23"/>
        <v/>
      </c>
      <c r="O307" s="12" t="str">
        <f t="shared" si="24"/>
        <v/>
      </c>
      <c r="P307" s="12" t="str">
        <f>IF(C307="Tournament",INDEX('Tournament Log'!$B:$B,E307),IF(C307="Guest","Guest: "&amp;INDEX('Guest Log'!$H:$H,Q307),""))</f>
        <v/>
      </c>
      <c r="Q307" t="str">
        <f>IFERROR(MATCH($A307,'Guest Log'!$L$4:$L$203,0)+3,"")</f>
        <v/>
      </c>
    </row>
    <row r="308" spans="1:17" ht="15" customHeight="1" x14ac:dyDescent="0.2">
      <c r="A308" s="12">
        <f>307</f>
        <v>307</v>
      </c>
      <c r="B308" s="12" t="str">
        <f>IF(C308="","",IF(C308="Match",INDEX('Match Log'!$A:$A,D308),IF(C308="Tournament",INDEX('Tournament Log'!$A:$A,E308),INDEX('Guest Log'!$A:$A,Q308))))</f>
        <v/>
      </c>
      <c r="C308" s="12" t="str">
        <f t="shared" si="20"/>
        <v/>
      </c>
      <c r="D308" s="31" t="str">
        <f>IFERROR(MATCH($A308,'Match Log'!$K$3:$K$501,0)+2,"")</f>
        <v/>
      </c>
      <c r="E308" s="31" t="str">
        <f>IFERROR(MATCH($A308,'Tournament Log'!$O$4:$O$203,0)+3,"")</f>
        <v/>
      </c>
      <c r="F308" s="12" t="str">
        <f>IF(C308="","",IF(C308="Match",INDEX('Match Log'!$B:$B,D308),IF(C308="Tournament",INDEX('Tournament Log'!$C:$C,E308),INDEX('Guest Log'!$B:$B,Q308))))</f>
        <v/>
      </c>
      <c r="G308" s="12" t="str">
        <f>IF(C308="","",IF(C308="Match",INDEX('Match Log'!$C:$C,D308),IF(C308="Tournament",INDEX('Tournament Log'!$B:$B,E308)&amp;" (Phantom)",INDEX('Guest Log'!$H:$H,Q308)&amp;" (Guest)")))</f>
        <v/>
      </c>
      <c r="H308" s="32" t="str">
        <f t="array" ref="H308">IF(C308="","",IFERROR(LOOKUP(2,1/(($F$1:F307=F308)+($G$1:G307=F308)),IF($F$1:F307=F308,$N$1:N307,$O$1:O307)),1000))</f>
        <v/>
      </c>
      <c r="I308" s="12" t="str">
        <f t="array" ref="I308">IF(C308="","",IF(C308="Tournament",INDEX('Tournament Log'!$J:$J,E308),IF(C308="Guest",IF(INDEX('Guest Log'!$I:$I,Q308)="",1000,INDEX('Guest Log'!$I:$I,Q308)),IFERROR(LOOKUP(2,1/(($F$1:F307=G308)+($G$1:G307=G308)),IF($F$1:F307=G308,$N$1:N307,$O$1:O307)),1000))))</f>
        <v/>
      </c>
      <c r="J308" s="12" t="str">
        <f t="shared" si="21"/>
        <v/>
      </c>
      <c r="K308" s="12" t="str">
        <f>IF(C308="","",IF(C308="Match",IF(INDEX('Match Log'!$D:$D,D308)="Win",1,IF(INDEX('Match Log'!$D:$D,D308)="Draw",0.5,0)),IF(C308="Tournament",INDEX('Tournament Log'!$K:$K,E308),IF(INDEX('Guest Log'!$C:$C,Q308)="Win",1,IF(INDEX('Guest Log'!$C:$C,Q308)="Draw",0.5,0)))))</f>
        <v/>
      </c>
      <c r="L308" s="12" t="str">
        <f>IF(C308="","",IF(C308="Match",32,IF(C308="Tournament",MIN(32*INDEX('Tournament Log'!$D:$D,E308),96),32)))</f>
        <v/>
      </c>
      <c r="M308" s="12" t="str">
        <f t="shared" si="22"/>
        <v/>
      </c>
      <c r="N308" s="12" t="str">
        <f t="shared" si="23"/>
        <v/>
      </c>
      <c r="O308" s="12" t="str">
        <f t="shared" si="24"/>
        <v/>
      </c>
      <c r="P308" s="12" t="str">
        <f>IF(C308="Tournament",INDEX('Tournament Log'!$B:$B,E308),IF(C308="Guest","Guest: "&amp;INDEX('Guest Log'!$H:$H,Q308),""))</f>
        <v/>
      </c>
      <c r="Q308" t="str">
        <f>IFERROR(MATCH($A308,'Guest Log'!$L$4:$L$203,0)+3,"")</f>
        <v/>
      </c>
    </row>
    <row r="309" spans="1:17" ht="15" customHeight="1" x14ac:dyDescent="0.2">
      <c r="A309" s="12">
        <f>308</f>
        <v>308</v>
      </c>
      <c r="B309" s="12" t="str">
        <f>IF(C309="","",IF(C309="Match",INDEX('Match Log'!$A:$A,D309),IF(C309="Tournament",INDEX('Tournament Log'!$A:$A,E309),INDEX('Guest Log'!$A:$A,Q309))))</f>
        <v/>
      </c>
      <c r="C309" s="12" t="str">
        <f t="shared" si="20"/>
        <v/>
      </c>
      <c r="D309" s="31" t="str">
        <f>IFERROR(MATCH($A309,'Match Log'!$K$3:$K$501,0)+2,"")</f>
        <v/>
      </c>
      <c r="E309" s="31" t="str">
        <f>IFERROR(MATCH($A309,'Tournament Log'!$O$4:$O$203,0)+3,"")</f>
        <v/>
      </c>
      <c r="F309" s="12" t="str">
        <f>IF(C309="","",IF(C309="Match",INDEX('Match Log'!$B:$B,D309),IF(C309="Tournament",INDEX('Tournament Log'!$C:$C,E309),INDEX('Guest Log'!$B:$B,Q309))))</f>
        <v/>
      </c>
      <c r="G309" s="12" t="str">
        <f>IF(C309="","",IF(C309="Match",INDEX('Match Log'!$C:$C,D309),IF(C309="Tournament",INDEX('Tournament Log'!$B:$B,E309)&amp;" (Phantom)",INDEX('Guest Log'!$H:$H,Q309)&amp;" (Guest)")))</f>
        <v/>
      </c>
      <c r="H309" s="32" t="str">
        <f t="array" ref="H309">IF(C309="","",IFERROR(LOOKUP(2,1/(($F$1:F308=F309)+($G$1:G308=F309)),IF($F$1:F308=F309,$N$1:N308,$O$1:O308)),1000))</f>
        <v/>
      </c>
      <c r="I309" s="12" t="str">
        <f t="array" ref="I309">IF(C309="","",IF(C309="Tournament",INDEX('Tournament Log'!$J:$J,E309),IF(C309="Guest",IF(INDEX('Guest Log'!$I:$I,Q309)="",1000,INDEX('Guest Log'!$I:$I,Q309)),IFERROR(LOOKUP(2,1/(($F$1:F308=G309)+($G$1:G308=G309)),IF($F$1:F308=G309,$N$1:N308,$O$1:O308)),1000))))</f>
        <v/>
      </c>
      <c r="J309" s="12" t="str">
        <f t="shared" si="21"/>
        <v/>
      </c>
      <c r="K309" s="12" t="str">
        <f>IF(C309="","",IF(C309="Match",IF(INDEX('Match Log'!$D:$D,D309)="Win",1,IF(INDEX('Match Log'!$D:$D,D309)="Draw",0.5,0)),IF(C309="Tournament",INDEX('Tournament Log'!$K:$K,E309),IF(INDEX('Guest Log'!$C:$C,Q309)="Win",1,IF(INDEX('Guest Log'!$C:$C,Q309)="Draw",0.5,0)))))</f>
        <v/>
      </c>
      <c r="L309" s="12" t="str">
        <f>IF(C309="","",IF(C309="Match",32,IF(C309="Tournament",MIN(32*INDEX('Tournament Log'!$D:$D,E309),96),32)))</f>
        <v/>
      </c>
      <c r="M309" s="12" t="str">
        <f t="shared" si="22"/>
        <v/>
      </c>
      <c r="N309" s="12" t="str">
        <f t="shared" si="23"/>
        <v/>
      </c>
      <c r="O309" s="12" t="str">
        <f t="shared" si="24"/>
        <v/>
      </c>
      <c r="P309" s="12" t="str">
        <f>IF(C309="Tournament",INDEX('Tournament Log'!$B:$B,E309),IF(C309="Guest","Guest: "&amp;INDEX('Guest Log'!$H:$H,Q309),""))</f>
        <v/>
      </c>
      <c r="Q309" t="str">
        <f>IFERROR(MATCH($A309,'Guest Log'!$L$4:$L$203,0)+3,"")</f>
        <v/>
      </c>
    </row>
    <row r="310" spans="1:17" ht="15" customHeight="1" x14ac:dyDescent="0.2">
      <c r="A310" s="12">
        <f>309</f>
        <v>309</v>
      </c>
      <c r="B310" s="12" t="str">
        <f>IF(C310="","",IF(C310="Match",INDEX('Match Log'!$A:$A,D310),IF(C310="Tournament",INDEX('Tournament Log'!$A:$A,E310),INDEX('Guest Log'!$A:$A,Q310))))</f>
        <v/>
      </c>
      <c r="C310" s="12" t="str">
        <f t="shared" si="20"/>
        <v/>
      </c>
      <c r="D310" s="31" t="str">
        <f>IFERROR(MATCH($A310,'Match Log'!$K$3:$K$501,0)+2,"")</f>
        <v/>
      </c>
      <c r="E310" s="31" t="str">
        <f>IFERROR(MATCH($A310,'Tournament Log'!$O$4:$O$203,0)+3,"")</f>
        <v/>
      </c>
      <c r="F310" s="12" t="str">
        <f>IF(C310="","",IF(C310="Match",INDEX('Match Log'!$B:$B,D310),IF(C310="Tournament",INDEX('Tournament Log'!$C:$C,E310),INDEX('Guest Log'!$B:$B,Q310))))</f>
        <v/>
      </c>
      <c r="G310" s="12" t="str">
        <f>IF(C310="","",IF(C310="Match",INDEX('Match Log'!$C:$C,D310),IF(C310="Tournament",INDEX('Tournament Log'!$B:$B,E310)&amp;" (Phantom)",INDEX('Guest Log'!$H:$H,Q310)&amp;" (Guest)")))</f>
        <v/>
      </c>
      <c r="H310" s="32" t="str">
        <f t="array" ref="H310">IF(C310="","",IFERROR(LOOKUP(2,1/(($F$1:F309=F310)+($G$1:G309=F310)),IF($F$1:F309=F310,$N$1:N309,$O$1:O309)),1000))</f>
        <v/>
      </c>
      <c r="I310" s="12" t="str">
        <f t="array" ref="I310">IF(C310="","",IF(C310="Tournament",INDEX('Tournament Log'!$J:$J,E310),IF(C310="Guest",IF(INDEX('Guest Log'!$I:$I,Q310)="",1000,INDEX('Guest Log'!$I:$I,Q310)),IFERROR(LOOKUP(2,1/(($F$1:F309=G310)+($G$1:G309=G310)),IF($F$1:F309=G310,$N$1:N309,$O$1:O309)),1000))))</f>
        <v/>
      </c>
      <c r="J310" s="12" t="str">
        <f t="shared" si="21"/>
        <v/>
      </c>
      <c r="K310" s="12" t="str">
        <f>IF(C310="","",IF(C310="Match",IF(INDEX('Match Log'!$D:$D,D310)="Win",1,IF(INDEX('Match Log'!$D:$D,D310)="Draw",0.5,0)),IF(C310="Tournament",INDEX('Tournament Log'!$K:$K,E310),IF(INDEX('Guest Log'!$C:$C,Q310)="Win",1,IF(INDEX('Guest Log'!$C:$C,Q310)="Draw",0.5,0)))))</f>
        <v/>
      </c>
      <c r="L310" s="12" t="str">
        <f>IF(C310="","",IF(C310="Match",32,IF(C310="Tournament",MIN(32*INDEX('Tournament Log'!$D:$D,E310),96),32)))</f>
        <v/>
      </c>
      <c r="M310" s="12" t="str">
        <f t="shared" si="22"/>
        <v/>
      </c>
      <c r="N310" s="12" t="str">
        <f t="shared" si="23"/>
        <v/>
      </c>
      <c r="O310" s="12" t="str">
        <f t="shared" si="24"/>
        <v/>
      </c>
      <c r="P310" s="12" t="str">
        <f>IF(C310="Tournament",INDEX('Tournament Log'!$B:$B,E310),IF(C310="Guest","Guest: "&amp;INDEX('Guest Log'!$H:$H,Q310),""))</f>
        <v/>
      </c>
      <c r="Q310" t="str">
        <f>IFERROR(MATCH($A310,'Guest Log'!$L$4:$L$203,0)+3,"")</f>
        <v/>
      </c>
    </row>
    <row r="311" spans="1:17" ht="15" customHeight="1" x14ac:dyDescent="0.2">
      <c r="A311" s="12">
        <f>310</f>
        <v>310</v>
      </c>
      <c r="B311" s="12" t="str">
        <f>IF(C311="","",IF(C311="Match",INDEX('Match Log'!$A:$A,D311),IF(C311="Tournament",INDEX('Tournament Log'!$A:$A,E311),INDEX('Guest Log'!$A:$A,Q311))))</f>
        <v/>
      </c>
      <c r="C311" s="12" t="str">
        <f t="shared" si="20"/>
        <v/>
      </c>
      <c r="D311" s="31" t="str">
        <f>IFERROR(MATCH($A311,'Match Log'!$K$3:$K$501,0)+2,"")</f>
        <v/>
      </c>
      <c r="E311" s="31" t="str">
        <f>IFERROR(MATCH($A311,'Tournament Log'!$O$4:$O$203,0)+3,"")</f>
        <v/>
      </c>
      <c r="F311" s="12" t="str">
        <f>IF(C311="","",IF(C311="Match",INDEX('Match Log'!$B:$B,D311),IF(C311="Tournament",INDEX('Tournament Log'!$C:$C,E311),INDEX('Guest Log'!$B:$B,Q311))))</f>
        <v/>
      </c>
      <c r="G311" s="12" t="str">
        <f>IF(C311="","",IF(C311="Match",INDEX('Match Log'!$C:$C,D311),IF(C311="Tournament",INDEX('Tournament Log'!$B:$B,E311)&amp;" (Phantom)",INDEX('Guest Log'!$H:$H,Q311)&amp;" (Guest)")))</f>
        <v/>
      </c>
      <c r="H311" s="32" t="str">
        <f t="array" ref="H311">IF(C311="","",IFERROR(LOOKUP(2,1/(($F$1:F310=F311)+($G$1:G310=F311)),IF($F$1:F310=F311,$N$1:N310,$O$1:O310)),1000))</f>
        <v/>
      </c>
      <c r="I311" s="12" t="str">
        <f t="array" ref="I311">IF(C311="","",IF(C311="Tournament",INDEX('Tournament Log'!$J:$J,E311),IF(C311="Guest",IF(INDEX('Guest Log'!$I:$I,Q311)="",1000,INDEX('Guest Log'!$I:$I,Q311)),IFERROR(LOOKUP(2,1/(($F$1:F310=G311)+($G$1:G310=G311)),IF($F$1:F310=G311,$N$1:N310,$O$1:O310)),1000))))</f>
        <v/>
      </c>
      <c r="J311" s="12" t="str">
        <f t="shared" si="21"/>
        <v/>
      </c>
      <c r="K311" s="12" t="str">
        <f>IF(C311="","",IF(C311="Match",IF(INDEX('Match Log'!$D:$D,D311)="Win",1,IF(INDEX('Match Log'!$D:$D,D311)="Draw",0.5,0)),IF(C311="Tournament",INDEX('Tournament Log'!$K:$K,E311),IF(INDEX('Guest Log'!$C:$C,Q311)="Win",1,IF(INDEX('Guest Log'!$C:$C,Q311)="Draw",0.5,0)))))</f>
        <v/>
      </c>
      <c r="L311" s="12" t="str">
        <f>IF(C311="","",IF(C311="Match",32,IF(C311="Tournament",MIN(32*INDEX('Tournament Log'!$D:$D,E311),96),32)))</f>
        <v/>
      </c>
      <c r="M311" s="12" t="str">
        <f t="shared" si="22"/>
        <v/>
      </c>
      <c r="N311" s="12" t="str">
        <f t="shared" si="23"/>
        <v/>
      </c>
      <c r="O311" s="12" t="str">
        <f t="shared" si="24"/>
        <v/>
      </c>
      <c r="P311" s="12" t="str">
        <f>IF(C311="Tournament",INDEX('Tournament Log'!$B:$B,E311),IF(C311="Guest","Guest: "&amp;INDEX('Guest Log'!$H:$H,Q311),""))</f>
        <v/>
      </c>
      <c r="Q311" t="str">
        <f>IFERROR(MATCH($A311,'Guest Log'!$L$4:$L$203,0)+3,"")</f>
        <v/>
      </c>
    </row>
    <row r="312" spans="1:17" ht="15" customHeight="1" x14ac:dyDescent="0.2">
      <c r="A312" s="12">
        <f>311</f>
        <v>311</v>
      </c>
      <c r="B312" s="12" t="str">
        <f>IF(C312="","",IF(C312="Match",INDEX('Match Log'!$A:$A,D312),IF(C312="Tournament",INDEX('Tournament Log'!$A:$A,E312),INDEX('Guest Log'!$A:$A,Q312))))</f>
        <v/>
      </c>
      <c r="C312" s="12" t="str">
        <f t="shared" si="20"/>
        <v/>
      </c>
      <c r="D312" s="31" t="str">
        <f>IFERROR(MATCH($A312,'Match Log'!$K$3:$K$501,0)+2,"")</f>
        <v/>
      </c>
      <c r="E312" s="31" t="str">
        <f>IFERROR(MATCH($A312,'Tournament Log'!$O$4:$O$203,0)+3,"")</f>
        <v/>
      </c>
      <c r="F312" s="12" t="str">
        <f>IF(C312="","",IF(C312="Match",INDEX('Match Log'!$B:$B,D312),IF(C312="Tournament",INDEX('Tournament Log'!$C:$C,E312),INDEX('Guest Log'!$B:$B,Q312))))</f>
        <v/>
      </c>
      <c r="G312" s="12" t="str">
        <f>IF(C312="","",IF(C312="Match",INDEX('Match Log'!$C:$C,D312),IF(C312="Tournament",INDEX('Tournament Log'!$B:$B,E312)&amp;" (Phantom)",INDEX('Guest Log'!$H:$H,Q312)&amp;" (Guest)")))</f>
        <v/>
      </c>
      <c r="H312" s="32" t="str">
        <f t="array" ref="H312">IF(C312="","",IFERROR(LOOKUP(2,1/(($F$1:F311=F312)+($G$1:G311=F312)),IF($F$1:F311=F312,$N$1:N311,$O$1:O311)),1000))</f>
        <v/>
      </c>
      <c r="I312" s="12" t="str">
        <f t="array" ref="I312">IF(C312="","",IF(C312="Tournament",INDEX('Tournament Log'!$J:$J,E312),IF(C312="Guest",IF(INDEX('Guest Log'!$I:$I,Q312)="",1000,INDEX('Guest Log'!$I:$I,Q312)),IFERROR(LOOKUP(2,1/(($F$1:F311=G312)+($G$1:G311=G312)),IF($F$1:F311=G312,$N$1:N311,$O$1:O311)),1000))))</f>
        <v/>
      </c>
      <c r="J312" s="12" t="str">
        <f t="shared" si="21"/>
        <v/>
      </c>
      <c r="K312" s="12" t="str">
        <f>IF(C312="","",IF(C312="Match",IF(INDEX('Match Log'!$D:$D,D312)="Win",1,IF(INDEX('Match Log'!$D:$D,D312)="Draw",0.5,0)),IF(C312="Tournament",INDEX('Tournament Log'!$K:$K,E312),IF(INDEX('Guest Log'!$C:$C,Q312)="Win",1,IF(INDEX('Guest Log'!$C:$C,Q312)="Draw",0.5,0)))))</f>
        <v/>
      </c>
      <c r="L312" s="12" t="str">
        <f>IF(C312="","",IF(C312="Match",32,IF(C312="Tournament",MIN(32*INDEX('Tournament Log'!$D:$D,E312),96),32)))</f>
        <v/>
      </c>
      <c r="M312" s="12" t="str">
        <f t="shared" si="22"/>
        <v/>
      </c>
      <c r="N312" s="12" t="str">
        <f t="shared" si="23"/>
        <v/>
      </c>
      <c r="O312" s="12" t="str">
        <f t="shared" si="24"/>
        <v/>
      </c>
      <c r="P312" s="12" t="str">
        <f>IF(C312="Tournament",INDEX('Tournament Log'!$B:$B,E312),IF(C312="Guest","Guest: "&amp;INDEX('Guest Log'!$H:$H,Q312),""))</f>
        <v/>
      </c>
      <c r="Q312" t="str">
        <f>IFERROR(MATCH($A312,'Guest Log'!$L$4:$L$203,0)+3,"")</f>
        <v/>
      </c>
    </row>
    <row r="313" spans="1:17" ht="15" customHeight="1" x14ac:dyDescent="0.2">
      <c r="A313" s="12">
        <f>312</f>
        <v>312</v>
      </c>
      <c r="B313" s="12" t="str">
        <f>IF(C313="","",IF(C313="Match",INDEX('Match Log'!$A:$A,D313),IF(C313="Tournament",INDEX('Tournament Log'!$A:$A,E313),INDEX('Guest Log'!$A:$A,Q313))))</f>
        <v/>
      </c>
      <c r="C313" s="12" t="str">
        <f t="shared" si="20"/>
        <v/>
      </c>
      <c r="D313" s="31" t="str">
        <f>IFERROR(MATCH($A313,'Match Log'!$K$3:$K$501,0)+2,"")</f>
        <v/>
      </c>
      <c r="E313" s="31" t="str">
        <f>IFERROR(MATCH($A313,'Tournament Log'!$O$4:$O$203,0)+3,"")</f>
        <v/>
      </c>
      <c r="F313" s="12" t="str">
        <f>IF(C313="","",IF(C313="Match",INDEX('Match Log'!$B:$B,D313),IF(C313="Tournament",INDEX('Tournament Log'!$C:$C,E313),INDEX('Guest Log'!$B:$B,Q313))))</f>
        <v/>
      </c>
      <c r="G313" s="12" t="str">
        <f>IF(C313="","",IF(C313="Match",INDEX('Match Log'!$C:$C,D313),IF(C313="Tournament",INDEX('Tournament Log'!$B:$B,E313)&amp;" (Phantom)",INDEX('Guest Log'!$H:$H,Q313)&amp;" (Guest)")))</f>
        <v/>
      </c>
      <c r="H313" s="32" t="str">
        <f t="array" ref="H313">IF(C313="","",IFERROR(LOOKUP(2,1/(($F$1:F312=F313)+($G$1:G312=F313)),IF($F$1:F312=F313,$N$1:N312,$O$1:O312)),1000))</f>
        <v/>
      </c>
      <c r="I313" s="12" t="str">
        <f t="array" ref="I313">IF(C313="","",IF(C313="Tournament",INDEX('Tournament Log'!$J:$J,E313),IF(C313="Guest",IF(INDEX('Guest Log'!$I:$I,Q313)="",1000,INDEX('Guest Log'!$I:$I,Q313)),IFERROR(LOOKUP(2,1/(($F$1:F312=G313)+($G$1:G312=G313)),IF($F$1:F312=G313,$N$1:N312,$O$1:O312)),1000))))</f>
        <v/>
      </c>
      <c r="J313" s="12" t="str">
        <f t="shared" si="21"/>
        <v/>
      </c>
      <c r="K313" s="12" t="str">
        <f>IF(C313="","",IF(C313="Match",IF(INDEX('Match Log'!$D:$D,D313)="Win",1,IF(INDEX('Match Log'!$D:$D,D313)="Draw",0.5,0)),IF(C313="Tournament",INDEX('Tournament Log'!$K:$K,E313),IF(INDEX('Guest Log'!$C:$C,Q313)="Win",1,IF(INDEX('Guest Log'!$C:$C,Q313)="Draw",0.5,0)))))</f>
        <v/>
      </c>
      <c r="L313" s="12" t="str">
        <f>IF(C313="","",IF(C313="Match",32,IF(C313="Tournament",MIN(32*INDEX('Tournament Log'!$D:$D,E313),96),32)))</f>
        <v/>
      </c>
      <c r="M313" s="12" t="str">
        <f t="shared" si="22"/>
        <v/>
      </c>
      <c r="N313" s="12" t="str">
        <f t="shared" si="23"/>
        <v/>
      </c>
      <c r="O313" s="12" t="str">
        <f t="shared" si="24"/>
        <v/>
      </c>
      <c r="P313" s="12" t="str">
        <f>IF(C313="Tournament",INDEX('Tournament Log'!$B:$B,E313),IF(C313="Guest","Guest: "&amp;INDEX('Guest Log'!$H:$H,Q313),""))</f>
        <v/>
      </c>
      <c r="Q313" t="str">
        <f>IFERROR(MATCH($A313,'Guest Log'!$L$4:$L$203,0)+3,"")</f>
        <v/>
      </c>
    </row>
    <row r="314" spans="1:17" ht="15" customHeight="1" x14ac:dyDescent="0.2">
      <c r="A314" s="12">
        <f>313</f>
        <v>313</v>
      </c>
      <c r="B314" s="12" t="str">
        <f>IF(C314="","",IF(C314="Match",INDEX('Match Log'!$A:$A,D314),IF(C314="Tournament",INDEX('Tournament Log'!$A:$A,E314),INDEX('Guest Log'!$A:$A,Q314))))</f>
        <v/>
      </c>
      <c r="C314" s="12" t="str">
        <f t="shared" si="20"/>
        <v/>
      </c>
      <c r="D314" s="31" t="str">
        <f>IFERROR(MATCH($A314,'Match Log'!$K$3:$K$501,0)+2,"")</f>
        <v/>
      </c>
      <c r="E314" s="31" t="str">
        <f>IFERROR(MATCH($A314,'Tournament Log'!$O$4:$O$203,0)+3,"")</f>
        <v/>
      </c>
      <c r="F314" s="12" t="str">
        <f>IF(C314="","",IF(C314="Match",INDEX('Match Log'!$B:$B,D314),IF(C314="Tournament",INDEX('Tournament Log'!$C:$C,E314),INDEX('Guest Log'!$B:$B,Q314))))</f>
        <v/>
      </c>
      <c r="G314" s="12" t="str">
        <f>IF(C314="","",IF(C314="Match",INDEX('Match Log'!$C:$C,D314),IF(C314="Tournament",INDEX('Tournament Log'!$B:$B,E314)&amp;" (Phantom)",INDEX('Guest Log'!$H:$H,Q314)&amp;" (Guest)")))</f>
        <v/>
      </c>
      <c r="H314" s="32" t="str">
        <f t="array" ref="H314">IF(C314="","",IFERROR(LOOKUP(2,1/(($F$1:F313=F314)+($G$1:G313=F314)),IF($F$1:F313=F314,$N$1:N313,$O$1:O313)),1000))</f>
        <v/>
      </c>
      <c r="I314" s="12" t="str">
        <f t="array" ref="I314">IF(C314="","",IF(C314="Tournament",INDEX('Tournament Log'!$J:$J,E314),IF(C314="Guest",IF(INDEX('Guest Log'!$I:$I,Q314)="",1000,INDEX('Guest Log'!$I:$I,Q314)),IFERROR(LOOKUP(2,1/(($F$1:F313=G314)+($G$1:G313=G314)),IF($F$1:F313=G314,$N$1:N313,$O$1:O313)),1000))))</f>
        <v/>
      </c>
      <c r="J314" s="12" t="str">
        <f t="shared" si="21"/>
        <v/>
      </c>
      <c r="K314" s="12" t="str">
        <f>IF(C314="","",IF(C314="Match",IF(INDEX('Match Log'!$D:$D,D314)="Win",1,IF(INDEX('Match Log'!$D:$D,D314)="Draw",0.5,0)),IF(C314="Tournament",INDEX('Tournament Log'!$K:$K,E314),IF(INDEX('Guest Log'!$C:$C,Q314)="Win",1,IF(INDEX('Guest Log'!$C:$C,Q314)="Draw",0.5,0)))))</f>
        <v/>
      </c>
      <c r="L314" s="12" t="str">
        <f>IF(C314="","",IF(C314="Match",32,IF(C314="Tournament",MIN(32*INDEX('Tournament Log'!$D:$D,E314),96),32)))</f>
        <v/>
      </c>
      <c r="M314" s="12" t="str">
        <f t="shared" si="22"/>
        <v/>
      </c>
      <c r="N314" s="12" t="str">
        <f t="shared" si="23"/>
        <v/>
      </c>
      <c r="O314" s="12" t="str">
        <f t="shared" si="24"/>
        <v/>
      </c>
      <c r="P314" s="12" t="str">
        <f>IF(C314="Tournament",INDEX('Tournament Log'!$B:$B,E314),IF(C314="Guest","Guest: "&amp;INDEX('Guest Log'!$H:$H,Q314),""))</f>
        <v/>
      </c>
      <c r="Q314" t="str">
        <f>IFERROR(MATCH($A314,'Guest Log'!$L$4:$L$203,0)+3,"")</f>
        <v/>
      </c>
    </row>
    <row r="315" spans="1:17" ht="15" customHeight="1" x14ac:dyDescent="0.2">
      <c r="A315" s="12">
        <f>314</f>
        <v>314</v>
      </c>
      <c r="B315" s="12" t="str">
        <f>IF(C315="","",IF(C315="Match",INDEX('Match Log'!$A:$A,D315),IF(C315="Tournament",INDEX('Tournament Log'!$A:$A,E315),INDEX('Guest Log'!$A:$A,Q315))))</f>
        <v/>
      </c>
      <c r="C315" s="12" t="str">
        <f t="shared" si="20"/>
        <v/>
      </c>
      <c r="D315" s="31" t="str">
        <f>IFERROR(MATCH($A315,'Match Log'!$K$3:$K$501,0)+2,"")</f>
        <v/>
      </c>
      <c r="E315" s="31" t="str">
        <f>IFERROR(MATCH($A315,'Tournament Log'!$O$4:$O$203,0)+3,"")</f>
        <v/>
      </c>
      <c r="F315" s="12" t="str">
        <f>IF(C315="","",IF(C315="Match",INDEX('Match Log'!$B:$B,D315),IF(C315="Tournament",INDEX('Tournament Log'!$C:$C,E315),INDEX('Guest Log'!$B:$B,Q315))))</f>
        <v/>
      </c>
      <c r="G315" s="12" t="str">
        <f>IF(C315="","",IF(C315="Match",INDEX('Match Log'!$C:$C,D315),IF(C315="Tournament",INDEX('Tournament Log'!$B:$B,E315)&amp;" (Phantom)",INDEX('Guest Log'!$H:$H,Q315)&amp;" (Guest)")))</f>
        <v/>
      </c>
      <c r="H315" s="32" t="str">
        <f t="array" ref="H315">IF(C315="","",IFERROR(LOOKUP(2,1/(($F$1:F314=F315)+($G$1:G314=F315)),IF($F$1:F314=F315,$N$1:N314,$O$1:O314)),1000))</f>
        <v/>
      </c>
      <c r="I315" s="12" t="str">
        <f t="array" ref="I315">IF(C315="","",IF(C315="Tournament",INDEX('Tournament Log'!$J:$J,E315),IF(C315="Guest",IF(INDEX('Guest Log'!$I:$I,Q315)="",1000,INDEX('Guest Log'!$I:$I,Q315)),IFERROR(LOOKUP(2,1/(($F$1:F314=G315)+($G$1:G314=G315)),IF($F$1:F314=G315,$N$1:N314,$O$1:O314)),1000))))</f>
        <v/>
      </c>
      <c r="J315" s="12" t="str">
        <f t="shared" si="21"/>
        <v/>
      </c>
      <c r="K315" s="12" t="str">
        <f>IF(C315="","",IF(C315="Match",IF(INDEX('Match Log'!$D:$D,D315)="Win",1,IF(INDEX('Match Log'!$D:$D,D315)="Draw",0.5,0)),IF(C315="Tournament",INDEX('Tournament Log'!$K:$K,E315),IF(INDEX('Guest Log'!$C:$C,Q315)="Win",1,IF(INDEX('Guest Log'!$C:$C,Q315)="Draw",0.5,0)))))</f>
        <v/>
      </c>
      <c r="L315" s="12" t="str">
        <f>IF(C315="","",IF(C315="Match",32,IF(C315="Tournament",MIN(32*INDEX('Tournament Log'!$D:$D,E315),96),32)))</f>
        <v/>
      </c>
      <c r="M315" s="12" t="str">
        <f t="shared" si="22"/>
        <v/>
      </c>
      <c r="N315" s="12" t="str">
        <f t="shared" si="23"/>
        <v/>
      </c>
      <c r="O315" s="12" t="str">
        <f t="shared" si="24"/>
        <v/>
      </c>
      <c r="P315" s="12" t="str">
        <f>IF(C315="Tournament",INDEX('Tournament Log'!$B:$B,E315),IF(C315="Guest","Guest: "&amp;INDEX('Guest Log'!$H:$H,Q315),""))</f>
        <v/>
      </c>
      <c r="Q315" t="str">
        <f>IFERROR(MATCH($A315,'Guest Log'!$L$4:$L$203,0)+3,"")</f>
        <v/>
      </c>
    </row>
    <row r="316" spans="1:17" ht="15" customHeight="1" x14ac:dyDescent="0.2">
      <c r="A316" s="12">
        <f>315</f>
        <v>315</v>
      </c>
      <c r="B316" s="12" t="str">
        <f>IF(C316="","",IF(C316="Match",INDEX('Match Log'!$A:$A,D316),IF(C316="Tournament",INDEX('Tournament Log'!$A:$A,E316),INDEX('Guest Log'!$A:$A,Q316))))</f>
        <v/>
      </c>
      <c r="C316" s="12" t="str">
        <f t="shared" si="20"/>
        <v/>
      </c>
      <c r="D316" s="31" t="str">
        <f>IFERROR(MATCH($A316,'Match Log'!$K$3:$K$501,0)+2,"")</f>
        <v/>
      </c>
      <c r="E316" s="31" t="str">
        <f>IFERROR(MATCH($A316,'Tournament Log'!$O$4:$O$203,0)+3,"")</f>
        <v/>
      </c>
      <c r="F316" s="12" t="str">
        <f>IF(C316="","",IF(C316="Match",INDEX('Match Log'!$B:$B,D316),IF(C316="Tournament",INDEX('Tournament Log'!$C:$C,E316),INDEX('Guest Log'!$B:$B,Q316))))</f>
        <v/>
      </c>
      <c r="G316" s="12" t="str">
        <f>IF(C316="","",IF(C316="Match",INDEX('Match Log'!$C:$C,D316),IF(C316="Tournament",INDEX('Tournament Log'!$B:$B,E316)&amp;" (Phantom)",INDEX('Guest Log'!$H:$H,Q316)&amp;" (Guest)")))</f>
        <v/>
      </c>
      <c r="H316" s="32" t="str">
        <f t="array" ref="H316">IF(C316="","",IFERROR(LOOKUP(2,1/(($F$1:F315=F316)+($G$1:G315=F316)),IF($F$1:F315=F316,$N$1:N315,$O$1:O315)),1000))</f>
        <v/>
      </c>
      <c r="I316" s="12" t="str">
        <f t="array" ref="I316">IF(C316="","",IF(C316="Tournament",INDEX('Tournament Log'!$J:$J,E316),IF(C316="Guest",IF(INDEX('Guest Log'!$I:$I,Q316)="",1000,INDEX('Guest Log'!$I:$I,Q316)),IFERROR(LOOKUP(2,1/(($F$1:F315=G316)+($G$1:G315=G316)),IF($F$1:F315=G316,$N$1:N315,$O$1:O315)),1000))))</f>
        <v/>
      </c>
      <c r="J316" s="12" t="str">
        <f t="shared" si="21"/>
        <v/>
      </c>
      <c r="K316" s="12" t="str">
        <f>IF(C316="","",IF(C316="Match",IF(INDEX('Match Log'!$D:$D,D316)="Win",1,IF(INDEX('Match Log'!$D:$D,D316)="Draw",0.5,0)),IF(C316="Tournament",INDEX('Tournament Log'!$K:$K,E316),IF(INDEX('Guest Log'!$C:$C,Q316)="Win",1,IF(INDEX('Guest Log'!$C:$C,Q316)="Draw",0.5,0)))))</f>
        <v/>
      </c>
      <c r="L316" s="12" t="str">
        <f>IF(C316="","",IF(C316="Match",32,IF(C316="Tournament",MIN(32*INDEX('Tournament Log'!$D:$D,E316),96),32)))</f>
        <v/>
      </c>
      <c r="M316" s="12" t="str">
        <f t="shared" si="22"/>
        <v/>
      </c>
      <c r="N316" s="12" t="str">
        <f t="shared" si="23"/>
        <v/>
      </c>
      <c r="O316" s="12" t="str">
        <f t="shared" si="24"/>
        <v/>
      </c>
      <c r="P316" s="12" t="str">
        <f>IF(C316="Tournament",INDEX('Tournament Log'!$B:$B,E316),IF(C316="Guest","Guest: "&amp;INDEX('Guest Log'!$H:$H,Q316),""))</f>
        <v/>
      </c>
      <c r="Q316" t="str">
        <f>IFERROR(MATCH($A316,'Guest Log'!$L$4:$L$203,0)+3,"")</f>
        <v/>
      </c>
    </row>
    <row r="317" spans="1:17" ht="15" customHeight="1" x14ac:dyDescent="0.2">
      <c r="A317" s="12">
        <f>316</f>
        <v>316</v>
      </c>
      <c r="B317" s="12" t="str">
        <f>IF(C317="","",IF(C317="Match",INDEX('Match Log'!$A:$A,D317),IF(C317="Tournament",INDEX('Tournament Log'!$A:$A,E317),INDEX('Guest Log'!$A:$A,Q317))))</f>
        <v/>
      </c>
      <c r="C317" s="12" t="str">
        <f t="shared" si="20"/>
        <v/>
      </c>
      <c r="D317" s="31" t="str">
        <f>IFERROR(MATCH($A317,'Match Log'!$K$3:$K$501,0)+2,"")</f>
        <v/>
      </c>
      <c r="E317" s="31" t="str">
        <f>IFERROR(MATCH($A317,'Tournament Log'!$O$4:$O$203,0)+3,"")</f>
        <v/>
      </c>
      <c r="F317" s="12" t="str">
        <f>IF(C317="","",IF(C317="Match",INDEX('Match Log'!$B:$B,D317),IF(C317="Tournament",INDEX('Tournament Log'!$C:$C,E317),INDEX('Guest Log'!$B:$B,Q317))))</f>
        <v/>
      </c>
      <c r="G317" s="12" t="str">
        <f>IF(C317="","",IF(C317="Match",INDEX('Match Log'!$C:$C,D317),IF(C317="Tournament",INDEX('Tournament Log'!$B:$B,E317)&amp;" (Phantom)",INDEX('Guest Log'!$H:$H,Q317)&amp;" (Guest)")))</f>
        <v/>
      </c>
      <c r="H317" s="32" t="str">
        <f t="array" ref="H317">IF(C317="","",IFERROR(LOOKUP(2,1/(($F$1:F316=F317)+($G$1:G316=F317)),IF($F$1:F316=F317,$N$1:N316,$O$1:O316)),1000))</f>
        <v/>
      </c>
      <c r="I317" s="12" t="str">
        <f t="array" ref="I317">IF(C317="","",IF(C317="Tournament",INDEX('Tournament Log'!$J:$J,E317),IF(C317="Guest",IF(INDEX('Guest Log'!$I:$I,Q317)="",1000,INDEX('Guest Log'!$I:$I,Q317)),IFERROR(LOOKUP(2,1/(($F$1:F316=G317)+($G$1:G316=G317)),IF($F$1:F316=G317,$N$1:N316,$O$1:O316)),1000))))</f>
        <v/>
      </c>
      <c r="J317" s="12" t="str">
        <f t="shared" si="21"/>
        <v/>
      </c>
      <c r="K317" s="12" t="str">
        <f>IF(C317="","",IF(C317="Match",IF(INDEX('Match Log'!$D:$D,D317)="Win",1,IF(INDEX('Match Log'!$D:$D,D317)="Draw",0.5,0)),IF(C317="Tournament",INDEX('Tournament Log'!$K:$K,E317),IF(INDEX('Guest Log'!$C:$C,Q317)="Win",1,IF(INDEX('Guest Log'!$C:$C,Q317)="Draw",0.5,0)))))</f>
        <v/>
      </c>
      <c r="L317" s="12" t="str">
        <f>IF(C317="","",IF(C317="Match",32,IF(C317="Tournament",MIN(32*INDEX('Tournament Log'!$D:$D,E317),96),32)))</f>
        <v/>
      </c>
      <c r="M317" s="12" t="str">
        <f t="shared" si="22"/>
        <v/>
      </c>
      <c r="N317" s="12" t="str">
        <f t="shared" si="23"/>
        <v/>
      </c>
      <c r="O317" s="12" t="str">
        <f t="shared" si="24"/>
        <v/>
      </c>
      <c r="P317" s="12" t="str">
        <f>IF(C317="Tournament",INDEX('Tournament Log'!$B:$B,E317),IF(C317="Guest","Guest: "&amp;INDEX('Guest Log'!$H:$H,Q317),""))</f>
        <v/>
      </c>
      <c r="Q317" t="str">
        <f>IFERROR(MATCH($A317,'Guest Log'!$L$4:$L$203,0)+3,"")</f>
        <v/>
      </c>
    </row>
    <row r="318" spans="1:17" ht="15" customHeight="1" x14ac:dyDescent="0.2">
      <c r="A318" s="12">
        <f>317</f>
        <v>317</v>
      </c>
      <c r="B318" s="12" t="str">
        <f>IF(C318="","",IF(C318="Match",INDEX('Match Log'!$A:$A,D318),IF(C318="Tournament",INDEX('Tournament Log'!$A:$A,E318),INDEX('Guest Log'!$A:$A,Q318))))</f>
        <v/>
      </c>
      <c r="C318" s="12" t="str">
        <f t="shared" si="20"/>
        <v/>
      </c>
      <c r="D318" s="31" t="str">
        <f>IFERROR(MATCH($A318,'Match Log'!$K$3:$K$501,0)+2,"")</f>
        <v/>
      </c>
      <c r="E318" s="31" t="str">
        <f>IFERROR(MATCH($A318,'Tournament Log'!$O$4:$O$203,0)+3,"")</f>
        <v/>
      </c>
      <c r="F318" s="12" t="str">
        <f>IF(C318="","",IF(C318="Match",INDEX('Match Log'!$B:$B,D318),IF(C318="Tournament",INDEX('Tournament Log'!$C:$C,E318),INDEX('Guest Log'!$B:$B,Q318))))</f>
        <v/>
      </c>
      <c r="G318" s="12" t="str">
        <f>IF(C318="","",IF(C318="Match",INDEX('Match Log'!$C:$C,D318),IF(C318="Tournament",INDEX('Tournament Log'!$B:$B,E318)&amp;" (Phantom)",INDEX('Guest Log'!$H:$H,Q318)&amp;" (Guest)")))</f>
        <v/>
      </c>
      <c r="H318" s="32" t="str">
        <f t="array" ref="H318">IF(C318="","",IFERROR(LOOKUP(2,1/(($F$1:F317=F318)+($G$1:G317=F318)),IF($F$1:F317=F318,$N$1:N317,$O$1:O317)),1000))</f>
        <v/>
      </c>
      <c r="I318" s="12" t="str">
        <f t="array" ref="I318">IF(C318="","",IF(C318="Tournament",INDEX('Tournament Log'!$J:$J,E318),IF(C318="Guest",IF(INDEX('Guest Log'!$I:$I,Q318)="",1000,INDEX('Guest Log'!$I:$I,Q318)),IFERROR(LOOKUP(2,1/(($F$1:F317=G318)+($G$1:G317=G318)),IF($F$1:F317=G318,$N$1:N317,$O$1:O317)),1000))))</f>
        <v/>
      </c>
      <c r="J318" s="12" t="str">
        <f t="shared" si="21"/>
        <v/>
      </c>
      <c r="K318" s="12" t="str">
        <f>IF(C318="","",IF(C318="Match",IF(INDEX('Match Log'!$D:$D,D318)="Win",1,IF(INDEX('Match Log'!$D:$D,D318)="Draw",0.5,0)),IF(C318="Tournament",INDEX('Tournament Log'!$K:$K,E318),IF(INDEX('Guest Log'!$C:$C,Q318)="Win",1,IF(INDEX('Guest Log'!$C:$C,Q318)="Draw",0.5,0)))))</f>
        <v/>
      </c>
      <c r="L318" s="12" t="str">
        <f>IF(C318="","",IF(C318="Match",32,IF(C318="Tournament",MIN(32*INDEX('Tournament Log'!$D:$D,E318),96),32)))</f>
        <v/>
      </c>
      <c r="M318" s="12" t="str">
        <f t="shared" si="22"/>
        <v/>
      </c>
      <c r="N318" s="12" t="str">
        <f t="shared" si="23"/>
        <v/>
      </c>
      <c r="O318" s="12" t="str">
        <f t="shared" si="24"/>
        <v/>
      </c>
      <c r="P318" s="12" t="str">
        <f>IF(C318="Tournament",INDEX('Tournament Log'!$B:$B,E318),IF(C318="Guest","Guest: "&amp;INDEX('Guest Log'!$H:$H,Q318),""))</f>
        <v/>
      </c>
      <c r="Q318" t="str">
        <f>IFERROR(MATCH($A318,'Guest Log'!$L$4:$L$203,0)+3,"")</f>
        <v/>
      </c>
    </row>
    <row r="319" spans="1:17" ht="15" customHeight="1" x14ac:dyDescent="0.2">
      <c r="A319" s="12">
        <f>318</f>
        <v>318</v>
      </c>
      <c r="B319" s="12" t="str">
        <f>IF(C319="","",IF(C319="Match",INDEX('Match Log'!$A:$A,D319),IF(C319="Tournament",INDEX('Tournament Log'!$A:$A,E319),INDEX('Guest Log'!$A:$A,Q319))))</f>
        <v/>
      </c>
      <c r="C319" s="12" t="str">
        <f t="shared" si="20"/>
        <v/>
      </c>
      <c r="D319" s="31" t="str">
        <f>IFERROR(MATCH($A319,'Match Log'!$K$3:$K$501,0)+2,"")</f>
        <v/>
      </c>
      <c r="E319" s="31" t="str">
        <f>IFERROR(MATCH($A319,'Tournament Log'!$O$4:$O$203,0)+3,"")</f>
        <v/>
      </c>
      <c r="F319" s="12" t="str">
        <f>IF(C319="","",IF(C319="Match",INDEX('Match Log'!$B:$B,D319),IF(C319="Tournament",INDEX('Tournament Log'!$C:$C,E319),INDEX('Guest Log'!$B:$B,Q319))))</f>
        <v/>
      </c>
      <c r="G319" s="12" t="str">
        <f>IF(C319="","",IF(C319="Match",INDEX('Match Log'!$C:$C,D319),IF(C319="Tournament",INDEX('Tournament Log'!$B:$B,E319)&amp;" (Phantom)",INDEX('Guest Log'!$H:$H,Q319)&amp;" (Guest)")))</f>
        <v/>
      </c>
      <c r="H319" s="32" t="str">
        <f t="array" ref="H319">IF(C319="","",IFERROR(LOOKUP(2,1/(($F$1:F318=F319)+($G$1:G318=F319)),IF($F$1:F318=F319,$N$1:N318,$O$1:O318)),1000))</f>
        <v/>
      </c>
      <c r="I319" s="12" t="str">
        <f t="array" ref="I319">IF(C319="","",IF(C319="Tournament",INDEX('Tournament Log'!$J:$J,E319),IF(C319="Guest",IF(INDEX('Guest Log'!$I:$I,Q319)="",1000,INDEX('Guest Log'!$I:$I,Q319)),IFERROR(LOOKUP(2,1/(($F$1:F318=G319)+($G$1:G318=G319)),IF($F$1:F318=G319,$N$1:N318,$O$1:O318)),1000))))</f>
        <v/>
      </c>
      <c r="J319" s="12" t="str">
        <f t="shared" si="21"/>
        <v/>
      </c>
      <c r="K319" s="12" t="str">
        <f>IF(C319="","",IF(C319="Match",IF(INDEX('Match Log'!$D:$D,D319)="Win",1,IF(INDEX('Match Log'!$D:$D,D319)="Draw",0.5,0)),IF(C319="Tournament",INDEX('Tournament Log'!$K:$K,E319),IF(INDEX('Guest Log'!$C:$C,Q319)="Win",1,IF(INDEX('Guest Log'!$C:$C,Q319)="Draw",0.5,0)))))</f>
        <v/>
      </c>
      <c r="L319" s="12" t="str">
        <f>IF(C319="","",IF(C319="Match",32,IF(C319="Tournament",MIN(32*INDEX('Tournament Log'!$D:$D,E319),96),32)))</f>
        <v/>
      </c>
      <c r="M319" s="12" t="str">
        <f t="shared" si="22"/>
        <v/>
      </c>
      <c r="N319" s="12" t="str">
        <f t="shared" si="23"/>
        <v/>
      </c>
      <c r="O319" s="12" t="str">
        <f t="shared" si="24"/>
        <v/>
      </c>
      <c r="P319" s="12" t="str">
        <f>IF(C319="Tournament",INDEX('Tournament Log'!$B:$B,E319),IF(C319="Guest","Guest: "&amp;INDEX('Guest Log'!$H:$H,Q319),""))</f>
        <v/>
      </c>
      <c r="Q319" t="str">
        <f>IFERROR(MATCH($A319,'Guest Log'!$L$4:$L$203,0)+3,"")</f>
        <v/>
      </c>
    </row>
    <row r="320" spans="1:17" ht="15" customHeight="1" x14ac:dyDescent="0.2">
      <c r="A320" s="12">
        <f>319</f>
        <v>319</v>
      </c>
      <c r="B320" s="12" t="str">
        <f>IF(C320="","",IF(C320="Match",INDEX('Match Log'!$A:$A,D320),IF(C320="Tournament",INDEX('Tournament Log'!$A:$A,E320),INDEX('Guest Log'!$A:$A,Q320))))</f>
        <v/>
      </c>
      <c r="C320" s="12" t="str">
        <f t="shared" si="20"/>
        <v/>
      </c>
      <c r="D320" s="31" t="str">
        <f>IFERROR(MATCH($A320,'Match Log'!$K$3:$K$501,0)+2,"")</f>
        <v/>
      </c>
      <c r="E320" s="31" t="str">
        <f>IFERROR(MATCH($A320,'Tournament Log'!$O$4:$O$203,0)+3,"")</f>
        <v/>
      </c>
      <c r="F320" s="12" t="str">
        <f>IF(C320="","",IF(C320="Match",INDEX('Match Log'!$B:$B,D320),IF(C320="Tournament",INDEX('Tournament Log'!$C:$C,E320),INDEX('Guest Log'!$B:$B,Q320))))</f>
        <v/>
      </c>
      <c r="G320" s="12" t="str">
        <f>IF(C320="","",IF(C320="Match",INDEX('Match Log'!$C:$C,D320),IF(C320="Tournament",INDEX('Tournament Log'!$B:$B,E320)&amp;" (Phantom)",INDEX('Guest Log'!$H:$H,Q320)&amp;" (Guest)")))</f>
        <v/>
      </c>
      <c r="H320" s="32" t="str">
        <f t="array" ref="H320">IF(C320="","",IFERROR(LOOKUP(2,1/(($F$1:F319=F320)+($G$1:G319=F320)),IF($F$1:F319=F320,$N$1:N319,$O$1:O319)),1000))</f>
        <v/>
      </c>
      <c r="I320" s="12" t="str">
        <f t="array" ref="I320">IF(C320="","",IF(C320="Tournament",INDEX('Tournament Log'!$J:$J,E320),IF(C320="Guest",IF(INDEX('Guest Log'!$I:$I,Q320)="",1000,INDEX('Guest Log'!$I:$I,Q320)),IFERROR(LOOKUP(2,1/(($F$1:F319=G320)+($G$1:G319=G320)),IF($F$1:F319=G320,$N$1:N319,$O$1:O319)),1000))))</f>
        <v/>
      </c>
      <c r="J320" s="12" t="str">
        <f t="shared" si="21"/>
        <v/>
      </c>
      <c r="K320" s="12" t="str">
        <f>IF(C320="","",IF(C320="Match",IF(INDEX('Match Log'!$D:$D,D320)="Win",1,IF(INDEX('Match Log'!$D:$D,D320)="Draw",0.5,0)),IF(C320="Tournament",INDEX('Tournament Log'!$K:$K,E320),IF(INDEX('Guest Log'!$C:$C,Q320)="Win",1,IF(INDEX('Guest Log'!$C:$C,Q320)="Draw",0.5,0)))))</f>
        <v/>
      </c>
      <c r="L320" s="12" t="str">
        <f>IF(C320="","",IF(C320="Match",32,IF(C320="Tournament",MIN(32*INDEX('Tournament Log'!$D:$D,E320),96),32)))</f>
        <v/>
      </c>
      <c r="M320" s="12" t="str">
        <f t="shared" si="22"/>
        <v/>
      </c>
      <c r="N320" s="12" t="str">
        <f t="shared" si="23"/>
        <v/>
      </c>
      <c r="O320" s="12" t="str">
        <f t="shared" si="24"/>
        <v/>
      </c>
      <c r="P320" s="12" t="str">
        <f>IF(C320="Tournament",INDEX('Tournament Log'!$B:$B,E320),IF(C320="Guest","Guest: "&amp;INDEX('Guest Log'!$H:$H,Q320),""))</f>
        <v/>
      </c>
      <c r="Q320" t="str">
        <f>IFERROR(MATCH($A320,'Guest Log'!$L$4:$L$203,0)+3,"")</f>
        <v/>
      </c>
    </row>
    <row r="321" spans="1:17" ht="15" customHeight="1" x14ac:dyDescent="0.2">
      <c r="A321" s="12">
        <f>320</f>
        <v>320</v>
      </c>
      <c r="B321" s="12" t="str">
        <f>IF(C321="","",IF(C321="Match",INDEX('Match Log'!$A:$A,D321),IF(C321="Tournament",INDEX('Tournament Log'!$A:$A,E321),INDEX('Guest Log'!$A:$A,Q321))))</f>
        <v/>
      </c>
      <c r="C321" s="12" t="str">
        <f t="shared" si="20"/>
        <v/>
      </c>
      <c r="D321" s="31" t="str">
        <f>IFERROR(MATCH($A321,'Match Log'!$K$3:$K$501,0)+2,"")</f>
        <v/>
      </c>
      <c r="E321" s="31" t="str">
        <f>IFERROR(MATCH($A321,'Tournament Log'!$O$4:$O$203,0)+3,"")</f>
        <v/>
      </c>
      <c r="F321" s="12" t="str">
        <f>IF(C321="","",IF(C321="Match",INDEX('Match Log'!$B:$B,D321),IF(C321="Tournament",INDEX('Tournament Log'!$C:$C,E321),INDEX('Guest Log'!$B:$B,Q321))))</f>
        <v/>
      </c>
      <c r="G321" s="12" t="str">
        <f>IF(C321="","",IF(C321="Match",INDEX('Match Log'!$C:$C,D321),IF(C321="Tournament",INDEX('Tournament Log'!$B:$B,E321)&amp;" (Phantom)",INDEX('Guest Log'!$H:$H,Q321)&amp;" (Guest)")))</f>
        <v/>
      </c>
      <c r="H321" s="32" t="str">
        <f t="array" ref="H321">IF(C321="","",IFERROR(LOOKUP(2,1/(($F$1:F320=F321)+($G$1:G320=F321)),IF($F$1:F320=F321,$N$1:N320,$O$1:O320)),1000))</f>
        <v/>
      </c>
      <c r="I321" s="12" t="str">
        <f t="array" ref="I321">IF(C321="","",IF(C321="Tournament",INDEX('Tournament Log'!$J:$J,E321),IF(C321="Guest",IF(INDEX('Guest Log'!$I:$I,Q321)="",1000,INDEX('Guest Log'!$I:$I,Q321)),IFERROR(LOOKUP(2,1/(($F$1:F320=G321)+($G$1:G320=G321)),IF($F$1:F320=G321,$N$1:N320,$O$1:O320)),1000))))</f>
        <v/>
      </c>
      <c r="J321" s="12" t="str">
        <f t="shared" si="21"/>
        <v/>
      </c>
      <c r="K321" s="12" t="str">
        <f>IF(C321="","",IF(C321="Match",IF(INDEX('Match Log'!$D:$D,D321)="Win",1,IF(INDEX('Match Log'!$D:$D,D321)="Draw",0.5,0)),IF(C321="Tournament",INDEX('Tournament Log'!$K:$K,E321),IF(INDEX('Guest Log'!$C:$C,Q321)="Win",1,IF(INDEX('Guest Log'!$C:$C,Q321)="Draw",0.5,0)))))</f>
        <v/>
      </c>
      <c r="L321" s="12" t="str">
        <f>IF(C321="","",IF(C321="Match",32,IF(C321="Tournament",MIN(32*INDEX('Tournament Log'!$D:$D,E321),96),32)))</f>
        <v/>
      </c>
      <c r="M321" s="12" t="str">
        <f t="shared" si="22"/>
        <v/>
      </c>
      <c r="N321" s="12" t="str">
        <f t="shared" si="23"/>
        <v/>
      </c>
      <c r="O321" s="12" t="str">
        <f t="shared" si="24"/>
        <v/>
      </c>
      <c r="P321" s="12" t="str">
        <f>IF(C321="Tournament",INDEX('Tournament Log'!$B:$B,E321),IF(C321="Guest","Guest: "&amp;INDEX('Guest Log'!$H:$H,Q321),""))</f>
        <v/>
      </c>
      <c r="Q321" t="str">
        <f>IFERROR(MATCH($A321,'Guest Log'!$L$4:$L$203,0)+3,"")</f>
        <v/>
      </c>
    </row>
    <row r="322" spans="1:17" ht="15" customHeight="1" x14ac:dyDescent="0.2">
      <c r="A322" s="12">
        <f>321</f>
        <v>321</v>
      </c>
      <c r="B322" s="12" t="str">
        <f>IF(C322="","",IF(C322="Match",INDEX('Match Log'!$A:$A,D322),IF(C322="Tournament",INDEX('Tournament Log'!$A:$A,E322),INDEX('Guest Log'!$A:$A,Q322))))</f>
        <v/>
      </c>
      <c r="C322" s="12" t="str">
        <f t="shared" ref="C322:C385" si="25">IF(D322&lt;&gt;"","Match",IF(E322&lt;&gt;"","Tournament",IF(Q322&lt;&gt;"","Guest","")))</f>
        <v/>
      </c>
      <c r="D322" s="31" t="str">
        <f>IFERROR(MATCH($A322,'Match Log'!$K$3:$K$501,0)+2,"")</f>
        <v/>
      </c>
      <c r="E322" s="31" t="str">
        <f>IFERROR(MATCH($A322,'Tournament Log'!$O$4:$O$203,0)+3,"")</f>
        <v/>
      </c>
      <c r="F322" s="12" t="str">
        <f>IF(C322="","",IF(C322="Match",INDEX('Match Log'!$B:$B,D322),IF(C322="Tournament",INDEX('Tournament Log'!$C:$C,E322),INDEX('Guest Log'!$B:$B,Q322))))</f>
        <v/>
      </c>
      <c r="G322" s="12" t="str">
        <f>IF(C322="","",IF(C322="Match",INDEX('Match Log'!$C:$C,D322),IF(C322="Tournament",INDEX('Tournament Log'!$B:$B,E322)&amp;" (Phantom)",INDEX('Guest Log'!$H:$H,Q322)&amp;" (Guest)")))</f>
        <v/>
      </c>
      <c r="H322" s="32" t="str">
        <f t="array" ref="H322">IF(C322="","",IFERROR(LOOKUP(2,1/(($F$1:F321=F322)+($G$1:G321=F322)),IF($F$1:F321=F322,$N$1:N321,$O$1:O321)),1000))</f>
        <v/>
      </c>
      <c r="I322" s="12" t="str">
        <f t="array" ref="I322">IF(C322="","",IF(C322="Tournament",INDEX('Tournament Log'!$J:$J,E322),IF(C322="Guest",IF(INDEX('Guest Log'!$I:$I,Q322)="",1000,INDEX('Guest Log'!$I:$I,Q322)),IFERROR(LOOKUP(2,1/(($F$1:F321=G322)+($G$1:G321=G322)),IF($F$1:F321=G322,$N$1:N321,$O$1:O321)),1000))))</f>
        <v/>
      </c>
      <c r="J322" s="12" t="str">
        <f t="shared" ref="J322:J385" si="26">IF(C322="","",1/(1+10^((I322-H322)/400)))</f>
        <v/>
      </c>
      <c r="K322" s="12" t="str">
        <f>IF(C322="","",IF(C322="Match",IF(INDEX('Match Log'!$D:$D,D322)="Win",1,IF(INDEX('Match Log'!$D:$D,D322)="Draw",0.5,0)),IF(C322="Tournament",INDEX('Tournament Log'!$K:$K,E322),IF(INDEX('Guest Log'!$C:$C,Q322)="Win",1,IF(INDEX('Guest Log'!$C:$C,Q322)="Draw",0.5,0)))))</f>
        <v/>
      </c>
      <c r="L322" s="12" t="str">
        <f>IF(C322="","",IF(C322="Match",32,IF(C322="Tournament",MIN(32*INDEX('Tournament Log'!$D:$D,E322),96),32)))</f>
        <v/>
      </c>
      <c r="M322" s="12" t="str">
        <f t="shared" ref="M322:M385" si="27">IF(C322="","",ROUND(L322*(K322-J322),0))</f>
        <v/>
      </c>
      <c r="N322" s="12" t="str">
        <f t="shared" ref="N322:N385" si="28">IF(C322="","",H322+M322)</f>
        <v/>
      </c>
      <c r="O322" s="12" t="str">
        <f t="shared" ref="O322:O385" si="29">IF(C322="","",IF(C322="Match",I322-M322,""))</f>
        <v/>
      </c>
      <c r="P322" s="12" t="str">
        <f>IF(C322="Tournament",INDEX('Tournament Log'!$B:$B,E322),IF(C322="Guest","Guest: "&amp;INDEX('Guest Log'!$H:$H,Q322),""))</f>
        <v/>
      </c>
      <c r="Q322" t="str">
        <f>IFERROR(MATCH($A322,'Guest Log'!$L$4:$L$203,0)+3,"")</f>
        <v/>
      </c>
    </row>
    <row r="323" spans="1:17" ht="15" customHeight="1" x14ac:dyDescent="0.2">
      <c r="A323" s="12">
        <f>322</f>
        <v>322</v>
      </c>
      <c r="B323" s="12" t="str">
        <f>IF(C323="","",IF(C323="Match",INDEX('Match Log'!$A:$A,D323),IF(C323="Tournament",INDEX('Tournament Log'!$A:$A,E323),INDEX('Guest Log'!$A:$A,Q323))))</f>
        <v/>
      </c>
      <c r="C323" s="12" t="str">
        <f t="shared" si="25"/>
        <v/>
      </c>
      <c r="D323" s="31" t="str">
        <f>IFERROR(MATCH($A323,'Match Log'!$K$3:$K$501,0)+2,"")</f>
        <v/>
      </c>
      <c r="E323" s="31" t="str">
        <f>IFERROR(MATCH($A323,'Tournament Log'!$O$4:$O$203,0)+3,"")</f>
        <v/>
      </c>
      <c r="F323" s="12" t="str">
        <f>IF(C323="","",IF(C323="Match",INDEX('Match Log'!$B:$B,D323),IF(C323="Tournament",INDEX('Tournament Log'!$C:$C,E323),INDEX('Guest Log'!$B:$B,Q323))))</f>
        <v/>
      </c>
      <c r="G323" s="12" t="str">
        <f>IF(C323="","",IF(C323="Match",INDEX('Match Log'!$C:$C,D323),IF(C323="Tournament",INDEX('Tournament Log'!$B:$B,E323)&amp;" (Phantom)",INDEX('Guest Log'!$H:$H,Q323)&amp;" (Guest)")))</f>
        <v/>
      </c>
      <c r="H323" s="32" t="str">
        <f t="array" ref="H323">IF(C323="","",IFERROR(LOOKUP(2,1/(($F$1:F322=F323)+($G$1:G322=F323)),IF($F$1:F322=F323,$N$1:N322,$O$1:O322)),1000))</f>
        <v/>
      </c>
      <c r="I323" s="12" t="str">
        <f t="array" ref="I323">IF(C323="","",IF(C323="Tournament",INDEX('Tournament Log'!$J:$J,E323),IF(C323="Guest",IF(INDEX('Guest Log'!$I:$I,Q323)="",1000,INDEX('Guest Log'!$I:$I,Q323)),IFERROR(LOOKUP(2,1/(($F$1:F322=G323)+($G$1:G322=G323)),IF($F$1:F322=G323,$N$1:N322,$O$1:O322)),1000))))</f>
        <v/>
      </c>
      <c r="J323" s="12" t="str">
        <f t="shared" si="26"/>
        <v/>
      </c>
      <c r="K323" s="12" t="str">
        <f>IF(C323="","",IF(C323="Match",IF(INDEX('Match Log'!$D:$D,D323)="Win",1,IF(INDEX('Match Log'!$D:$D,D323)="Draw",0.5,0)),IF(C323="Tournament",INDEX('Tournament Log'!$K:$K,E323),IF(INDEX('Guest Log'!$C:$C,Q323)="Win",1,IF(INDEX('Guest Log'!$C:$C,Q323)="Draw",0.5,0)))))</f>
        <v/>
      </c>
      <c r="L323" s="12" t="str">
        <f>IF(C323="","",IF(C323="Match",32,IF(C323="Tournament",MIN(32*INDEX('Tournament Log'!$D:$D,E323),96),32)))</f>
        <v/>
      </c>
      <c r="M323" s="12" t="str">
        <f t="shared" si="27"/>
        <v/>
      </c>
      <c r="N323" s="12" t="str">
        <f t="shared" si="28"/>
        <v/>
      </c>
      <c r="O323" s="12" t="str">
        <f t="shared" si="29"/>
        <v/>
      </c>
      <c r="P323" s="12" t="str">
        <f>IF(C323="Tournament",INDEX('Tournament Log'!$B:$B,E323),IF(C323="Guest","Guest: "&amp;INDEX('Guest Log'!$H:$H,Q323),""))</f>
        <v/>
      </c>
      <c r="Q323" t="str">
        <f>IFERROR(MATCH($A323,'Guest Log'!$L$4:$L$203,0)+3,"")</f>
        <v/>
      </c>
    </row>
    <row r="324" spans="1:17" ht="15" customHeight="1" x14ac:dyDescent="0.2">
      <c r="A324" s="12">
        <f>323</f>
        <v>323</v>
      </c>
      <c r="B324" s="12" t="str">
        <f>IF(C324="","",IF(C324="Match",INDEX('Match Log'!$A:$A,D324),IF(C324="Tournament",INDEX('Tournament Log'!$A:$A,E324),INDEX('Guest Log'!$A:$A,Q324))))</f>
        <v/>
      </c>
      <c r="C324" s="12" t="str">
        <f t="shared" si="25"/>
        <v/>
      </c>
      <c r="D324" s="31" t="str">
        <f>IFERROR(MATCH($A324,'Match Log'!$K$3:$K$501,0)+2,"")</f>
        <v/>
      </c>
      <c r="E324" s="31" t="str">
        <f>IFERROR(MATCH($A324,'Tournament Log'!$O$4:$O$203,0)+3,"")</f>
        <v/>
      </c>
      <c r="F324" s="12" t="str">
        <f>IF(C324="","",IF(C324="Match",INDEX('Match Log'!$B:$B,D324),IF(C324="Tournament",INDEX('Tournament Log'!$C:$C,E324),INDEX('Guest Log'!$B:$B,Q324))))</f>
        <v/>
      </c>
      <c r="G324" s="12" t="str">
        <f>IF(C324="","",IF(C324="Match",INDEX('Match Log'!$C:$C,D324),IF(C324="Tournament",INDEX('Tournament Log'!$B:$B,E324)&amp;" (Phantom)",INDEX('Guest Log'!$H:$H,Q324)&amp;" (Guest)")))</f>
        <v/>
      </c>
      <c r="H324" s="32" t="str">
        <f t="array" ref="H324">IF(C324="","",IFERROR(LOOKUP(2,1/(($F$1:F323=F324)+($G$1:G323=F324)),IF($F$1:F323=F324,$N$1:N323,$O$1:O323)),1000))</f>
        <v/>
      </c>
      <c r="I324" s="12" t="str">
        <f t="array" ref="I324">IF(C324="","",IF(C324="Tournament",INDEX('Tournament Log'!$J:$J,E324),IF(C324="Guest",IF(INDEX('Guest Log'!$I:$I,Q324)="",1000,INDEX('Guest Log'!$I:$I,Q324)),IFERROR(LOOKUP(2,1/(($F$1:F323=G324)+($G$1:G323=G324)),IF($F$1:F323=G324,$N$1:N323,$O$1:O323)),1000))))</f>
        <v/>
      </c>
      <c r="J324" s="12" t="str">
        <f t="shared" si="26"/>
        <v/>
      </c>
      <c r="K324" s="12" t="str">
        <f>IF(C324="","",IF(C324="Match",IF(INDEX('Match Log'!$D:$D,D324)="Win",1,IF(INDEX('Match Log'!$D:$D,D324)="Draw",0.5,0)),IF(C324="Tournament",INDEX('Tournament Log'!$K:$K,E324),IF(INDEX('Guest Log'!$C:$C,Q324)="Win",1,IF(INDEX('Guest Log'!$C:$C,Q324)="Draw",0.5,0)))))</f>
        <v/>
      </c>
      <c r="L324" s="12" t="str">
        <f>IF(C324="","",IF(C324="Match",32,IF(C324="Tournament",MIN(32*INDEX('Tournament Log'!$D:$D,E324),96),32)))</f>
        <v/>
      </c>
      <c r="M324" s="12" t="str">
        <f t="shared" si="27"/>
        <v/>
      </c>
      <c r="N324" s="12" t="str">
        <f t="shared" si="28"/>
        <v/>
      </c>
      <c r="O324" s="12" t="str">
        <f t="shared" si="29"/>
        <v/>
      </c>
      <c r="P324" s="12" t="str">
        <f>IF(C324="Tournament",INDEX('Tournament Log'!$B:$B,E324),IF(C324="Guest","Guest: "&amp;INDEX('Guest Log'!$H:$H,Q324),""))</f>
        <v/>
      </c>
      <c r="Q324" t="str">
        <f>IFERROR(MATCH($A324,'Guest Log'!$L$4:$L$203,0)+3,"")</f>
        <v/>
      </c>
    </row>
    <row r="325" spans="1:17" ht="15" customHeight="1" x14ac:dyDescent="0.2">
      <c r="A325" s="12">
        <f>324</f>
        <v>324</v>
      </c>
      <c r="B325" s="12" t="str">
        <f>IF(C325="","",IF(C325="Match",INDEX('Match Log'!$A:$A,D325),IF(C325="Tournament",INDEX('Tournament Log'!$A:$A,E325),INDEX('Guest Log'!$A:$A,Q325))))</f>
        <v/>
      </c>
      <c r="C325" s="12" t="str">
        <f t="shared" si="25"/>
        <v/>
      </c>
      <c r="D325" s="31" t="str">
        <f>IFERROR(MATCH($A325,'Match Log'!$K$3:$K$501,0)+2,"")</f>
        <v/>
      </c>
      <c r="E325" s="31" t="str">
        <f>IFERROR(MATCH($A325,'Tournament Log'!$O$4:$O$203,0)+3,"")</f>
        <v/>
      </c>
      <c r="F325" s="12" t="str">
        <f>IF(C325="","",IF(C325="Match",INDEX('Match Log'!$B:$B,D325),IF(C325="Tournament",INDEX('Tournament Log'!$C:$C,E325),INDEX('Guest Log'!$B:$B,Q325))))</f>
        <v/>
      </c>
      <c r="G325" s="12" t="str">
        <f>IF(C325="","",IF(C325="Match",INDEX('Match Log'!$C:$C,D325),IF(C325="Tournament",INDEX('Tournament Log'!$B:$B,E325)&amp;" (Phantom)",INDEX('Guest Log'!$H:$H,Q325)&amp;" (Guest)")))</f>
        <v/>
      </c>
      <c r="H325" s="32" t="str">
        <f t="array" ref="H325">IF(C325="","",IFERROR(LOOKUP(2,1/(($F$1:F324=F325)+($G$1:G324=F325)),IF($F$1:F324=F325,$N$1:N324,$O$1:O324)),1000))</f>
        <v/>
      </c>
      <c r="I325" s="12" t="str">
        <f t="array" ref="I325">IF(C325="","",IF(C325="Tournament",INDEX('Tournament Log'!$J:$J,E325),IF(C325="Guest",IF(INDEX('Guest Log'!$I:$I,Q325)="",1000,INDEX('Guest Log'!$I:$I,Q325)),IFERROR(LOOKUP(2,1/(($F$1:F324=G325)+($G$1:G324=G325)),IF($F$1:F324=G325,$N$1:N324,$O$1:O324)),1000))))</f>
        <v/>
      </c>
      <c r="J325" s="12" t="str">
        <f t="shared" si="26"/>
        <v/>
      </c>
      <c r="K325" s="12" t="str">
        <f>IF(C325="","",IF(C325="Match",IF(INDEX('Match Log'!$D:$D,D325)="Win",1,IF(INDEX('Match Log'!$D:$D,D325)="Draw",0.5,0)),IF(C325="Tournament",INDEX('Tournament Log'!$K:$K,E325),IF(INDEX('Guest Log'!$C:$C,Q325)="Win",1,IF(INDEX('Guest Log'!$C:$C,Q325)="Draw",0.5,0)))))</f>
        <v/>
      </c>
      <c r="L325" s="12" t="str">
        <f>IF(C325="","",IF(C325="Match",32,IF(C325="Tournament",MIN(32*INDEX('Tournament Log'!$D:$D,E325),96),32)))</f>
        <v/>
      </c>
      <c r="M325" s="12" t="str">
        <f t="shared" si="27"/>
        <v/>
      </c>
      <c r="N325" s="12" t="str">
        <f t="shared" si="28"/>
        <v/>
      </c>
      <c r="O325" s="12" t="str">
        <f t="shared" si="29"/>
        <v/>
      </c>
      <c r="P325" s="12" t="str">
        <f>IF(C325="Tournament",INDEX('Tournament Log'!$B:$B,E325),IF(C325="Guest","Guest: "&amp;INDEX('Guest Log'!$H:$H,Q325),""))</f>
        <v/>
      </c>
      <c r="Q325" t="str">
        <f>IFERROR(MATCH($A325,'Guest Log'!$L$4:$L$203,0)+3,"")</f>
        <v/>
      </c>
    </row>
    <row r="326" spans="1:17" ht="15" customHeight="1" x14ac:dyDescent="0.2">
      <c r="A326" s="12">
        <f>325</f>
        <v>325</v>
      </c>
      <c r="B326" s="12" t="str">
        <f>IF(C326="","",IF(C326="Match",INDEX('Match Log'!$A:$A,D326),IF(C326="Tournament",INDEX('Tournament Log'!$A:$A,E326),INDEX('Guest Log'!$A:$A,Q326))))</f>
        <v/>
      </c>
      <c r="C326" s="12" t="str">
        <f t="shared" si="25"/>
        <v/>
      </c>
      <c r="D326" s="31" t="str">
        <f>IFERROR(MATCH($A326,'Match Log'!$K$3:$K$501,0)+2,"")</f>
        <v/>
      </c>
      <c r="E326" s="31" t="str">
        <f>IFERROR(MATCH($A326,'Tournament Log'!$O$4:$O$203,0)+3,"")</f>
        <v/>
      </c>
      <c r="F326" s="12" t="str">
        <f>IF(C326="","",IF(C326="Match",INDEX('Match Log'!$B:$B,D326),IF(C326="Tournament",INDEX('Tournament Log'!$C:$C,E326),INDEX('Guest Log'!$B:$B,Q326))))</f>
        <v/>
      </c>
      <c r="G326" s="12" t="str">
        <f>IF(C326="","",IF(C326="Match",INDEX('Match Log'!$C:$C,D326),IF(C326="Tournament",INDEX('Tournament Log'!$B:$B,E326)&amp;" (Phantom)",INDEX('Guest Log'!$H:$H,Q326)&amp;" (Guest)")))</f>
        <v/>
      </c>
      <c r="H326" s="32" t="str">
        <f t="array" ref="H326">IF(C326="","",IFERROR(LOOKUP(2,1/(($F$1:F325=F326)+($G$1:G325=F326)),IF($F$1:F325=F326,$N$1:N325,$O$1:O325)),1000))</f>
        <v/>
      </c>
      <c r="I326" s="12" t="str">
        <f t="array" ref="I326">IF(C326="","",IF(C326="Tournament",INDEX('Tournament Log'!$J:$J,E326),IF(C326="Guest",IF(INDEX('Guest Log'!$I:$I,Q326)="",1000,INDEX('Guest Log'!$I:$I,Q326)),IFERROR(LOOKUP(2,1/(($F$1:F325=G326)+($G$1:G325=G326)),IF($F$1:F325=G326,$N$1:N325,$O$1:O325)),1000))))</f>
        <v/>
      </c>
      <c r="J326" s="12" t="str">
        <f t="shared" si="26"/>
        <v/>
      </c>
      <c r="K326" s="12" t="str">
        <f>IF(C326="","",IF(C326="Match",IF(INDEX('Match Log'!$D:$D,D326)="Win",1,IF(INDEX('Match Log'!$D:$D,D326)="Draw",0.5,0)),IF(C326="Tournament",INDEX('Tournament Log'!$K:$K,E326),IF(INDEX('Guest Log'!$C:$C,Q326)="Win",1,IF(INDEX('Guest Log'!$C:$C,Q326)="Draw",0.5,0)))))</f>
        <v/>
      </c>
      <c r="L326" s="12" t="str">
        <f>IF(C326="","",IF(C326="Match",32,IF(C326="Tournament",MIN(32*INDEX('Tournament Log'!$D:$D,E326),96),32)))</f>
        <v/>
      </c>
      <c r="M326" s="12" t="str">
        <f t="shared" si="27"/>
        <v/>
      </c>
      <c r="N326" s="12" t="str">
        <f t="shared" si="28"/>
        <v/>
      </c>
      <c r="O326" s="12" t="str">
        <f t="shared" si="29"/>
        <v/>
      </c>
      <c r="P326" s="12" t="str">
        <f>IF(C326="Tournament",INDEX('Tournament Log'!$B:$B,E326),IF(C326="Guest","Guest: "&amp;INDEX('Guest Log'!$H:$H,Q326),""))</f>
        <v/>
      </c>
      <c r="Q326" t="str">
        <f>IFERROR(MATCH($A326,'Guest Log'!$L$4:$L$203,0)+3,"")</f>
        <v/>
      </c>
    </row>
    <row r="327" spans="1:17" ht="15" customHeight="1" x14ac:dyDescent="0.2">
      <c r="A327" s="12">
        <f>326</f>
        <v>326</v>
      </c>
      <c r="B327" s="12" t="str">
        <f>IF(C327="","",IF(C327="Match",INDEX('Match Log'!$A:$A,D327),IF(C327="Tournament",INDEX('Tournament Log'!$A:$A,E327),INDEX('Guest Log'!$A:$A,Q327))))</f>
        <v/>
      </c>
      <c r="C327" s="12" t="str">
        <f t="shared" si="25"/>
        <v/>
      </c>
      <c r="D327" s="31" t="str">
        <f>IFERROR(MATCH($A327,'Match Log'!$K$3:$K$501,0)+2,"")</f>
        <v/>
      </c>
      <c r="E327" s="31" t="str">
        <f>IFERROR(MATCH($A327,'Tournament Log'!$O$4:$O$203,0)+3,"")</f>
        <v/>
      </c>
      <c r="F327" s="12" t="str">
        <f>IF(C327="","",IF(C327="Match",INDEX('Match Log'!$B:$B,D327),IF(C327="Tournament",INDEX('Tournament Log'!$C:$C,E327),INDEX('Guest Log'!$B:$B,Q327))))</f>
        <v/>
      </c>
      <c r="G327" s="12" t="str">
        <f>IF(C327="","",IF(C327="Match",INDEX('Match Log'!$C:$C,D327),IF(C327="Tournament",INDEX('Tournament Log'!$B:$B,E327)&amp;" (Phantom)",INDEX('Guest Log'!$H:$H,Q327)&amp;" (Guest)")))</f>
        <v/>
      </c>
      <c r="H327" s="32" t="str">
        <f t="array" ref="H327">IF(C327="","",IFERROR(LOOKUP(2,1/(($F$1:F326=F327)+($G$1:G326=F327)),IF($F$1:F326=F327,$N$1:N326,$O$1:O326)),1000))</f>
        <v/>
      </c>
      <c r="I327" s="12" t="str">
        <f t="array" ref="I327">IF(C327="","",IF(C327="Tournament",INDEX('Tournament Log'!$J:$J,E327),IF(C327="Guest",IF(INDEX('Guest Log'!$I:$I,Q327)="",1000,INDEX('Guest Log'!$I:$I,Q327)),IFERROR(LOOKUP(2,1/(($F$1:F326=G327)+($G$1:G326=G327)),IF($F$1:F326=G327,$N$1:N326,$O$1:O326)),1000))))</f>
        <v/>
      </c>
      <c r="J327" s="12" t="str">
        <f t="shared" si="26"/>
        <v/>
      </c>
      <c r="K327" s="12" t="str">
        <f>IF(C327="","",IF(C327="Match",IF(INDEX('Match Log'!$D:$D,D327)="Win",1,IF(INDEX('Match Log'!$D:$D,D327)="Draw",0.5,0)),IF(C327="Tournament",INDEX('Tournament Log'!$K:$K,E327),IF(INDEX('Guest Log'!$C:$C,Q327)="Win",1,IF(INDEX('Guest Log'!$C:$C,Q327)="Draw",0.5,0)))))</f>
        <v/>
      </c>
      <c r="L327" s="12" t="str">
        <f>IF(C327="","",IF(C327="Match",32,IF(C327="Tournament",MIN(32*INDEX('Tournament Log'!$D:$D,E327),96),32)))</f>
        <v/>
      </c>
      <c r="M327" s="12" t="str">
        <f t="shared" si="27"/>
        <v/>
      </c>
      <c r="N327" s="12" t="str">
        <f t="shared" si="28"/>
        <v/>
      </c>
      <c r="O327" s="12" t="str">
        <f t="shared" si="29"/>
        <v/>
      </c>
      <c r="P327" s="12" t="str">
        <f>IF(C327="Tournament",INDEX('Tournament Log'!$B:$B,E327),IF(C327="Guest","Guest: "&amp;INDEX('Guest Log'!$H:$H,Q327),""))</f>
        <v/>
      </c>
      <c r="Q327" t="str">
        <f>IFERROR(MATCH($A327,'Guest Log'!$L$4:$L$203,0)+3,"")</f>
        <v/>
      </c>
    </row>
    <row r="328" spans="1:17" ht="15" customHeight="1" x14ac:dyDescent="0.2">
      <c r="A328" s="12">
        <f>327</f>
        <v>327</v>
      </c>
      <c r="B328" s="12" t="str">
        <f>IF(C328="","",IF(C328="Match",INDEX('Match Log'!$A:$A,D328),IF(C328="Tournament",INDEX('Tournament Log'!$A:$A,E328),INDEX('Guest Log'!$A:$A,Q328))))</f>
        <v/>
      </c>
      <c r="C328" s="12" t="str">
        <f t="shared" si="25"/>
        <v/>
      </c>
      <c r="D328" s="31" t="str">
        <f>IFERROR(MATCH($A328,'Match Log'!$K$3:$K$501,0)+2,"")</f>
        <v/>
      </c>
      <c r="E328" s="31" t="str">
        <f>IFERROR(MATCH($A328,'Tournament Log'!$O$4:$O$203,0)+3,"")</f>
        <v/>
      </c>
      <c r="F328" s="12" t="str">
        <f>IF(C328="","",IF(C328="Match",INDEX('Match Log'!$B:$B,D328),IF(C328="Tournament",INDEX('Tournament Log'!$C:$C,E328),INDEX('Guest Log'!$B:$B,Q328))))</f>
        <v/>
      </c>
      <c r="G328" s="12" t="str">
        <f>IF(C328="","",IF(C328="Match",INDEX('Match Log'!$C:$C,D328),IF(C328="Tournament",INDEX('Tournament Log'!$B:$B,E328)&amp;" (Phantom)",INDEX('Guest Log'!$H:$H,Q328)&amp;" (Guest)")))</f>
        <v/>
      </c>
      <c r="H328" s="32" t="str">
        <f t="array" ref="H328">IF(C328="","",IFERROR(LOOKUP(2,1/(($F$1:F327=F328)+($G$1:G327=F328)),IF($F$1:F327=F328,$N$1:N327,$O$1:O327)),1000))</f>
        <v/>
      </c>
      <c r="I328" s="12" t="str">
        <f t="array" ref="I328">IF(C328="","",IF(C328="Tournament",INDEX('Tournament Log'!$J:$J,E328),IF(C328="Guest",IF(INDEX('Guest Log'!$I:$I,Q328)="",1000,INDEX('Guest Log'!$I:$I,Q328)),IFERROR(LOOKUP(2,1/(($F$1:F327=G328)+($G$1:G327=G328)),IF($F$1:F327=G328,$N$1:N327,$O$1:O327)),1000))))</f>
        <v/>
      </c>
      <c r="J328" s="12" t="str">
        <f t="shared" si="26"/>
        <v/>
      </c>
      <c r="K328" s="12" t="str">
        <f>IF(C328="","",IF(C328="Match",IF(INDEX('Match Log'!$D:$D,D328)="Win",1,IF(INDEX('Match Log'!$D:$D,D328)="Draw",0.5,0)),IF(C328="Tournament",INDEX('Tournament Log'!$K:$K,E328),IF(INDEX('Guest Log'!$C:$C,Q328)="Win",1,IF(INDEX('Guest Log'!$C:$C,Q328)="Draw",0.5,0)))))</f>
        <v/>
      </c>
      <c r="L328" s="12" t="str">
        <f>IF(C328="","",IF(C328="Match",32,IF(C328="Tournament",MIN(32*INDEX('Tournament Log'!$D:$D,E328),96),32)))</f>
        <v/>
      </c>
      <c r="M328" s="12" t="str">
        <f t="shared" si="27"/>
        <v/>
      </c>
      <c r="N328" s="12" t="str">
        <f t="shared" si="28"/>
        <v/>
      </c>
      <c r="O328" s="12" t="str">
        <f t="shared" si="29"/>
        <v/>
      </c>
      <c r="P328" s="12" t="str">
        <f>IF(C328="Tournament",INDEX('Tournament Log'!$B:$B,E328),IF(C328="Guest","Guest: "&amp;INDEX('Guest Log'!$H:$H,Q328),""))</f>
        <v/>
      </c>
      <c r="Q328" t="str">
        <f>IFERROR(MATCH($A328,'Guest Log'!$L$4:$L$203,0)+3,"")</f>
        <v/>
      </c>
    </row>
    <row r="329" spans="1:17" ht="15" customHeight="1" x14ac:dyDescent="0.2">
      <c r="A329" s="12">
        <f>328</f>
        <v>328</v>
      </c>
      <c r="B329" s="12" t="str">
        <f>IF(C329="","",IF(C329="Match",INDEX('Match Log'!$A:$A,D329),IF(C329="Tournament",INDEX('Tournament Log'!$A:$A,E329),INDEX('Guest Log'!$A:$A,Q329))))</f>
        <v/>
      </c>
      <c r="C329" s="12" t="str">
        <f t="shared" si="25"/>
        <v/>
      </c>
      <c r="D329" s="31" t="str">
        <f>IFERROR(MATCH($A329,'Match Log'!$K$3:$K$501,0)+2,"")</f>
        <v/>
      </c>
      <c r="E329" s="31" t="str">
        <f>IFERROR(MATCH($A329,'Tournament Log'!$O$4:$O$203,0)+3,"")</f>
        <v/>
      </c>
      <c r="F329" s="12" t="str">
        <f>IF(C329="","",IF(C329="Match",INDEX('Match Log'!$B:$B,D329),IF(C329="Tournament",INDEX('Tournament Log'!$C:$C,E329),INDEX('Guest Log'!$B:$B,Q329))))</f>
        <v/>
      </c>
      <c r="G329" s="12" t="str">
        <f>IF(C329="","",IF(C329="Match",INDEX('Match Log'!$C:$C,D329),IF(C329="Tournament",INDEX('Tournament Log'!$B:$B,E329)&amp;" (Phantom)",INDEX('Guest Log'!$H:$H,Q329)&amp;" (Guest)")))</f>
        <v/>
      </c>
      <c r="H329" s="32" t="str">
        <f t="array" ref="H329">IF(C329="","",IFERROR(LOOKUP(2,1/(($F$1:F328=F329)+($G$1:G328=F329)),IF($F$1:F328=F329,$N$1:N328,$O$1:O328)),1000))</f>
        <v/>
      </c>
      <c r="I329" s="12" t="str">
        <f t="array" ref="I329">IF(C329="","",IF(C329="Tournament",INDEX('Tournament Log'!$J:$J,E329),IF(C329="Guest",IF(INDEX('Guest Log'!$I:$I,Q329)="",1000,INDEX('Guest Log'!$I:$I,Q329)),IFERROR(LOOKUP(2,1/(($F$1:F328=G329)+($G$1:G328=G329)),IF($F$1:F328=G329,$N$1:N328,$O$1:O328)),1000))))</f>
        <v/>
      </c>
      <c r="J329" s="12" t="str">
        <f t="shared" si="26"/>
        <v/>
      </c>
      <c r="K329" s="12" t="str">
        <f>IF(C329="","",IF(C329="Match",IF(INDEX('Match Log'!$D:$D,D329)="Win",1,IF(INDEX('Match Log'!$D:$D,D329)="Draw",0.5,0)),IF(C329="Tournament",INDEX('Tournament Log'!$K:$K,E329),IF(INDEX('Guest Log'!$C:$C,Q329)="Win",1,IF(INDEX('Guest Log'!$C:$C,Q329)="Draw",0.5,0)))))</f>
        <v/>
      </c>
      <c r="L329" s="12" t="str">
        <f>IF(C329="","",IF(C329="Match",32,IF(C329="Tournament",MIN(32*INDEX('Tournament Log'!$D:$D,E329),96),32)))</f>
        <v/>
      </c>
      <c r="M329" s="12" t="str">
        <f t="shared" si="27"/>
        <v/>
      </c>
      <c r="N329" s="12" t="str">
        <f t="shared" si="28"/>
        <v/>
      </c>
      <c r="O329" s="12" t="str">
        <f t="shared" si="29"/>
        <v/>
      </c>
      <c r="P329" s="12" t="str">
        <f>IF(C329="Tournament",INDEX('Tournament Log'!$B:$B,E329),IF(C329="Guest","Guest: "&amp;INDEX('Guest Log'!$H:$H,Q329),""))</f>
        <v/>
      </c>
      <c r="Q329" t="str">
        <f>IFERROR(MATCH($A329,'Guest Log'!$L$4:$L$203,0)+3,"")</f>
        <v/>
      </c>
    </row>
    <row r="330" spans="1:17" ht="15" customHeight="1" x14ac:dyDescent="0.2">
      <c r="A330" s="12">
        <f>329</f>
        <v>329</v>
      </c>
      <c r="B330" s="12" t="str">
        <f>IF(C330="","",IF(C330="Match",INDEX('Match Log'!$A:$A,D330),IF(C330="Tournament",INDEX('Tournament Log'!$A:$A,E330),INDEX('Guest Log'!$A:$A,Q330))))</f>
        <v/>
      </c>
      <c r="C330" s="12" t="str">
        <f t="shared" si="25"/>
        <v/>
      </c>
      <c r="D330" s="31" t="str">
        <f>IFERROR(MATCH($A330,'Match Log'!$K$3:$K$501,0)+2,"")</f>
        <v/>
      </c>
      <c r="E330" s="31" t="str">
        <f>IFERROR(MATCH($A330,'Tournament Log'!$O$4:$O$203,0)+3,"")</f>
        <v/>
      </c>
      <c r="F330" s="12" t="str">
        <f>IF(C330="","",IF(C330="Match",INDEX('Match Log'!$B:$B,D330),IF(C330="Tournament",INDEX('Tournament Log'!$C:$C,E330),INDEX('Guest Log'!$B:$B,Q330))))</f>
        <v/>
      </c>
      <c r="G330" s="12" t="str">
        <f>IF(C330="","",IF(C330="Match",INDEX('Match Log'!$C:$C,D330),IF(C330="Tournament",INDEX('Tournament Log'!$B:$B,E330)&amp;" (Phantom)",INDEX('Guest Log'!$H:$H,Q330)&amp;" (Guest)")))</f>
        <v/>
      </c>
      <c r="H330" s="32" t="str">
        <f t="array" ref="H330">IF(C330="","",IFERROR(LOOKUP(2,1/(($F$1:F329=F330)+($G$1:G329=F330)),IF($F$1:F329=F330,$N$1:N329,$O$1:O329)),1000))</f>
        <v/>
      </c>
      <c r="I330" s="12" t="str">
        <f t="array" ref="I330">IF(C330="","",IF(C330="Tournament",INDEX('Tournament Log'!$J:$J,E330),IF(C330="Guest",IF(INDEX('Guest Log'!$I:$I,Q330)="",1000,INDEX('Guest Log'!$I:$I,Q330)),IFERROR(LOOKUP(2,1/(($F$1:F329=G330)+($G$1:G329=G330)),IF($F$1:F329=G330,$N$1:N329,$O$1:O329)),1000))))</f>
        <v/>
      </c>
      <c r="J330" s="12" t="str">
        <f t="shared" si="26"/>
        <v/>
      </c>
      <c r="K330" s="12" t="str">
        <f>IF(C330="","",IF(C330="Match",IF(INDEX('Match Log'!$D:$D,D330)="Win",1,IF(INDEX('Match Log'!$D:$D,D330)="Draw",0.5,0)),IF(C330="Tournament",INDEX('Tournament Log'!$K:$K,E330),IF(INDEX('Guest Log'!$C:$C,Q330)="Win",1,IF(INDEX('Guest Log'!$C:$C,Q330)="Draw",0.5,0)))))</f>
        <v/>
      </c>
      <c r="L330" s="12" t="str">
        <f>IF(C330="","",IF(C330="Match",32,IF(C330="Tournament",MIN(32*INDEX('Tournament Log'!$D:$D,E330),96),32)))</f>
        <v/>
      </c>
      <c r="M330" s="12" t="str">
        <f t="shared" si="27"/>
        <v/>
      </c>
      <c r="N330" s="12" t="str">
        <f t="shared" si="28"/>
        <v/>
      </c>
      <c r="O330" s="12" t="str">
        <f t="shared" si="29"/>
        <v/>
      </c>
      <c r="P330" s="12" t="str">
        <f>IF(C330="Tournament",INDEX('Tournament Log'!$B:$B,E330),IF(C330="Guest","Guest: "&amp;INDEX('Guest Log'!$H:$H,Q330),""))</f>
        <v/>
      </c>
      <c r="Q330" t="str">
        <f>IFERROR(MATCH($A330,'Guest Log'!$L$4:$L$203,0)+3,"")</f>
        <v/>
      </c>
    </row>
    <row r="331" spans="1:17" ht="15" customHeight="1" x14ac:dyDescent="0.2">
      <c r="A331" s="12">
        <f>330</f>
        <v>330</v>
      </c>
      <c r="B331" s="12" t="str">
        <f>IF(C331="","",IF(C331="Match",INDEX('Match Log'!$A:$A,D331),IF(C331="Tournament",INDEX('Tournament Log'!$A:$A,E331),INDEX('Guest Log'!$A:$A,Q331))))</f>
        <v/>
      </c>
      <c r="C331" s="12" t="str">
        <f t="shared" si="25"/>
        <v/>
      </c>
      <c r="D331" s="31" t="str">
        <f>IFERROR(MATCH($A331,'Match Log'!$K$3:$K$501,0)+2,"")</f>
        <v/>
      </c>
      <c r="E331" s="31" t="str">
        <f>IFERROR(MATCH($A331,'Tournament Log'!$O$4:$O$203,0)+3,"")</f>
        <v/>
      </c>
      <c r="F331" s="12" t="str">
        <f>IF(C331="","",IF(C331="Match",INDEX('Match Log'!$B:$B,D331),IF(C331="Tournament",INDEX('Tournament Log'!$C:$C,E331),INDEX('Guest Log'!$B:$B,Q331))))</f>
        <v/>
      </c>
      <c r="G331" s="12" t="str">
        <f>IF(C331="","",IF(C331="Match",INDEX('Match Log'!$C:$C,D331),IF(C331="Tournament",INDEX('Tournament Log'!$B:$B,E331)&amp;" (Phantom)",INDEX('Guest Log'!$H:$H,Q331)&amp;" (Guest)")))</f>
        <v/>
      </c>
      <c r="H331" s="32" t="str">
        <f t="array" ref="H331">IF(C331="","",IFERROR(LOOKUP(2,1/(($F$1:F330=F331)+($G$1:G330=F331)),IF($F$1:F330=F331,$N$1:N330,$O$1:O330)),1000))</f>
        <v/>
      </c>
      <c r="I331" s="12" t="str">
        <f t="array" ref="I331">IF(C331="","",IF(C331="Tournament",INDEX('Tournament Log'!$J:$J,E331),IF(C331="Guest",IF(INDEX('Guest Log'!$I:$I,Q331)="",1000,INDEX('Guest Log'!$I:$I,Q331)),IFERROR(LOOKUP(2,1/(($F$1:F330=G331)+($G$1:G330=G331)),IF($F$1:F330=G331,$N$1:N330,$O$1:O330)),1000))))</f>
        <v/>
      </c>
      <c r="J331" s="12" t="str">
        <f t="shared" si="26"/>
        <v/>
      </c>
      <c r="K331" s="12" t="str">
        <f>IF(C331="","",IF(C331="Match",IF(INDEX('Match Log'!$D:$D,D331)="Win",1,IF(INDEX('Match Log'!$D:$D,D331)="Draw",0.5,0)),IF(C331="Tournament",INDEX('Tournament Log'!$K:$K,E331),IF(INDEX('Guest Log'!$C:$C,Q331)="Win",1,IF(INDEX('Guest Log'!$C:$C,Q331)="Draw",0.5,0)))))</f>
        <v/>
      </c>
      <c r="L331" s="12" t="str">
        <f>IF(C331="","",IF(C331="Match",32,IF(C331="Tournament",MIN(32*INDEX('Tournament Log'!$D:$D,E331),96),32)))</f>
        <v/>
      </c>
      <c r="M331" s="12" t="str">
        <f t="shared" si="27"/>
        <v/>
      </c>
      <c r="N331" s="12" t="str">
        <f t="shared" si="28"/>
        <v/>
      </c>
      <c r="O331" s="12" t="str">
        <f t="shared" si="29"/>
        <v/>
      </c>
      <c r="P331" s="12" t="str">
        <f>IF(C331="Tournament",INDEX('Tournament Log'!$B:$B,E331),IF(C331="Guest","Guest: "&amp;INDEX('Guest Log'!$H:$H,Q331),""))</f>
        <v/>
      </c>
      <c r="Q331" t="str">
        <f>IFERROR(MATCH($A331,'Guest Log'!$L$4:$L$203,0)+3,"")</f>
        <v/>
      </c>
    </row>
    <row r="332" spans="1:17" ht="15" customHeight="1" x14ac:dyDescent="0.2">
      <c r="A332" s="12">
        <f>331</f>
        <v>331</v>
      </c>
      <c r="B332" s="12" t="str">
        <f>IF(C332="","",IF(C332="Match",INDEX('Match Log'!$A:$A,D332),IF(C332="Tournament",INDEX('Tournament Log'!$A:$A,E332),INDEX('Guest Log'!$A:$A,Q332))))</f>
        <v/>
      </c>
      <c r="C332" s="12" t="str">
        <f t="shared" si="25"/>
        <v/>
      </c>
      <c r="D332" s="31" t="str">
        <f>IFERROR(MATCH($A332,'Match Log'!$K$3:$K$501,0)+2,"")</f>
        <v/>
      </c>
      <c r="E332" s="31" t="str">
        <f>IFERROR(MATCH($A332,'Tournament Log'!$O$4:$O$203,0)+3,"")</f>
        <v/>
      </c>
      <c r="F332" s="12" t="str">
        <f>IF(C332="","",IF(C332="Match",INDEX('Match Log'!$B:$B,D332),IF(C332="Tournament",INDEX('Tournament Log'!$C:$C,E332),INDEX('Guest Log'!$B:$B,Q332))))</f>
        <v/>
      </c>
      <c r="G332" s="12" t="str">
        <f>IF(C332="","",IF(C332="Match",INDEX('Match Log'!$C:$C,D332),IF(C332="Tournament",INDEX('Tournament Log'!$B:$B,E332)&amp;" (Phantom)",INDEX('Guest Log'!$H:$H,Q332)&amp;" (Guest)")))</f>
        <v/>
      </c>
      <c r="H332" s="32" t="str">
        <f t="array" ref="H332">IF(C332="","",IFERROR(LOOKUP(2,1/(($F$1:F331=F332)+($G$1:G331=F332)),IF($F$1:F331=F332,$N$1:N331,$O$1:O331)),1000))</f>
        <v/>
      </c>
      <c r="I332" s="12" t="str">
        <f t="array" ref="I332">IF(C332="","",IF(C332="Tournament",INDEX('Tournament Log'!$J:$J,E332),IF(C332="Guest",IF(INDEX('Guest Log'!$I:$I,Q332)="",1000,INDEX('Guest Log'!$I:$I,Q332)),IFERROR(LOOKUP(2,1/(($F$1:F331=G332)+($G$1:G331=G332)),IF($F$1:F331=G332,$N$1:N331,$O$1:O331)),1000))))</f>
        <v/>
      </c>
      <c r="J332" s="12" t="str">
        <f t="shared" si="26"/>
        <v/>
      </c>
      <c r="K332" s="12" t="str">
        <f>IF(C332="","",IF(C332="Match",IF(INDEX('Match Log'!$D:$D,D332)="Win",1,IF(INDEX('Match Log'!$D:$D,D332)="Draw",0.5,0)),IF(C332="Tournament",INDEX('Tournament Log'!$K:$K,E332),IF(INDEX('Guest Log'!$C:$C,Q332)="Win",1,IF(INDEX('Guest Log'!$C:$C,Q332)="Draw",0.5,0)))))</f>
        <v/>
      </c>
      <c r="L332" s="12" t="str">
        <f>IF(C332="","",IF(C332="Match",32,IF(C332="Tournament",MIN(32*INDEX('Tournament Log'!$D:$D,E332),96),32)))</f>
        <v/>
      </c>
      <c r="M332" s="12" t="str">
        <f t="shared" si="27"/>
        <v/>
      </c>
      <c r="N332" s="12" t="str">
        <f t="shared" si="28"/>
        <v/>
      </c>
      <c r="O332" s="12" t="str">
        <f t="shared" si="29"/>
        <v/>
      </c>
      <c r="P332" s="12" t="str">
        <f>IF(C332="Tournament",INDEX('Tournament Log'!$B:$B,E332),IF(C332="Guest","Guest: "&amp;INDEX('Guest Log'!$H:$H,Q332),""))</f>
        <v/>
      </c>
      <c r="Q332" t="str">
        <f>IFERROR(MATCH($A332,'Guest Log'!$L$4:$L$203,0)+3,"")</f>
        <v/>
      </c>
    </row>
    <row r="333" spans="1:17" ht="15" customHeight="1" x14ac:dyDescent="0.2">
      <c r="A333" s="12">
        <f>332</f>
        <v>332</v>
      </c>
      <c r="B333" s="12" t="str">
        <f>IF(C333="","",IF(C333="Match",INDEX('Match Log'!$A:$A,D333),IF(C333="Tournament",INDEX('Tournament Log'!$A:$A,E333),INDEX('Guest Log'!$A:$A,Q333))))</f>
        <v/>
      </c>
      <c r="C333" s="12" t="str">
        <f t="shared" si="25"/>
        <v/>
      </c>
      <c r="D333" s="31" t="str">
        <f>IFERROR(MATCH($A333,'Match Log'!$K$3:$K$501,0)+2,"")</f>
        <v/>
      </c>
      <c r="E333" s="31" t="str">
        <f>IFERROR(MATCH($A333,'Tournament Log'!$O$4:$O$203,0)+3,"")</f>
        <v/>
      </c>
      <c r="F333" s="12" t="str">
        <f>IF(C333="","",IF(C333="Match",INDEX('Match Log'!$B:$B,D333),IF(C333="Tournament",INDEX('Tournament Log'!$C:$C,E333),INDEX('Guest Log'!$B:$B,Q333))))</f>
        <v/>
      </c>
      <c r="G333" s="12" t="str">
        <f>IF(C333="","",IF(C333="Match",INDEX('Match Log'!$C:$C,D333),IF(C333="Tournament",INDEX('Tournament Log'!$B:$B,E333)&amp;" (Phantom)",INDEX('Guest Log'!$H:$H,Q333)&amp;" (Guest)")))</f>
        <v/>
      </c>
      <c r="H333" s="32" t="str">
        <f t="array" ref="H333">IF(C333="","",IFERROR(LOOKUP(2,1/(($F$1:F332=F333)+($G$1:G332=F333)),IF($F$1:F332=F333,$N$1:N332,$O$1:O332)),1000))</f>
        <v/>
      </c>
      <c r="I333" s="12" t="str">
        <f t="array" ref="I333">IF(C333="","",IF(C333="Tournament",INDEX('Tournament Log'!$J:$J,E333),IF(C333="Guest",IF(INDEX('Guest Log'!$I:$I,Q333)="",1000,INDEX('Guest Log'!$I:$I,Q333)),IFERROR(LOOKUP(2,1/(($F$1:F332=G333)+($G$1:G332=G333)),IF($F$1:F332=G333,$N$1:N332,$O$1:O332)),1000))))</f>
        <v/>
      </c>
      <c r="J333" s="12" t="str">
        <f t="shared" si="26"/>
        <v/>
      </c>
      <c r="K333" s="12" t="str">
        <f>IF(C333="","",IF(C333="Match",IF(INDEX('Match Log'!$D:$D,D333)="Win",1,IF(INDEX('Match Log'!$D:$D,D333)="Draw",0.5,0)),IF(C333="Tournament",INDEX('Tournament Log'!$K:$K,E333),IF(INDEX('Guest Log'!$C:$C,Q333)="Win",1,IF(INDEX('Guest Log'!$C:$C,Q333)="Draw",0.5,0)))))</f>
        <v/>
      </c>
      <c r="L333" s="12" t="str">
        <f>IF(C333="","",IF(C333="Match",32,IF(C333="Tournament",MIN(32*INDEX('Tournament Log'!$D:$D,E333),96),32)))</f>
        <v/>
      </c>
      <c r="M333" s="12" t="str">
        <f t="shared" si="27"/>
        <v/>
      </c>
      <c r="N333" s="12" t="str">
        <f t="shared" si="28"/>
        <v/>
      </c>
      <c r="O333" s="12" t="str">
        <f t="shared" si="29"/>
        <v/>
      </c>
      <c r="P333" s="12" t="str">
        <f>IF(C333="Tournament",INDEX('Tournament Log'!$B:$B,E333),IF(C333="Guest","Guest: "&amp;INDEX('Guest Log'!$H:$H,Q333),""))</f>
        <v/>
      </c>
      <c r="Q333" t="str">
        <f>IFERROR(MATCH($A333,'Guest Log'!$L$4:$L$203,0)+3,"")</f>
        <v/>
      </c>
    </row>
    <row r="334" spans="1:17" ht="15" customHeight="1" x14ac:dyDescent="0.2">
      <c r="A334" s="12">
        <f>333</f>
        <v>333</v>
      </c>
      <c r="B334" s="12" t="str">
        <f>IF(C334="","",IF(C334="Match",INDEX('Match Log'!$A:$A,D334),IF(C334="Tournament",INDEX('Tournament Log'!$A:$A,E334),INDEX('Guest Log'!$A:$A,Q334))))</f>
        <v/>
      </c>
      <c r="C334" s="12" t="str">
        <f t="shared" si="25"/>
        <v/>
      </c>
      <c r="D334" s="31" t="str">
        <f>IFERROR(MATCH($A334,'Match Log'!$K$3:$K$501,0)+2,"")</f>
        <v/>
      </c>
      <c r="E334" s="31" t="str">
        <f>IFERROR(MATCH($A334,'Tournament Log'!$O$4:$O$203,0)+3,"")</f>
        <v/>
      </c>
      <c r="F334" s="12" t="str">
        <f>IF(C334="","",IF(C334="Match",INDEX('Match Log'!$B:$B,D334),IF(C334="Tournament",INDEX('Tournament Log'!$C:$C,E334),INDEX('Guest Log'!$B:$B,Q334))))</f>
        <v/>
      </c>
      <c r="G334" s="12" t="str">
        <f>IF(C334="","",IF(C334="Match",INDEX('Match Log'!$C:$C,D334),IF(C334="Tournament",INDEX('Tournament Log'!$B:$B,E334)&amp;" (Phantom)",INDEX('Guest Log'!$H:$H,Q334)&amp;" (Guest)")))</f>
        <v/>
      </c>
      <c r="H334" s="32" t="str">
        <f t="array" ref="H334">IF(C334="","",IFERROR(LOOKUP(2,1/(($F$1:F333=F334)+($G$1:G333=F334)),IF($F$1:F333=F334,$N$1:N333,$O$1:O333)),1000))</f>
        <v/>
      </c>
      <c r="I334" s="12" t="str">
        <f t="array" ref="I334">IF(C334="","",IF(C334="Tournament",INDEX('Tournament Log'!$J:$J,E334),IF(C334="Guest",IF(INDEX('Guest Log'!$I:$I,Q334)="",1000,INDEX('Guest Log'!$I:$I,Q334)),IFERROR(LOOKUP(2,1/(($F$1:F333=G334)+($G$1:G333=G334)),IF($F$1:F333=G334,$N$1:N333,$O$1:O333)),1000))))</f>
        <v/>
      </c>
      <c r="J334" s="12" t="str">
        <f t="shared" si="26"/>
        <v/>
      </c>
      <c r="K334" s="12" t="str">
        <f>IF(C334="","",IF(C334="Match",IF(INDEX('Match Log'!$D:$D,D334)="Win",1,IF(INDEX('Match Log'!$D:$D,D334)="Draw",0.5,0)),IF(C334="Tournament",INDEX('Tournament Log'!$K:$K,E334),IF(INDEX('Guest Log'!$C:$C,Q334)="Win",1,IF(INDEX('Guest Log'!$C:$C,Q334)="Draw",0.5,0)))))</f>
        <v/>
      </c>
      <c r="L334" s="12" t="str">
        <f>IF(C334="","",IF(C334="Match",32,IF(C334="Tournament",MIN(32*INDEX('Tournament Log'!$D:$D,E334),96),32)))</f>
        <v/>
      </c>
      <c r="M334" s="12" t="str">
        <f t="shared" si="27"/>
        <v/>
      </c>
      <c r="N334" s="12" t="str">
        <f t="shared" si="28"/>
        <v/>
      </c>
      <c r="O334" s="12" t="str">
        <f t="shared" si="29"/>
        <v/>
      </c>
      <c r="P334" s="12" t="str">
        <f>IF(C334="Tournament",INDEX('Tournament Log'!$B:$B,E334),IF(C334="Guest","Guest: "&amp;INDEX('Guest Log'!$H:$H,Q334),""))</f>
        <v/>
      </c>
      <c r="Q334" t="str">
        <f>IFERROR(MATCH($A334,'Guest Log'!$L$4:$L$203,0)+3,"")</f>
        <v/>
      </c>
    </row>
    <row r="335" spans="1:17" ht="15" customHeight="1" x14ac:dyDescent="0.2">
      <c r="A335" s="12">
        <f>334</f>
        <v>334</v>
      </c>
      <c r="B335" s="12" t="str">
        <f>IF(C335="","",IF(C335="Match",INDEX('Match Log'!$A:$A,D335),IF(C335="Tournament",INDEX('Tournament Log'!$A:$A,E335),INDEX('Guest Log'!$A:$A,Q335))))</f>
        <v/>
      </c>
      <c r="C335" s="12" t="str">
        <f t="shared" si="25"/>
        <v/>
      </c>
      <c r="D335" s="31" t="str">
        <f>IFERROR(MATCH($A335,'Match Log'!$K$3:$K$501,0)+2,"")</f>
        <v/>
      </c>
      <c r="E335" s="31" t="str">
        <f>IFERROR(MATCH($A335,'Tournament Log'!$O$4:$O$203,0)+3,"")</f>
        <v/>
      </c>
      <c r="F335" s="12" t="str">
        <f>IF(C335="","",IF(C335="Match",INDEX('Match Log'!$B:$B,D335),IF(C335="Tournament",INDEX('Tournament Log'!$C:$C,E335),INDEX('Guest Log'!$B:$B,Q335))))</f>
        <v/>
      </c>
      <c r="G335" s="12" t="str">
        <f>IF(C335="","",IF(C335="Match",INDEX('Match Log'!$C:$C,D335),IF(C335="Tournament",INDEX('Tournament Log'!$B:$B,E335)&amp;" (Phantom)",INDEX('Guest Log'!$H:$H,Q335)&amp;" (Guest)")))</f>
        <v/>
      </c>
      <c r="H335" s="32" t="str">
        <f t="array" ref="H335">IF(C335="","",IFERROR(LOOKUP(2,1/(($F$1:F334=F335)+($G$1:G334=F335)),IF($F$1:F334=F335,$N$1:N334,$O$1:O334)),1000))</f>
        <v/>
      </c>
      <c r="I335" s="12" t="str">
        <f t="array" ref="I335">IF(C335="","",IF(C335="Tournament",INDEX('Tournament Log'!$J:$J,E335),IF(C335="Guest",IF(INDEX('Guest Log'!$I:$I,Q335)="",1000,INDEX('Guest Log'!$I:$I,Q335)),IFERROR(LOOKUP(2,1/(($F$1:F334=G335)+($G$1:G334=G335)),IF($F$1:F334=G335,$N$1:N334,$O$1:O334)),1000))))</f>
        <v/>
      </c>
      <c r="J335" s="12" t="str">
        <f t="shared" si="26"/>
        <v/>
      </c>
      <c r="K335" s="12" t="str">
        <f>IF(C335="","",IF(C335="Match",IF(INDEX('Match Log'!$D:$D,D335)="Win",1,IF(INDEX('Match Log'!$D:$D,D335)="Draw",0.5,0)),IF(C335="Tournament",INDEX('Tournament Log'!$K:$K,E335),IF(INDEX('Guest Log'!$C:$C,Q335)="Win",1,IF(INDEX('Guest Log'!$C:$C,Q335)="Draw",0.5,0)))))</f>
        <v/>
      </c>
      <c r="L335" s="12" t="str">
        <f>IF(C335="","",IF(C335="Match",32,IF(C335="Tournament",MIN(32*INDEX('Tournament Log'!$D:$D,E335),96),32)))</f>
        <v/>
      </c>
      <c r="M335" s="12" t="str">
        <f t="shared" si="27"/>
        <v/>
      </c>
      <c r="N335" s="12" t="str">
        <f t="shared" si="28"/>
        <v/>
      </c>
      <c r="O335" s="12" t="str">
        <f t="shared" si="29"/>
        <v/>
      </c>
      <c r="P335" s="12" t="str">
        <f>IF(C335="Tournament",INDEX('Tournament Log'!$B:$B,E335),IF(C335="Guest","Guest: "&amp;INDEX('Guest Log'!$H:$H,Q335),""))</f>
        <v/>
      </c>
      <c r="Q335" t="str">
        <f>IFERROR(MATCH($A335,'Guest Log'!$L$4:$L$203,0)+3,"")</f>
        <v/>
      </c>
    </row>
    <row r="336" spans="1:17" ht="15" customHeight="1" x14ac:dyDescent="0.2">
      <c r="A336" s="12">
        <f>335</f>
        <v>335</v>
      </c>
      <c r="B336" s="12" t="str">
        <f>IF(C336="","",IF(C336="Match",INDEX('Match Log'!$A:$A,D336),IF(C336="Tournament",INDEX('Tournament Log'!$A:$A,E336),INDEX('Guest Log'!$A:$A,Q336))))</f>
        <v/>
      </c>
      <c r="C336" s="12" t="str">
        <f t="shared" si="25"/>
        <v/>
      </c>
      <c r="D336" s="31" t="str">
        <f>IFERROR(MATCH($A336,'Match Log'!$K$3:$K$501,0)+2,"")</f>
        <v/>
      </c>
      <c r="E336" s="31" t="str">
        <f>IFERROR(MATCH($A336,'Tournament Log'!$O$4:$O$203,0)+3,"")</f>
        <v/>
      </c>
      <c r="F336" s="12" t="str">
        <f>IF(C336="","",IF(C336="Match",INDEX('Match Log'!$B:$B,D336),IF(C336="Tournament",INDEX('Tournament Log'!$C:$C,E336),INDEX('Guest Log'!$B:$B,Q336))))</f>
        <v/>
      </c>
      <c r="G336" s="12" t="str">
        <f>IF(C336="","",IF(C336="Match",INDEX('Match Log'!$C:$C,D336),IF(C336="Tournament",INDEX('Tournament Log'!$B:$B,E336)&amp;" (Phantom)",INDEX('Guest Log'!$H:$H,Q336)&amp;" (Guest)")))</f>
        <v/>
      </c>
      <c r="H336" s="32" t="str">
        <f t="array" ref="H336">IF(C336="","",IFERROR(LOOKUP(2,1/(($F$1:F335=F336)+($G$1:G335=F336)),IF($F$1:F335=F336,$N$1:N335,$O$1:O335)),1000))</f>
        <v/>
      </c>
      <c r="I336" s="12" t="str">
        <f t="array" ref="I336">IF(C336="","",IF(C336="Tournament",INDEX('Tournament Log'!$J:$J,E336),IF(C336="Guest",IF(INDEX('Guest Log'!$I:$I,Q336)="",1000,INDEX('Guest Log'!$I:$I,Q336)),IFERROR(LOOKUP(2,1/(($F$1:F335=G336)+($G$1:G335=G336)),IF($F$1:F335=G336,$N$1:N335,$O$1:O335)),1000))))</f>
        <v/>
      </c>
      <c r="J336" s="12" t="str">
        <f t="shared" si="26"/>
        <v/>
      </c>
      <c r="K336" s="12" t="str">
        <f>IF(C336="","",IF(C336="Match",IF(INDEX('Match Log'!$D:$D,D336)="Win",1,IF(INDEX('Match Log'!$D:$D,D336)="Draw",0.5,0)),IF(C336="Tournament",INDEX('Tournament Log'!$K:$K,E336),IF(INDEX('Guest Log'!$C:$C,Q336)="Win",1,IF(INDEX('Guest Log'!$C:$C,Q336)="Draw",0.5,0)))))</f>
        <v/>
      </c>
      <c r="L336" s="12" t="str">
        <f>IF(C336="","",IF(C336="Match",32,IF(C336="Tournament",MIN(32*INDEX('Tournament Log'!$D:$D,E336),96),32)))</f>
        <v/>
      </c>
      <c r="M336" s="12" t="str">
        <f t="shared" si="27"/>
        <v/>
      </c>
      <c r="N336" s="12" t="str">
        <f t="shared" si="28"/>
        <v/>
      </c>
      <c r="O336" s="12" t="str">
        <f t="shared" si="29"/>
        <v/>
      </c>
      <c r="P336" s="12" t="str">
        <f>IF(C336="Tournament",INDEX('Tournament Log'!$B:$B,E336),IF(C336="Guest","Guest: "&amp;INDEX('Guest Log'!$H:$H,Q336),""))</f>
        <v/>
      </c>
      <c r="Q336" t="str">
        <f>IFERROR(MATCH($A336,'Guest Log'!$L$4:$L$203,0)+3,"")</f>
        <v/>
      </c>
    </row>
    <row r="337" spans="1:17" ht="15" customHeight="1" x14ac:dyDescent="0.2">
      <c r="A337" s="12">
        <f>336</f>
        <v>336</v>
      </c>
      <c r="B337" s="12" t="str">
        <f>IF(C337="","",IF(C337="Match",INDEX('Match Log'!$A:$A,D337),IF(C337="Tournament",INDEX('Tournament Log'!$A:$A,E337),INDEX('Guest Log'!$A:$A,Q337))))</f>
        <v/>
      </c>
      <c r="C337" s="12" t="str">
        <f t="shared" si="25"/>
        <v/>
      </c>
      <c r="D337" s="31" t="str">
        <f>IFERROR(MATCH($A337,'Match Log'!$K$3:$K$501,0)+2,"")</f>
        <v/>
      </c>
      <c r="E337" s="31" t="str">
        <f>IFERROR(MATCH($A337,'Tournament Log'!$O$4:$O$203,0)+3,"")</f>
        <v/>
      </c>
      <c r="F337" s="12" t="str">
        <f>IF(C337="","",IF(C337="Match",INDEX('Match Log'!$B:$B,D337),IF(C337="Tournament",INDEX('Tournament Log'!$C:$C,E337),INDEX('Guest Log'!$B:$B,Q337))))</f>
        <v/>
      </c>
      <c r="G337" s="12" t="str">
        <f>IF(C337="","",IF(C337="Match",INDEX('Match Log'!$C:$C,D337),IF(C337="Tournament",INDEX('Tournament Log'!$B:$B,E337)&amp;" (Phantom)",INDEX('Guest Log'!$H:$H,Q337)&amp;" (Guest)")))</f>
        <v/>
      </c>
      <c r="H337" s="32" t="str">
        <f t="array" ref="H337">IF(C337="","",IFERROR(LOOKUP(2,1/(($F$1:F336=F337)+($G$1:G336=F337)),IF($F$1:F336=F337,$N$1:N336,$O$1:O336)),1000))</f>
        <v/>
      </c>
      <c r="I337" s="12" t="str">
        <f t="array" ref="I337">IF(C337="","",IF(C337="Tournament",INDEX('Tournament Log'!$J:$J,E337),IF(C337="Guest",IF(INDEX('Guest Log'!$I:$I,Q337)="",1000,INDEX('Guest Log'!$I:$I,Q337)),IFERROR(LOOKUP(2,1/(($F$1:F336=G337)+($G$1:G336=G337)),IF($F$1:F336=G337,$N$1:N336,$O$1:O336)),1000))))</f>
        <v/>
      </c>
      <c r="J337" s="12" t="str">
        <f t="shared" si="26"/>
        <v/>
      </c>
      <c r="K337" s="12" t="str">
        <f>IF(C337="","",IF(C337="Match",IF(INDEX('Match Log'!$D:$D,D337)="Win",1,IF(INDEX('Match Log'!$D:$D,D337)="Draw",0.5,0)),IF(C337="Tournament",INDEX('Tournament Log'!$K:$K,E337),IF(INDEX('Guest Log'!$C:$C,Q337)="Win",1,IF(INDEX('Guest Log'!$C:$C,Q337)="Draw",0.5,0)))))</f>
        <v/>
      </c>
      <c r="L337" s="12" t="str">
        <f>IF(C337="","",IF(C337="Match",32,IF(C337="Tournament",MIN(32*INDEX('Tournament Log'!$D:$D,E337),96),32)))</f>
        <v/>
      </c>
      <c r="M337" s="12" t="str">
        <f t="shared" si="27"/>
        <v/>
      </c>
      <c r="N337" s="12" t="str">
        <f t="shared" si="28"/>
        <v/>
      </c>
      <c r="O337" s="12" t="str">
        <f t="shared" si="29"/>
        <v/>
      </c>
      <c r="P337" s="12" t="str">
        <f>IF(C337="Tournament",INDEX('Tournament Log'!$B:$B,E337),IF(C337="Guest","Guest: "&amp;INDEX('Guest Log'!$H:$H,Q337),""))</f>
        <v/>
      </c>
      <c r="Q337" t="str">
        <f>IFERROR(MATCH($A337,'Guest Log'!$L$4:$L$203,0)+3,"")</f>
        <v/>
      </c>
    </row>
    <row r="338" spans="1:17" ht="15" customHeight="1" x14ac:dyDescent="0.2">
      <c r="A338" s="12">
        <f>337</f>
        <v>337</v>
      </c>
      <c r="B338" s="12" t="str">
        <f>IF(C338="","",IF(C338="Match",INDEX('Match Log'!$A:$A,D338),IF(C338="Tournament",INDEX('Tournament Log'!$A:$A,E338),INDEX('Guest Log'!$A:$A,Q338))))</f>
        <v/>
      </c>
      <c r="C338" s="12" t="str">
        <f t="shared" si="25"/>
        <v/>
      </c>
      <c r="D338" s="31" t="str">
        <f>IFERROR(MATCH($A338,'Match Log'!$K$3:$K$501,0)+2,"")</f>
        <v/>
      </c>
      <c r="E338" s="31" t="str">
        <f>IFERROR(MATCH($A338,'Tournament Log'!$O$4:$O$203,0)+3,"")</f>
        <v/>
      </c>
      <c r="F338" s="12" t="str">
        <f>IF(C338="","",IF(C338="Match",INDEX('Match Log'!$B:$B,D338),IF(C338="Tournament",INDEX('Tournament Log'!$C:$C,E338),INDEX('Guest Log'!$B:$B,Q338))))</f>
        <v/>
      </c>
      <c r="G338" s="12" t="str">
        <f>IF(C338="","",IF(C338="Match",INDEX('Match Log'!$C:$C,D338),IF(C338="Tournament",INDEX('Tournament Log'!$B:$B,E338)&amp;" (Phantom)",INDEX('Guest Log'!$H:$H,Q338)&amp;" (Guest)")))</f>
        <v/>
      </c>
      <c r="H338" s="32" t="str">
        <f t="array" ref="H338">IF(C338="","",IFERROR(LOOKUP(2,1/(($F$1:F337=F338)+($G$1:G337=F338)),IF($F$1:F337=F338,$N$1:N337,$O$1:O337)),1000))</f>
        <v/>
      </c>
      <c r="I338" s="12" t="str">
        <f t="array" ref="I338">IF(C338="","",IF(C338="Tournament",INDEX('Tournament Log'!$J:$J,E338),IF(C338="Guest",IF(INDEX('Guest Log'!$I:$I,Q338)="",1000,INDEX('Guest Log'!$I:$I,Q338)),IFERROR(LOOKUP(2,1/(($F$1:F337=G338)+($G$1:G337=G338)),IF($F$1:F337=G338,$N$1:N337,$O$1:O337)),1000))))</f>
        <v/>
      </c>
      <c r="J338" s="12" t="str">
        <f t="shared" si="26"/>
        <v/>
      </c>
      <c r="K338" s="12" t="str">
        <f>IF(C338="","",IF(C338="Match",IF(INDEX('Match Log'!$D:$D,D338)="Win",1,IF(INDEX('Match Log'!$D:$D,D338)="Draw",0.5,0)),IF(C338="Tournament",INDEX('Tournament Log'!$K:$K,E338),IF(INDEX('Guest Log'!$C:$C,Q338)="Win",1,IF(INDEX('Guest Log'!$C:$C,Q338)="Draw",0.5,0)))))</f>
        <v/>
      </c>
      <c r="L338" s="12" t="str">
        <f>IF(C338="","",IF(C338="Match",32,IF(C338="Tournament",MIN(32*INDEX('Tournament Log'!$D:$D,E338),96),32)))</f>
        <v/>
      </c>
      <c r="M338" s="12" t="str">
        <f t="shared" si="27"/>
        <v/>
      </c>
      <c r="N338" s="12" t="str">
        <f t="shared" si="28"/>
        <v/>
      </c>
      <c r="O338" s="12" t="str">
        <f t="shared" si="29"/>
        <v/>
      </c>
      <c r="P338" s="12" t="str">
        <f>IF(C338="Tournament",INDEX('Tournament Log'!$B:$B,E338),IF(C338="Guest","Guest: "&amp;INDEX('Guest Log'!$H:$H,Q338),""))</f>
        <v/>
      </c>
      <c r="Q338" t="str">
        <f>IFERROR(MATCH($A338,'Guest Log'!$L$4:$L$203,0)+3,"")</f>
        <v/>
      </c>
    </row>
    <row r="339" spans="1:17" ht="15" customHeight="1" x14ac:dyDescent="0.2">
      <c r="A339" s="12">
        <f>338</f>
        <v>338</v>
      </c>
      <c r="B339" s="12" t="str">
        <f>IF(C339="","",IF(C339="Match",INDEX('Match Log'!$A:$A,D339),IF(C339="Tournament",INDEX('Tournament Log'!$A:$A,E339),INDEX('Guest Log'!$A:$A,Q339))))</f>
        <v/>
      </c>
      <c r="C339" s="12" t="str">
        <f t="shared" si="25"/>
        <v/>
      </c>
      <c r="D339" s="31" t="str">
        <f>IFERROR(MATCH($A339,'Match Log'!$K$3:$K$501,0)+2,"")</f>
        <v/>
      </c>
      <c r="E339" s="31" t="str">
        <f>IFERROR(MATCH($A339,'Tournament Log'!$O$4:$O$203,0)+3,"")</f>
        <v/>
      </c>
      <c r="F339" s="12" t="str">
        <f>IF(C339="","",IF(C339="Match",INDEX('Match Log'!$B:$B,D339),IF(C339="Tournament",INDEX('Tournament Log'!$C:$C,E339),INDEX('Guest Log'!$B:$B,Q339))))</f>
        <v/>
      </c>
      <c r="G339" s="12" t="str">
        <f>IF(C339="","",IF(C339="Match",INDEX('Match Log'!$C:$C,D339),IF(C339="Tournament",INDEX('Tournament Log'!$B:$B,E339)&amp;" (Phantom)",INDEX('Guest Log'!$H:$H,Q339)&amp;" (Guest)")))</f>
        <v/>
      </c>
      <c r="H339" s="32" t="str">
        <f t="array" ref="H339">IF(C339="","",IFERROR(LOOKUP(2,1/(($F$1:F338=F339)+($G$1:G338=F339)),IF($F$1:F338=F339,$N$1:N338,$O$1:O338)),1000))</f>
        <v/>
      </c>
      <c r="I339" s="12" t="str">
        <f t="array" ref="I339">IF(C339="","",IF(C339="Tournament",INDEX('Tournament Log'!$J:$J,E339),IF(C339="Guest",IF(INDEX('Guest Log'!$I:$I,Q339)="",1000,INDEX('Guest Log'!$I:$I,Q339)),IFERROR(LOOKUP(2,1/(($F$1:F338=G339)+($G$1:G338=G339)),IF($F$1:F338=G339,$N$1:N338,$O$1:O338)),1000))))</f>
        <v/>
      </c>
      <c r="J339" s="12" t="str">
        <f t="shared" si="26"/>
        <v/>
      </c>
      <c r="K339" s="12" t="str">
        <f>IF(C339="","",IF(C339="Match",IF(INDEX('Match Log'!$D:$D,D339)="Win",1,IF(INDEX('Match Log'!$D:$D,D339)="Draw",0.5,0)),IF(C339="Tournament",INDEX('Tournament Log'!$K:$K,E339),IF(INDEX('Guest Log'!$C:$C,Q339)="Win",1,IF(INDEX('Guest Log'!$C:$C,Q339)="Draw",0.5,0)))))</f>
        <v/>
      </c>
      <c r="L339" s="12" t="str">
        <f>IF(C339="","",IF(C339="Match",32,IF(C339="Tournament",MIN(32*INDEX('Tournament Log'!$D:$D,E339),96),32)))</f>
        <v/>
      </c>
      <c r="M339" s="12" t="str">
        <f t="shared" si="27"/>
        <v/>
      </c>
      <c r="N339" s="12" t="str">
        <f t="shared" si="28"/>
        <v/>
      </c>
      <c r="O339" s="12" t="str">
        <f t="shared" si="29"/>
        <v/>
      </c>
      <c r="P339" s="12" t="str">
        <f>IF(C339="Tournament",INDEX('Tournament Log'!$B:$B,E339),IF(C339="Guest","Guest: "&amp;INDEX('Guest Log'!$H:$H,Q339),""))</f>
        <v/>
      </c>
      <c r="Q339" t="str">
        <f>IFERROR(MATCH($A339,'Guest Log'!$L$4:$L$203,0)+3,"")</f>
        <v/>
      </c>
    </row>
    <row r="340" spans="1:17" ht="15" customHeight="1" x14ac:dyDescent="0.2">
      <c r="A340" s="12">
        <f>339</f>
        <v>339</v>
      </c>
      <c r="B340" s="12" t="str">
        <f>IF(C340="","",IF(C340="Match",INDEX('Match Log'!$A:$A,D340),IF(C340="Tournament",INDEX('Tournament Log'!$A:$A,E340),INDEX('Guest Log'!$A:$A,Q340))))</f>
        <v/>
      </c>
      <c r="C340" s="12" t="str">
        <f t="shared" si="25"/>
        <v/>
      </c>
      <c r="D340" s="31" t="str">
        <f>IFERROR(MATCH($A340,'Match Log'!$K$3:$K$501,0)+2,"")</f>
        <v/>
      </c>
      <c r="E340" s="31" t="str">
        <f>IFERROR(MATCH($A340,'Tournament Log'!$O$4:$O$203,0)+3,"")</f>
        <v/>
      </c>
      <c r="F340" s="12" t="str">
        <f>IF(C340="","",IF(C340="Match",INDEX('Match Log'!$B:$B,D340),IF(C340="Tournament",INDEX('Tournament Log'!$C:$C,E340),INDEX('Guest Log'!$B:$B,Q340))))</f>
        <v/>
      </c>
      <c r="G340" s="12" t="str">
        <f>IF(C340="","",IF(C340="Match",INDEX('Match Log'!$C:$C,D340),IF(C340="Tournament",INDEX('Tournament Log'!$B:$B,E340)&amp;" (Phantom)",INDEX('Guest Log'!$H:$H,Q340)&amp;" (Guest)")))</f>
        <v/>
      </c>
      <c r="H340" s="32" t="str">
        <f t="array" ref="H340">IF(C340="","",IFERROR(LOOKUP(2,1/(($F$1:F339=F340)+($G$1:G339=F340)),IF($F$1:F339=F340,$N$1:N339,$O$1:O339)),1000))</f>
        <v/>
      </c>
      <c r="I340" s="12" t="str">
        <f t="array" ref="I340">IF(C340="","",IF(C340="Tournament",INDEX('Tournament Log'!$J:$J,E340),IF(C340="Guest",IF(INDEX('Guest Log'!$I:$I,Q340)="",1000,INDEX('Guest Log'!$I:$I,Q340)),IFERROR(LOOKUP(2,1/(($F$1:F339=G340)+($G$1:G339=G340)),IF($F$1:F339=G340,$N$1:N339,$O$1:O339)),1000))))</f>
        <v/>
      </c>
      <c r="J340" s="12" t="str">
        <f t="shared" si="26"/>
        <v/>
      </c>
      <c r="K340" s="12" t="str">
        <f>IF(C340="","",IF(C340="Match",IF(INDEX('Match Log'!$D:$D,D340)="Win",1,IF(INDEX('Match Log'!$D:$D,D340)="Draw",0.5,0)),IF(C340="Tournament",INDEX('Tournament Log'!$K:$K,E340),IF(INDEX('Guest Log'!$C:$C,Q340)="Win",1,IF(INDEX('Guest Log'!$C:$C,Q340)="Draw",0.5,0)))))</f>
        <v/>
      </c>
      <c r="L340" s="12" t="str">
        <f>IF(C340="","",IF(C340="Match",32,IF(C340="Tournament",MIN(32*INDEX('Tournament Log'!$D:$D,E340),96),32)))</f>
        <v/>
      </c>
      <c r="M340" s="12" t="str">
        <f t="shared" si="27"/>
        <v/>
      </c>
      <c r="N340" s="12" t="str">
        <f t="shared" si="28"/>
        <v/>
      </c>
      <c r="O340" s="12" t="str">
        <f t="shared" si="29"/>
        <v/>
      </c>
      <c r="P340" s="12" t="str">
        <f>IF(C340="Tournament",INDEX('Tournament Log'!$B:$B,E340),IF(C340="Guest","Guest: "&amp;INDEX('Guest Log'!$H:$H,Q340),""))</f>
        <v/>
      </c>
      <c r="Q340" t="str">
        <f>IFERROR(MATCH($A340,'Guest Log'!$L$4:$L$203,0)+3,"")</f>
        <v/>
      </c>
    </row>
    <row r="341" spans="1:17" ht="15" customHeight="1" x14ac:dyDescent="0.2">
      <c r="A341" s="12">
        <f>340</f>
        <v>340</v>
      </c>
      <c r="B341" s="12" t="str">
        <f>IF(C341="","",IF(C341="Match",INDEX('Match Log'!$A:$A,D341),IF(C341="Tournament",INDEX('Tournament Log'!$A:$A,E341),INDEX('Guest Log'!$A:$A,Q341))))</f>
        <v/>
      </c>
      <c r="C341" s="12" t="str">
        <f t="shared" si="25"/>
        <v/>
      </c>
      <c r="D341" s="31" t="str">
        <f>IFERROR(MATCH($A341,'Match Log'!$K$3:$K$501,0)+2,"")</f>
        <v/>
      </c>
      <c r="E341" s="31" t="str">
        <f>IFERROR(MATCH($A341,'Tournament Log'!$O$4:$O$203,0)+3,"")</f>
        <v/>
      </c>
      <c r="F341" s="12" t="str">
        <f>IF(C341="","",IF(C341="Match",INDEX('Match Log'!$B:$B,D341),IF(C341="Tournament",INDEX('Tournament Log'!$C:$C,E341),INDEX('Guest Log'!$B:$B,Q341))))</f>
        <v/>
      </c>
      <c r="G341" s="12" t="str">
        <f>IF(C341="","",IF(C341="Match",INDEX('Match Log'!$C:$C,D341),IF(C341="Tournament",INDEX('Tournament Log'!$B:$B,E341)&amp;" (Phantom)",INDEX('Guest Log'!$H:$H,Q341)&amp;" (Guest)")))</f>
        <v/>
      </c>
      <c r="H341" s="32" t="str">
        <f t="array" ref="H341">IF(C341="","",IFERROR(LOOKUP(2,1/(($F$1:F340=F341)+($G$1:G340=F341)),IF($F$1:F340=F341,$N$1:N340,$O$1:O340)),1000))</f>
        <v/>
      </c>
      <c r="I341" s="12" t="str">
        <f t="array" ref="I341">IF(C341="","",IF(C341="Tournament",INDEX('Tournament Log'!$J:$J,E341),IF(C341="Guest",IF(INDEX('Guest Log'!$I:$I,Q341)="",1000,INDEX('Guest Log'!$I:$I,Q341)),IFERROR(LOOKUP(2,1/(($F$1:F340=G341)+($G$1:G340=G341)),IF($F$1:F340=G341,$N$1:N340,$O$1:O340)),1000))))</f>
        <v/>
      </c>
      <c r="J341" s="12" t="str">
        <f t="shared" si="26"/>
        <v/>
      </c>
      <c r="K341" s="12" t="str">
        <f>IF(C341="","",IF(C341="Match",IF(INDEX('Match Log'!$D:$D,D341)="Win",1,IF(INDEX('Match Log'!$D:$D,D341)="Draw",0.5,0)),IF(C341="Tournament",INDEX('Tournament Log'!$K:$K,E341),IF(INDEX('Guest Log'!$C:$C,Q341)="Win",1,IF(INDEX('Guest Log'!$C:$C,Q341)="Draw",0.5,0)))))</f>
        <v/>
      </c>
      <c r="L341" s="12" t="str">
        <f>IF(C341="","",IF(C341="Match",32,IF(C341="Tournament",MIN(32*INDEX('Tournament Log'!$D:$D,E341),96),32)))</f>
        <v/>
      </c>
      <c r="M341" s="12" t="str">
        <f t="shared" si="27"/>
        <v/>
      </c>
      <c r="N341" s="12" t="str">
        <f t="shared" si="28"/>
        <v/>
      </c>
      <c r="O341" s="12" t="str">
        <f t="shared" si="29"/>
        <v/>
      </c>
      <c r="P341" s="12" t="str">
        <f>IF(C341="Tournament",INDEX('Tournament Log'!$B:$B,E341),IF(C341="Guest","Guest: "&amp;INDEX('Guest Log'!$H:$H,Q341),""))</f>
        <v/>
      </c>
      <c r="Q341" t="str">
        <f>IFERROR(MATCH($A341,'Guest Log'!$L$4:$L$203,0)+3,"")</f>
        <v/>
      </c>
    </row>
    <row r="342" spans="1:17" ht="15" customHeight="1" x14ac:dyDescent="0.2">
      <c r="A342" s="12">
        <f>341</f>
        <v>341</v>
      </c>
      <c r="B342" s="12" t="str">
        <f>IF(C342="","",IF(C342="Match",INDEX('Match Log'!$A:$A,D342),IF(C342="Tournament",INDEX('Tournament Log'!$A:$A,E342),INDEX('Guest Log'!$A:$A,Q342))))</f>
        <v/>
      </c>
      <c r="C342" s="12" t="str">
        <f t="shared" si="25"/>
        <v/>
      </c>
      <c r="D342" s="31" t="str">
        <f>IFERROR(MATCH($A342,'Match Log'!$K$3:$K$501,0)+2,"")</f>
        <v/>
      </c>
      <c r="E342" s="31" t="str">
        <f>IFERROR(MATCH($A342,'Tournament Log'!$O$4:$O$203,0)+3,"")</f>
        <v/>
      </c>
      <c r="F342" s="12" t="str">
        <f>IF(C342="","",IF(C342="Match",INDEX('Match Log'!$B:$B,D342),IF(C342="Tournament",INDEX('Tournament Log'!$C:$C,E342),INDEX('Guest Log'!$B:$B,Q342))))</f>
        <v/>
      </c>
      <c r="G342" s="12" t="str">
        <f>IF(C342="","",IF(C342="Match",INDEX('Match Log'!$C:$C,D342),IF(C342="Tournament",INDEX('Tournament Log'!$B:$B,E342)&amp;" (Phantom)",INDEX('Guest Log'!$H:$H,Q342)&amp;" (Guest)")))</f>
        <v/>
      </c>
      <c r="H342" s="32" t="str">
        <f t="array" ref="H342">IF(C342="","",IFERROR(LOOKUP(2,1/(($F$1:F341=F342)+($G$1:G341=F342)),IF($F$1:F341=F342,$N$1:N341,$O$1:O341)),1000))</f>
        <v/>
      </c>
      <c r="I342" s="12" t="str">
        <f t="array" ref="I342">IF(C342="","",IF(C342="Tournament",INDEX('Tournament Log'!$J:$J,E342),IF(C342="Guest",IF(INDEX('Guest Log'!$I:$I,Q342)="",1000,INDEX('Guest Log'!$I:$I,Q342)),IFERROR(LOOKUP(2,1/(($F$1:F341=G342)+($G$1:G341=G342)),IF($F$1:F341=G342,$N$1:N341,$O$1:O341)),1000))))</f>
        <v/>
      </c>
      <c r="J342" s="12" t="str">
        <f t="shared" si="26"/>
        <v/>
      </c>
      <c r="K342" s="12" t="str">
        <f>IF(C342="","",IF(C342="Match",IF(INDEX('Match Log'!$D:$D,D342)="Win",1,IF(INDEX('Match Log'!$D:$D,D342)="Draw",0.5,0)),IF(C342="Tournament",INDEX('Tournament Log'!$K:$K,E342),IF(INDEX('Guest Log'!$C:$C,Q342)="Win",1,IF(INDEX('Guest Log'!$C:$C,Q342)="Draw",0.5,0)))))</f>
        <v/>
      </c>
      <c r="L342" s="12" t="str">
        <f>IF(C342="","",IF(C342="Match",32,IF(C342="Tournament",MIN(32*INDEX('Tournament Log'!$D:$D,E342),96),32)))</f>
        <v/>
      </c>
      <c r="M342" s="12" t="str">
        <f t="shared" si="27"/>
        <v/>
      </c>
      <c r="N342" s="12" t="str">
        <f t="shared" si="28"/>
        <v/>
      </c>
      <c r="O342" s="12" t="str">
        <f t="shared" si="29"/>
        <v/>
      </c>
      <c r="P342" s="12" t="str">
        <f>IF(C342="Tournament",INDEX('Tournament Log'!$B:$B,E342),IF(C342="Guest","Guest: "&amp;INDEX('Guest Log'!$H:$H,Q342),""))</f>
        <v/>
      </c>
      <c r="Q342" t="str">
        <f>IFERROR(MATCH($A342,'Guest Log'!$L$4:$L$203,0)+3,"")</f>
        <v/>
      </c>
    </row>
    <row r="343" spans="1:17" ht="15" customHeight="1" x14ac:dyDescent="0.2">
      <c r="A343" s="12">
        <f>342</f>
        <v>342</v>
      </c>
      <c r="B343" s="12" t="str">
        <f>IF(C343="","",IF(C343="Match",INDEX('Match Log'!$A:$A,D343),IF(C343="Tournament",INDEX('Tournament Log'!$A:$A,E343),INDEX('Guest Log'!$A:$A,Q343))))</f>
        <v/>
      </c>
      <c r="C343" s="12" t="str">
        <f t="shared" si="25"/>
        <v/>
      </c>
      <c r="D343" s="31" t="str">
        <f>IFERROR(MATCH($A343,'Match Log'!$K$3:$K$501,0)+2,"")</f>
        <v/>
      </c>
      <c r="E343" s="31" t="str">
        <f>IFERROR(MATCH($A343,'Tournament Log'!$O$4:$O$203,0)+3,"")</f>
        <v/>
      </c>
      <c r="F343" s="12" t="str">
        <f>IF(C343="","",IF(C343="Match",INDEX('Match Log'!$B:$B,D343),IF(C343="Tournament",INDEX('Tournament Log'!$C:$C,E343),INDEX('Guest Log'!$B:$B,Q343))))</f>
        <v/>
      </c>
      <c r="G343" s="12" t="str">
        <f>IF(C343="","",IF(C343="Match",INDEX('Match Log'!$C:$C,D343),IF(C343="Tournament",INDEX('Tournament Log'!$B:$B,E343)&amp;" (Phantom)",INDEX('Guest Log'!$H:$H,Q343)&amp;" (Guest)")))</f>
        <v/>
      </c>
      <c r="H343" s="32" t="str">
        <f t="array" ref="H343">IF(C343="","",IFERROR(LOOKUP(2,1/(($F$1:F342=F343)+($G$1:G342=F343)),IF($F$1:F342=F343,$N$1:N342,$O$1:O342)),1000))</f>
        <v/>
      </c>
      <c r="I343" s="12" t="str">
        <f t="array" ref="I343">IF(C343="","",IF(C343="Tournament",INDEX('Tournament Log'!$J:$J,E343),IF(C343="Guest",IF(INDEX('Guest Log'!$I:$I,Q343)="",1000,INDEX('Guest Log'!$I:$I,Q343)),IFERROR(LOOKUP(2,1/(($F$1:F342=G343)+($G$1:G342=G343)),IF($F$1:F342=G343,$N$1:N342,$O$1:O342)),1000))))</f>
        <v/>
      </c>
      <c r="J343" s="12" t="str">
        <f t="shared" si="26"/>
        <v/>
      </c>
      <c r="K343" s="12" t="str">
        <f>IF(C343="","",IF(C343="Match",IF(INDEX('Match Log'!$D:$D,D343)="Win",1,IF(INDEX('Match Log'!$D:$D,D343)="Draw",0.5,0)),IF(C343="Tournament",INDEX('Tournament Log'!$K:$K,E343),IF(INDEX('Guest Log'!$C:$C,Q343)="Win",1,IF(INDEX('Guest Log'!$C:$C,Q343)="Draw",0.5,0)))))</f>
        <v/>
      </c>
      <c r="L343" s="12" t="str">
        <f>IF(C343="","",IF(C343="Match",32,IF(C343="Tournament",MIN(32*INDEX('Tournament Log'!$D:$D,E343),96),32)))</f>
        <v/>
      </c>
      <c r="M343" s="12" t="str">
        <f t="shared" si="27"/>
        <v/>
      </c>
      <c r="N343" s="12" t="str">
        <f t="shared" si="28"/>
        <v/>
      </c>
      <c r="O343" s="12" t="str">
        <f t="shared" si="29"/>
        <v/>
      </c>
      <c r="P343" s="12" t="str">
        <f>IF(C343="Tournament",INDEX('Tournament Log'!$B:$B,E343),IF(C343="Guest","Guest: "&amp;INDEX('Guest Log'!$H:$H,Q343),""))</f>
        <v/>
      </c>
      <c r="Q343" t="str">
        <f>IFERROR(MATCH($A343,'Guest Log'!$L$4:$L$203,0)+3,"")</f>
        <v/>
      </c>
    </row>
    <row r="344" spans="1:17" ht="15" customHeight="1" x14ac:dyDescent="0.2">
      <c r="A344" s="12">
        <f>343</f>
        <v>343</v>
      </c>
      <c r="B344" s="12" t="str">
        <f>IF(C344="","",IF(C344="Match",INDEX('Match Log'!$A:$A,D344),IF(C344="Tournament",INDEX('Tournament Log'!$A:$A,E344),INDEX('Guest Log'!$A:$A,Q344))))</f>
        <v/>
      </c>
      <c r="C344" s="12" t="str">
        <f t="shared" si="25"/>
        <v/>
      </c>
      <c r="D344" s="31" t="str">
        <f>IFERROR(MATCH($A344,'Match Log'!$K$3:$K$501,0)+2,"")</f>
        <v/>
      </c>
      <c r="E344" s="31" t="str">
        <f>IFERROR(MATCH($A344,'Tournament Log'!$O$4:$O$203,0)+3,"")</f>
        <v/>
      </c>
      <c r="F344" s="12" t="str">
        <f>IF(C344="","",IF(C344="Match",INDEX('Match Log'!$B:$B,D344),IF(C344="Tournament",INDEX('Tournament Log'!$C:$C,E344),INDEX('Guest Log'!$B:$B,Q344))))</f>
        <v/>
      </c>
      <c r="G344" s="12" t="str">
        <f>IF(C344="","",IF(C344="Match",INDEX('Match Log'!$C:$C,D344),IF(C344="Tournament",INDEX('Tournament Log'!$B:$B,E344)&amp;" (Phantom)",INDEX('Guest Log'!$H:$H,Q344)&amp;" (Guest)")))</f>
        <v/>
      </c>
      <c r="H344" s="32" t="str">
        <f t="array" ref="H344">IF(C344="","",IFERROR(LOOKUP(2,1/(($F$1:F343=F344)+($G$1:G343=F344)),IF($F$1:F343=F344,$N$1:N343,$O$1:O343)),1000))</f>
        <v/>
      </c>
      <c r="I344" s="12" t="str">
        <f t="array" ref="I344">IF(C344="","",IF(C344="Tournament",INDEX('Tournament Log'!$J:$J,E344),IF(C344="Guest",IF(INDEX('Guest Log'!$I:$I,Q344)="",1000,INDEX('Guest Log'!$I:$I,Q344)),IFERROR(LOOKUP(2,1/(($F$1:F343=G344)+($G$1:G343=G344)),IF($F$1:F343=G344,$N$1:N343,$O$1:O343)),1000))))</f>
        <v/>
      </c>
      <c r="J344" s="12" t="str">
        <f t="shared" si="26"/>
        <v/>
      </c>
      <c r="K344" s="12" t="str">
        <f>IF(C344="","",IF(C344="Match",IF(INDEX('Match Log'!$D:$D,D344)="Win",1,IF(INDEX('Match Log'!$D:$D,D344)="Draw",0.5,0)),IF(C344="Tournament",INDEX('Tournament Log'!$K:$K,E344),IF(INDEX('Guest Log'!$C:$C,Q344)="Win",1,IF(INDEX('Guest Log'!$C:$C,Q344)="Draw",0.5,0)))))</f>
        <v/>
      </c>
      <c r="L344" s="12" t="str">
        <f>IF(C344="","",IF(C344="Match",32,IF(C344="Tournament",MIN(32*INDEX('Tournament Log'!$D:$D,E344),96),32)))</f>
        <v/>
      </c>
      <c r="M344" s="12" t="str">
        <f t="shared" si="27"/>
        <v/>
      </c>
      <c r="N344" s="12" t="str">
        <f t="shared" si="28"/>
        <v/>
      </c>
      <c r="O344" s="12" t="str">
        <f t="shared" si="29"/>
        <v/>
      </c>
      <c r="P344" s="12" t="str">
        <f>IF(C344="Tournament",INDEX('Tournament Log'!$B:$B,E344),IF(C344="Guest","Guest: "&amp;INDEX('Guest Log'!$H:$H,Q344),""))</f>
        <v/>
      </c>
      <c r="Q344" t="str">
        <f>IFERROR(MATCH($A344,'Guest Log'!$L$4:$L$203,0)+3,"")</f>
        <v/>
      </c>
    </row>
    <row r="345" spans="1:17" ht="15" customHeight="1" x14ac:dyDescent="0.2">
      <c r="A345" s="12">
        <f>344</f>
        <v>344</v>
      </c>
      <c r="B345" s="12" t="str">
        <f>IF(C345="","",IF(C345="Match",INDEX('Match Log'!$A:$A,D345),IF(C345="Tournament",INDEX('Tournament Log'!$A:$A,E345),INDEX('Guest Log'!$A:$A,Q345))))</f>
        <v/>
      </c>
      <c r="C345" s="12" t="str">
        <f t="shared" si="25"/>
        <v/>
      </c>
      <c r="D345" s="31" t="str">
        <f>IFERROR(MATCH($A345,'Match Log'!$K$3:$K$501,0)+2,"")</f>
        <v/>
      </c>
      <c r="E345" s="31" t="str">
        <f>IFERROR(MATCH($A345,'Tournament Log'!$O$4:$O$203,0)+3,"")</f>
        <v/>
      </c>
      <c r="F345" s="12" t="str">
        <f>IF(C345="","",IF(C345="Match",INDEX('Match Log'!$B:$B,D345),IF(C345="Tournament",INDEX('Tournament Log'!$C:$C,E345),INDEX('Guest Log'!$B:$B,Q345))))</f>
        <v/>
      </c>
      <c r="G345" s="12" t="str">
        <f>IF(C345="","",IF(C345="Match",INDEX('Match Log'!$C:$C,D345),IF(C345="Tournament",INDEX('Tournament Log'!$B:$B,E345)&amp;" (Phantom)",INDEX('Guest Log'!$H:$H,Q345)&amp;" (Guest)")))</f>
        <v/>
      </c>
      <c r="H345" s="32" t="str">
        <f t="array" ref="H345">IF(C345="","",IFERROR(LOOKUP(2,1/(($F$1:F344=F345)+($G$1:G344=F345)),IF($F$1:F344=F345,$N$1:N344,$O$1:O344)),1000))</f>
        <v/>
      </c>
      <c r="I345" s="12" t="str">
        <f t="array" ref="I345">IF(C345="","",IF(C345="Tournament",INDEX('Tournament Log'!$J:$J,E345),IF(C345="Guest",IF(INDEX('Guest Log'!$I:$I,Q345)="",1000,INDEX('Guest Log'!$I:$I,Q345)),IFERROR(LOOKUP(2,1/(($F$1:F344=G345)+($G$1:G344=G345)),IF($F$1:F344=G345,$N$1:N344,$O$1:O344)),1000))))</f>
        <v/>
      </c>
      <c r="J345" s="12" t="str">
        <f t="shared" si="26"/>
        <v/>
      </c>
      <c r="K345" s="12" t="str">
        <f>IF(C345="","",IF(C345="Match",IF(INDEX('Match Log'!$D:$D,D345)="Win",1,IF(INDEX('Match Log'!$D:$D,D345)="Draw",0.5,0)),IF(C345="Tournament",INDEX('Tournament Log'!$K:$K,E345),IF(INDEX('Guest Log'!$C:$C,Q345)="Win",1,IF(INDEX('Guest Log'!$C:$C,Q345)="Draw",0.5,0)))))</f>
        <v/>
      </c>
      <c r="L345" s="12" t="str">
        <f>IF(C345="","",IF(C345="Match",32,IF(C345="Tournament",MIN(32*INDEX('Tournament Log'!$D:$D,E345),96),32)))</f>
        <v/>
      </c>
      <c r="M345" s="12" t="str">
        <f t="shared" si="27"/>
        <v/>
      </c>
      <c r="N345" s="12" t="str">
        <f t="shared" si="28"/>
        <v/>
      </c>
      <c r="O345" s="12" t="str">
        <f t="shared" si="29"/>
        <v/>
      </c>
      <c r="P345" s="12" t="str">
        <f>IF(C345="Tournament",INDEX('Tournament Log'!$B:$B,E345),IF(C345="Guest","Guest: "&amp;INDEX('Guest Log'!$H:$H,Q345),""))</f>
        <v/>
      </c>
      <c r="Q345" t="str">
        <f>IFERROR(MATCH($A345,'Guest Log'!$L$4:$L$203,0)+3,"")</f>
        <v/>
      </c>
    </row>
    <row r="346" spans="1:17" ht="15" customHeight="1" x14ac:dyDescent="0.2">
      <c r="A346" s="12">
        <f>345</f>
        <v>345</v>
      </c>
      <c r="B346" s="12" t="str">
        <f>IF(C346="","",IF(C346="Match",INDEX('Match Log'!$A:$A,D346),IF(C346="Tournament",INDEX('Tournament Log'!$A:$A,E346),INDEX('Guest Log'!$A:$A,Q346))))</f>
        <v/>
      </c>
      <c r="C346" s="12" t="str">
        <f t="shared" si="25"/>
        <v/>
      </c>
      <c r="D346" s="31" t="str">
        <f>IFERROR(MATCH($A346,'Match Log'!$K$3:$K$501,0)+2,"")</f>
        <v/>
      </c>
      <c r="E346" s="31" t="str">
        <f>IFERROR(MATCH($A346,'Tournament Log'!$O$4:$O$203,0)+3,"")</f>
        <v/>
      </c>
      <c r="F346" s="12" t="str">
        <f>IF(C346="","",IF(C346="Match",INDEX('Match Log'!$B:$B,D346),IF(C346="Tournament",INDEX('Tournament Log'!$C:$C,E346),INDEX('Guest Log'!$B:$B,Q346))))</f>
        <v/>
      </c>
      <c r="G346" s="12" t="str">
        <f>IF(C346="","",IF(C346="Match",INDEX('Match Log'!$C:$C,D346),IF(C346="Tournament",INDEX('Tournament Log'!$B:$B,E346)&amp;" (Phantom)",INDEX('Guest Log'!$H:$H,Q346)&amp;" (Guest)")))</f>
        <v/>
      </c>
      <c r="H346" s="32" t="str">
        <f t="array" ref="H346">IF(C346="","",IFERROR(LOOKUP(2,1/(($F$1:F345=F346)+($G$1:G345=F346)),IF($F$1:F345=F346,$N$1:N345,$O$1:O345)),1000))</f>
        <v/>
      </c>
      <c r="I346" s="12" t="str">
        <f t="array" ref="I346">IF(C346="","",IF(C346="Tournament",INDEX('Tournament Log'!$J:$J,E346),IF(C346="Guest",IF(INDEX('Guest Log'!$I:$I,Q346)="",1000,INDEX('Guest Log'!$I:$I,Q346)),IFERROR(LOOKUP(2,1/(($F$1:F345=G346)+($G$1:G345=G346)),IF($F$1:F345=G346,$N$1:N345,$O$1:O345)),1000))))</f>
        <v/>
      </c>
      <c r="J346" s="12" t="str">
        <f t="shared" si="26"/>
        <v/>
      </c>
      <c r="K346" s="12" t="str">
        <f>IF(C346="","",IF(C346="Match",IF(INDEX('Match Log'!$D:$D,D346)="Win",1,IF(INDEX('Match Log'!$D:$D,D346)="Draw",0.5,0)),IF(C346="Tournament",INDEX('Tournament Log'!$K:$K,E346),IF(INDEX('Guest Log'!$C:$C,Q346)="Win",1,IF(INDEX('Guest Log'!$C:$C,Q346)="Draw",0.5,0)))))</f>
        <v/>
      </c>
      <c r="L346" s="12" t="str">
        <f>IF(C346="","",IF(C346="Match",32,IF(C346="Tournament",MIN(32*INDEX('Tournament Log'!$D:$D,E346),96),32)))</f>
        <v/>
      </c>
      <c r="M346" s="12" t="str">
        <f t="shared" si="27"/>
        <v/>
      </c>
      <c r="N346" s="12" t="str">
        <f t="shared" si="28"/>
        <v/>
      </c>
      <c r="O346" s="12" t="str">
        <f t="shared" si="29"/>
        <v/>
      </c>
      <c r="P346" s="12" t="str">
        <f>IF(C346="Tournament",INDEX('Tournament Log'!$B:$B,E346),IF(C346="Guest","Guest: "&amp;INDEX('Guest Log'!$H:$H,Q346),""))</f>
        <v/>
      </c>
      <c r="Q346" t="str">
        <f>IFERROR(MATCH($A346,'Guest Log'!$L$4:$L$203,0)+3,"")</f>
        <v/>
      </c>
    </row>
    <row r="347" spans="1:17" ht="15" customHeight="1" x14ac:dyDescent="0.2">
      <c r="A347" s="12">
        <f>346</f>
        <v>346</v>
      </c>
      <c r="B347" s="12" t="str">
        <f>IF(C347="","",IF(C347="Match",INDEX('Match Log'!$A:$A,D347),IF(C347="Tournament",INDEX('Tournament Log'!$A:$A,E347),INDEX('Guest Log'!$A:$A,Q347))))</f>
        <v/>
      </c>
      <c r="C347" s="12" t="str">
        <f t="shared" si="25"/>
        <v/>
      </c>
      <c r="D347" s="31" t="str">
        <f>IFERROR(MATCH($A347,'Match Log'!$K$3:$K$501,0)+2,"")</f>
        <v/>
      </c>
      <c r="E347" s="31" t="str">
        <f>IFERROR(MATCH($A347,'Tournament Log'!$O$4:$O$203,0)+3,"")</f>
        <v/>
      </c>
      <c r="F347" s="12" t="str">
        <f>IF(C347="","",IF(C347="Match",INDEX('Match Log'!$B:$B,D347),IF(C347="Tournament",INDEX('Tournament Log'!$C:$C,E347),INDEX('Guest Log'!$B:$B,Q347))))</f>
        <v/>
      </c>
      <c r="G347" s="12" t="str">
        <f>IF(C347="","",IF(C347="Match",INDEX('Match Log'!$C:$C,D347),IF(C347="Tournament",INDEX('Tournament Log'!$B:$B,E347)&amp;" (Phantom)",INDEX('Guest Log'!$H:$H,Q347)&amp;" (Guest)")))</f>
        <v/>
      </c>
      <c r="H347" s="32" t="str">
        <f t="array" ref="H347">IF(C347="","",IFERROR(LOOKUP(2,1/(($F$1:F346=F347)+($G$1:G346=F347)),IF($F$1:F346=F347,$N$1:N346,$O$1:O346)),1000))</f>
        <v/>
      </c>
      <c r="I347" s="12" t="str">
        <f t="array" ref="I347">IF(C347="","",IF(C347="Tournament",INDEX('Tournament Log'!$J:$J,E347),IF(C347="Guest",IF(INDEX('Guest Log'!$I:$I,Q347)="",1000,INDEX('Guest Log'!$I:$I,Q347)),IFERROR(LOOKUP(2,1/(($F$1:F346=G347)+($G$1:G346=G347)),IF($F$1:F346=G347,$N$1:N346,$O$1:O346)),1000))))</f>
        <v/>
      </c>
      <c r="J347" s="12" t="str">
        <f t="shared" si="26"/>
        <v/>
      </c>
      <c r="K347" s="12" t="str">
        <f>IF(C347="","",IF(C347="Match",IF(INDEX('Match Log'!$D:$D,D347)="Win",1,IF(INDEX('Match Log'!$D:$D,D347)="Draw",0.5,0)),IF(C347="Tournament",INDEX('Tournament Log'!$K:$K,E347),IF(INDEX('Guest Log'!$C:$C,Q347)="Win",1,IF(INDEX('Guest Log'!$C:$C,Q347)="Draw",0.5,0)))))</f>
        <v/>
      </c>
      <c r="L347" s="12" t="str">
        <f>IF(C347="","",IF(C347="Match",32,IF(C347="Tournament",MIN(32*INDEX('Tournament Log'!$D:$D,E347),96),32)))</f>
        <v/>
      </c>
      <c r="M347" s="12" t="str">
        <f t="shared" si="27"/>
        <v/>
      </c>
      <c r="N347" s="12" t="str">
        <f t="shared" si="28"/>
        <v/>
      </c>
      <c r="O347" s="12" t="str">
        <f t="shared" si="29"/>
        <v/>
      </c>
      <c r="P347" s="12" t="str">
        <f>IF(C347="Tournament",INDEX('Tournament Log'!$B:$B,E347),IF(C347="Guest","Guest: "&amp;INDEX('Guest Log'!$H:$H,Q347),""))</f>
        <v/>
      </c>
      <c r="Q347" t="str">
        <f>IFERROR(MATCH($A347,'Guest Log'!$L$4:$L$203,0)+3,"")</f>
        <v/>
      </c>
    </row>
    <row r="348" spans="1:17" ht="15" customHeight="1" x14ac:dyDescent="0.2">
      <c r="A348" s="12">
        <f>347</f>
        <v>347</v>
      </c>
      <c r="B348" s="12" t="str">
        <f>IF(C348="","",IF(C348="Match",INDEX('Match Log'!$A:$A,D348),IF(C348="Tournament",INDEX('Tournament Log'!$A:$A,E348),INDEX('Guest Log'!$A:$A,Q348))))</f>
        <v/>
      </c>
      <c r="C348" s="12" t="str">
        <f t="shared" si="25"/>
        <v/>
      </c>
      <c r="D348" s="31" t="str">
        <f>IFERROR(MATCH($A348,'Match Log'!$K$3:$K$501,0)+2,"")</f>
        <v/>
      </c>
      <c r="E348" s="31" t="str">
        <f>IFERROR(MATCH($A348,'Tournament Log'!$O$4:$O$203,0)+3,"")</f>
        <v/>
      </c>
      <c r="F348" s="12" t="str">
        <f>IF(C348="","",IF(C348="Match",INDEX('Match Log'!$B:$B,D348),IF(C348="Tournament",INDEX('Tournament Log'!$C:$C,E348),INDEX('Guest Log'!$B:$B,Q348))))</f>
        <v/>
      </c>
      <c r="G348" s="12" t="str">
        <f>IF(C348="","",IF(C348="Match",INDEX('Match Log'!$C:$C,D348),IF(C348="Tournament",INDEX('Tournament Log'!$B:$B,E348)&amp;" (Phantom)",INDEX('Guest Log'!$H:$H,Q348)&amp;" (Guest)")))</f>
        <v/>
      </c>
      <c r="H348" s="32" t="str">
        <f t="array" ref="H348">IF(C348="","",IFERROR(LOOKUP(2,1/(($F$1:F347=F348)+($G$1:G347=F348)),IF($F$1:F347=F348,$N$1:N347,$O$1:O347)),1000))</f>
        <v/>
      </c>
      <c r="I348" s="12" t="str">
        <f t="array" ref="I348">IF(C348="","",IF(C348="Tournament",INDEX('Tournament Log'!$J:$J,E348),IF(C348="Guest",IF(INDEX('Guest Log'!$I:$I,Q348)="",1000,INDEX('Guest Log'!$I:$I,Q348)),IFERROR(LOOKUP(2,1/(($F$1:F347=G348)+($G$1:G347=G348)),IF($F$1:F347=G348,$N$1:N347,$O$1:O347)),1000))))</f>
        <v/>
      </c>
      <c r="J348" s="12" t="str">
        <f t="shared" si="26"/>
        <v/>
      </c>
      <c r="K348" s="12" t="str">
        <f>IF(C348="","",IF(C348="Match",IF(INDEX('Match Log'!$D:$D,D348)="Win",1,IF(INDEX('Match Log'!$D:$D,D348)="Draw",0.5,0)),IF(C348="Tournament",INDEX('Tournament Log'!$K:$K,E348),IF(INDEX('Guest Log'!$C:$C,Q348)="Win",1,IF(INDEX('Guest Log'!$C:$C,Q348)="Draw",0.5,0)))))</f>
        <v/>
      </c>
      <c r="L348" s="12" t="str">
        <f>IF(C348="","",IF(C348="Match",32,IF(C348="Tournament",MIN(32*INDEX('Tournament Log'!$D:$D,E348),96),32)))</f>
        <v/>
      </c>
      <c r="M348" s="12" t="str">
        <f t="shared" si="27"/>
        <v/>
      </c>
      <c r="N348" s="12" t="str">
        <f t="shared" si="28"/>
        <v/>
      </c>
      <c r="O348" s="12" t="str">
        <f t="shared" si="29"/>
        <v/>
      </c>
      <c r="P348" s="12" t="str">
        <f>IF(C348="Tournament",INDEX('Tournament Log'!$B:$B,E348),IF(C348="Guest","Guest: "&amp;INDEX('Guest Log'!$H:$H,Q348),""))</f>
        <v/>
      </c>
      <c r="Q348" t="str">
        <f>IFERROR(MATCH($A348,'Guest Log'!$L$4:$L$203,0)+3,"")</f>
        <v/>
      </c>
    </row>
    <row r="349" spans="1:17" ht="15" customHeight="1" x14ac:dyDescent="0.2">
      <c r="A349" s="12">
        <f>348</f>
        <v>348</v>
      </c>
      <c r="B349" s="12" t="str">
        <f>IF(C349="","",IF(C349="Match",INDEX('Match Log'!$A:$A,D349),IF(C349="Tournament",INDEX('Tournament Log'!$A:$A,E349),INDEX('Guest Log'!$A:$A,Q349))))</f>
        <v/>
      </c>
      <c r="C349" s="12" t="str">
        <f t="shared" si="25"/>
        <v/>
      </c>
      <c r="D349" s="31" t="str">
        <f>IFERROR(MATCH($A349,'Match Log'!$K$3:$K$501,0)+2,"")</f>
        <v/>
      </c>
      <c r="E349" s="31" t="str">
        <f>IFERROR(MATCH($A349,'Tournament Log'!$O$4:$O$203,0)+3,"")</f>
        <v/>
      </c>
      <c r="F349" s="12" t="str">
        <f>IF(C349="","",IF(C349="Match",INDEX('Match Log'!$B:$B,D349),IF(C349="Tournament",INDEX('Tournament Log'!$C:$C,E349),INDEX('Guest Log'!$B:$B,Q349))))</f>
        <v/>
      </c>
      <c r="G349" s="12" t="str">
        <f>IF(C349="","",IF(C349="Match",INDEX('Match Log'!$C:$C,D349),IF(C349="Tournament",INDEX('Tournament Log'!$B:$B,E349)&amp;" (Phantom)",INDEX('Guest Log'!$H:$H,Q349)&amp;" (Guest)")))</f>
        <v/>
      </c>
      <c r="H349" s="32" t="str">
        <f t="array" ref="H349">IF(C349="","",IFERROR(LOOKUP(2,1/(($F$1:F348=F349)+($G$1:G348=F349)),IF($F$1:F348=F349,$N$1:N348,$O$1:O348)),1000))</f>
        <v/>
      </c>
      <c r="I349" s="12" t="str">
        <f t="array" ref="I349">IF(C349="","",IF(C349="Tournament",INDEX('Tournament Log'!$J:$J,E349),IF(C349="Guest",IF(INDEX('Guest Log'!$I:$I,Q349)="",1000,INDEX('Guest Log'!$I:$I,Q349)),IFERROR(LOOKUP(2,1/(($F$1:F348=G349)+($G$1:G348=G349)),IF($F$1:F348=G349,$N$1:N348,$O$1:O348)),1000))))</f>
        <v/>
      </c>
      <c r="J349" s="12" t="str">
        <f t="shared" si="26"/>
        <v/>
      </c>
      <c r="K349" s="12" t="str">
        <f>IF(C349="","",IF(C349="Match",IF(INDEX('Match Log'!$D:$D,D349)="Win",1,IF(INDEX('Match Log'!$D:$D,D349)="Draw",0.5,0)),IF(C349="Tournament",INDEX('Tournament Log'!$K:$K,E349),IF(INDEX('Guest Log'!$C:$C,Q349)="Win",1,IF(INDEX('Guest Log'!$C:$C,Q349)="Draw",0.5,0)))))</f>
        <v/>
      </c>
      <c r="L349" s="12" t="str">
        <f>IF(C349="","",IF(C349="Match",32,IF(C349="Tournament",MIN(32*INDEX('Tournament Log'!$D:$D,E349),96),32)))</f>
        <v/>
      </c>
      <c r="M349" s="12" t="str">
        <f t="shared" si="27"/>
        <v/>
      </c>
      <c r="N349" s="12" t="str">
        <f t="shared" si="28"/>
        <v/>
      </c>
      <c r="O349" s="12" t="str">
        <f t="shared" si="29"/>
        <v/>
      </c>
      <c r="P349" s="12" t="str">
        <f>IF(C349="Tournament",INDEX('Tournament Log'!$B:$B,E349),IF(C349="Guest","Guest: "&amp;INDEX('Guest Log'!$H:$H,Q349),""))</f>
        <v/>
      </c>
      <c r="Q349" t="str">
        <f>IFERROR(MATCH($A349,'Guest Log'!$L$4:$L$203,0)+3,"")</f>
        <v/>
      </c>
    </row>
    <row r="350" spans="1:17" ht="15" customHeight="1" x14ac:dyDescent="0.2">
      <c r="A350" s="12">
        <f>349</f>
        <v>349</v>
      </c>
      <c r="B350" s="12" t="str">
        <f>IF(C350="","",IF(C350="Match",INDEX('Match Log'!$A:$A,D350),IF(C350="Tournament",INDEX('Tournament Log'!$A:$A,E350),INDEX('Guest Log'!$A:$A,Q350))))</f>
        <v/>
      </c>
      <c r="C350" s="12" t="str">
        <f t="shared" si="25"/>
        <v/>
      </c>
      <c r="D350" s="31" t="str">
        <f>IFERROR(MATCH($A350,'Match Log'!$K$3:$K$501,0)+2,"")</f>
        <v/>
      </c>
      <c r="E350" s="31" t="str">
        <f>IFERROR(MATCH($A350,'Tournament Log'!$O$4:$O$203,0)+3,"")</f>
        <v/>
      </c>
      <c r="F350" s="12" t="str">
        <f>IF(C350="","",IF(C350="Match",INDEX('Match Log'!$B:$B,D350),IF(C350="Tournament",INDEX('Tournament Log'!$C:$C,E350),INDEX('Guest Log'!$B:$B,Q350))))</f>
        <v/>
      </c>
      <c r="G350" s="12" t="str">
        <f>IF(C350="","",IF(C350="Match",INDEX('Match Log'!$C:$C,D350),IF(C350="Tournament",INDEX('Tournament Log'!$B:$B,E350)&amp;" (Phantom)",INDEX('Guest Log'!$H:$H,Q350)&amp;" (Guest)")))</f>
        <v/>
      </c>
      <c r="H350" s="32" t="str">
        <f t="array" ref="H350">IF(C350="","",IFERROR(LOOKUP(2,1/(($F$1:F349=F350)+($G$1:G349=F350)),IF($F$1:F349=F350,$N$1:N349,$O$1:O349)),1000))</f>
        <v/>
      </c>
      <c r="I350" s="12" t="str">
        <f t="array" ref="I350">IF(C350="","",IF(C350="Tournament",INDEX('Tournament Log'!$J:$J,E350),IF(C350="Guest",IF(INDEX('Guest Log'!$I:$I,Q350)="",1000,INDEX('Guest Log'!$I:$I,Q350)),IFERROR(LOOKUP(2,1/(($F$1:F349=G350)+($G$1:G349=G350)),IF($F$1:F349=G350,$N$1:N349,$O$1:O349)),1000))))</f>
        <v/>
      </c>
      <c r="J350" s="12" t="str">
        <f t="shared" si="26"/>
        <v/>
      </c>
      <c r="K350" s="12" t="str">
        <f>IF(C350="","",IF(C350="Match",IF(INDEX('Match Log'!$D:$D,D350)="Win",1,IF(INDEX('Match Log'!$D:$D,D350)="Draw",0.5,0)),IF(C350="Tournament",INDEX('Tournament Log'!$K:$K,E350),IF(INDEX('Guest Log'!$C:$C,Q350)="Win",1,IF(INDEX('Guest Log'!$C:$C,Q350)="Draw",0.5,0)))))</f>
        <v/>
      </c>
      <c r="L350" s="12" t="str">
        <f>IF(C350="","",IF(C350="Match",32,IF(C350="Tournament",MIN(32*INDEX('Tournament Log'!$D:$D,E350),96),32)))</f>
        <v/>
      </c>
      <c r="M350" s="12" t="str">
        <f t="shared" si="27"/>
        <v/>
      </c>
      <c r="N350" s="12" t="str">
        <f t="shared" si="28"/>
        <v/>
      </c>
      <c r="O350" s="12" t="str">
        <f t="shared" si="29"/>
        <v/>
      </c>
      <c r="P350" s="12" t="str">
        <f>IF(C350="Tournament",INDEX('Tournament Log'!$B:$B,E350),IF(C350="Guest","Guest: "&amp;INDEX('Guest Log'!$H:$H,Q350),""))</f>
        <v/>
      </c>
      <c r="Q350" t="str">
        <f>IFERROR(MATCH($A350,'Guest Log'!$L$4:$L$203,0)+3,"")</f>
        <v/>
      </c>
    </row>
    <row r="351" spans="1:17" ht="15" customHeight="1" x14ac:dyDescent="0.2">
      <c r="A351" s="12">
        <f>350</f>
        <v>350</v>
      </c>
      <c r="B351" s="12" t="str">
        <f>IF(C351="","",IF(C351="Match",INDEX('Match Log'!$A:$A,D351),IF(C351="Tournament",INDEX('Tournament Log'!$A:$A,E351),INDEX('Guest Log'!$A:$A,Q351))))</f>
        <v/>
      </c>
      <c r="C351" s="12" t="str">
        <f t="shared" si="25"/>
        <v/>
      </c>
      <c r="D351" s="31" t="str">
        <f>IFERROR(MATCH($A351,'Match Log'!$K$3:$K$501,0)+2,"")</f>
        <v/>
      </c>
      <c r="E351" s="31" t="str">
        <f>IFERROR(MATCH($A351,'Tournament Log'!$O$4:$O$203,0)+3,"")</f>
        <v/>
      </c>
      <c r="F351" s="12" t="str">
        <f>IF(C351="","",IF(C351="Match",INDEX('Match Log'!$B:$B,D351),IF(C351="Tournament",INDEX('Tournament Log'!$C:$C,E351),INDEX('Guest Log'!$B:$B,Q351))))</f>
        <v/>
      </c>
      <c r="G351" s="12" t="str">
        <f>IF(C351="","",IF(C351="Match",INDEX('Match Log'!$C:$C,D351),IF(C351="Tournament",INDEX('Tournament Log'!$B:$B,E351)&amp;" (Phantom)",INDEX('Guest Log'!$H:$H,Q351)&amp;" (Guest)")))</f>
        <v/>
      </c>
      <c r="H351" s="32" t="str">
        <f t="array" ref="H351">IF(C351="","",IFERROR(LOOKUP(2,1/(($F$1:F350=F351)+($G$1:G350=F351)),IF($F$1:F350=F351,$N$1:N350,$O$1:O350)),1000))</f>
        <v/>
      </c>
      <c r="I351" s="12" t="str">
        <f t="array" ref="I351">IF(C351="","",IF(C351="Tournament",INDEX('Tournament Log'!$J:$J,E351),IF(C351="Guest",IF(INDEX('Guest Log'!$I:$I,Q351)="",1000,INDEX('Guest Log'!$I:$I,Q351)),IFERROR(LOOKUP(2,1/(($F$1:F350=G351)+($G$1:G350=G351)),IF($F$1:F350=G351,$N$1:N350,$O$1:O350)),1000))))</f>
        <v/>
      </c>
      <c r="J351" s="12" t="str">
        <f t="shared" si="26"/>
        <v/>
      </c>
      <c r="K351" s="12" t="str">
        <f>IF(C351="","",IF(C351="Match",IF(INDEX('Match Log'!$D:$D,D351)="Win",1,IF(INDEX('Match Log'!$D:$D,D351)="Draw",0.5,0)),IF(C351="Tournament",INDEX('Tournament Log'!$K:$K,E351),IF(INDEX('Guest Log'!$C:$C,Q351)="Win",1,IF(INDEX('Guest Log'!$C:$C,Q351)="Draw",0.5,0)))))</f>
        <v/>
      </c>
      <c r="L351" s="12" t="str">
        <f>IF(C351="","",IF(C351="Match",32,IF(C351="Tournament",MIN(32*INDEX('Tournament Log'!$D:$D,E351),96),32)))</f>
        <v/>
      </c>
      <c r="M351" s="12" t="str">
        <f t="shared" si="27"/>
        <v/>
      </c>
      <c r="N351" s="12" t="str">
        <f t="shared" si="28"/>
        <v/>
      </c>
      <c r="O351" s="12" t="str">
        <f t="shared" si="29"/>
        <v/>
      </c>
      <c r="P351" s="12" t="str">
        <f>IF(C351="Tournament",INDEX('Tournament Log'!$B:$B,E351),IF(C351="Guest","Guest: "&amp;INDEX('Guest Log'!$H:$H,Q351),""))</f>
        <v/>
      </c>
      <c r="Q351" t="str">
        <f>IFERROR(MATCH($A351,'Guest Log'!$L$4:$L$203,0)+3,"")</f>
        <v/>
      </c>
    </row>
    <row r="352" spans="1:17" ht="15" customHeight="1" x14ac:dyDescent="0.2">
      <c r="A352" s="12">
        <f>351</f>
        <v>351</v>
      </c>
      <c r="B352" s="12" t="str">
        <f>IF(C352="","",IF(C352="Match",INDEX('Match Log'!$A:$A,D352),IF(C352="Tournament",INDEX('Tournament Log'!$A:$A,E352),INDEX('Guest Log'!$A:$A,Q352))))</f>
        <v/>
      </c>
      <c r="C352" s="12" t="str">
        <f t="shared" si="25"/>
        <v/>
      </c>
      <c r="D352" s="31" t="str">
        <f>IFERROR(MATCH($A352,'Match Log'!$K$3:$K$501,0)+2,"")</f>
        <v/>
      </c>
      <c r="E352" s="31" t="str">
        <f>IFERROR(MATCH($A352,'Tournament Log'!$O$4:$O$203,0)+3,"")</f>
        <v/>
      </c>
      <c r="F352" s="12" t="str">
        <f>IF(C352="","",IF(C352="Match",INDEX('Match Log'!$B:$B,D352),IF(C352="Tournament",INDEX('Tournament Log'!$C:$C,E352),INDEX('Guest Log'!$B:$B,Q352))))</f>
        <v/>
      </c>
      <c r="G352" s="12" t="str">
        <f>IF(C352="","",IF(C352="Match",INDEX('Match Log'!$C:$C,D352),IF(C352="Tournament",INDEX('Tournament Log'!$B:$B,E352)&amp;" (Phantom)",INDEX('Guest Log'!$H:$H,Q352)&amp;" (Guest)")))</f>
        <v/>
      </c>
      <c r="H352" s="32" t="str">
        <f t="array" ref="H352">IF(C352="","",IFERROR(LOOKUP(2,1/(($F$1:F351=F352)+($G$1:G351=F352)),IF($F$1:F351=F352,$N$1:N351,$O$1:O351)),1000))</f>
        <v/>
      </c>
      <c r="I352" s="12" t="str">
        <f t="array" ref="I352">IF(C352="","",IF(C352="Tournament",INDEX('Tournament Log'!$J:$J,E352),IF(C352="Guest",IF(INDEX('Guest Log'!$I:$I,Q352)="",1000,INDEX('Guest Log'!$I:$I,Q352)),IFERROR(LOOKUP(2,1/(($F$1:F351=G352)+($G$1:G351=G352)),IF($F$1:F351=G352,$N$1:N351,$O$1:O351)),1000))))</f>
        <v/>
      </c>
      <c r="J352" s="12" t="str">
        <f t="shared" si="26"/>
        <v/>
      </c>
      <c r="K352" s="12" t="str">
        <f>IF(C352="","",IF(C352="Match",IF(INDEX('Match Log'!$D:$D,D352)="Win",1,IF(INDEX('Match Log'!$D:$D,D352)="Draw",0.5,0)),IF(C352="Tournament",INDEX('Tournament Log'!$K:$K,E352),IF(INDEX('Guest Log'!$C:$C,Q352)="Win",1,IF(INDEX('Guest Log'!$C:$C,Q352)="Draw",0.5,0)))))</f>
        <v/>
      </c>
      <c r="L352" s="12" t="str">
        <f>IF(C352="","",IF(C352="Match",32,IF(C352="Tournament",MIN(32*INDEX('Tournament Log'!$D:$D,E352),96),32)))</f>
        <v/>
      </c>
      <c r="M352" s="12" t="str">
        <f t="shared" si="27"/>
        <v/>
      </c>
      <c r="N352" s="12" t="str">
        <f t="shared" si="28"/>
        <v/>
      </c>
      <c r="O352" s="12" t="str">
        <f t="shared" si="29"/>
        <v/>
      </c>
      <c r="P352" s="12" t="str">
        <f>IF(C352="Tournament",INDEX('Tournament Log'!$B:$B,E352),IF(C352="Guest","Guest: "&amp;INDEX('Guest Log'!$H:$H,Q352),""))</f>
        <v/>
      </c>
      <c r="Q352" t="str">
        <f>IFERROR(MATCH($A352,'Guest Log'!$L$4:$L$203,0)+3,"")</f>
        <v/>
      </c>
    </row>
    <row r="353" spans="1:17" ht="15" customHeight="1" x14ac:dyDescent="0.2">
      <c r="A353" s="12">
        <f>352</f>
        <v>352</v>
      </c>
      <c r="B353" s="12" t="str">
        <f>IF(C353="","",IF(C353="Match",INDEX('Match Log'!$A:$A,D353),IF(C353="Tournament",INDEX('Tournament Log'!$A:$A,E353),INDEX('Guest Log'!$A:$A,Q353))))</f>
        <v/>
      </c>
      <c r="C353" s="12" t="str">
        <f t="shared" si="25"/>
        <v/>
      </c>
      <c r="D353" s="31" t="str">
        <f>IFERROR(MATCH($A353,'Match Log'!$K$3:$K$501,0)+2,"")</f>
        <v/>
      </c>
      <c r="E353" s="31" t="str">
        <f>IFERROR(MATCH($A353,'Tournament Log'!$O$4:$O$203,0)+3,"")</f>
        <v/>
      </c>
      <c r="F353" s="12" t="str">
        <f>IF(C353="","",IF(C353="Match",INDEX('Match Log'!$B:$B,D353),IF(C353="Tournament",INDEX('Tournament Log'!$C:$C,E353),INDEX('Guest Log'!$B:$B,Q353))))</f>
        <v/>
      </c>
      <c r="G353" s="12" t="str">
        <f>IF(C353="","",IF(C353="Match",INDEX('Match Log'!$C:$C,D353),IF(C353="Tournament",INDEX('Tournament Log'!$B:$B,E353)&amp;" (Phantom)",INDEX('Guest Log'!$H:$H,Q353)&amp;" (Guest)")))</f>
        <v/>
      </c>
      <c r="H353" s="32" t="str">
        <f t="array" ref="H353">IF(C353="","",IFERROR(LOOKUP(2,1/(($F$1:F352=F353)+($G$1:G352=F353)),IF($F$1:F352=F353,$N$1:N352,$O$1:O352)),1000))</f>
        <v/>
      </c>
      <c r="I353" s="12" t="str">
        <f t="array" ref="I353">IF(C353="","",IF(C353="Tournament",INDEX('Tournament Log'!$J:$J,E353),IF(C353="Guest",IF(INDEX('Guest Log'!$I:$I,Q353)="",1000,INDEX('Guest Log'!$I:$I,Q353)),IFERROR(LOOKUP(2,1/(($F$1:F352=G353)+($G$1:G352=G353)),IF($F$1:F352=G353,$N$1:N352,$O$1:O352)),1000))))</f>
        <v/>
      </c>
      <c r="J353" s="12" t="str">
        <f t="shared" si="26"/>
        <v/>
      </c>
      <c r="K353" s="12" t="str">
        <f>IF(C353="","",IF(C353="Match",IF(INDEX('Match Log'!$D:$D,D353)="Win",1,IF(INDEX('Match Log'!$D:$D,D353)="Draw",0.5,0)),IF(C353="Tournament",INDEX('Tournament Log'!$K:$K,E353),IF(INDEX('Guest Log'!$C:$C,Q353)="Win",1,IF(INDEX('Guest Log'!$C:$C,Q353)="Draw",0.5,0)))))</f>
        <v/>
      </c>
      <c r="L353" s="12" t="str">
        <f>IF(C353="","",IF(C353="Match",32,IF(C353="Tournament",MIN(32*INDEX('Tournament Log'!$D:$D,E353),96),32)))</f>
        <v/>
      </c>
      <c r="M353" s="12" t="str">
        <f t="shared" si="27"/>
        <v/>
      </c>
      <c r="N353" s="12" t="str">
        <f t="shared" si="28"/>
        <v/>
      </c>
      <c r="O353" s="12" t="str">
        <f t="shared" si="29"/>
        <v/>
      </c>
      <c r="P353" s="12" t="str">
        <f>IF(C353="Tournament",INDEX('Tournament Log'!$B:$B,E353),IF(C353="Guest","Guest: "&amp;INDEX('Guest Log'!$H:$H,Q353),""))</f>
        <v/>
      </c>
      <c r="Q353" t="str">
        <f>IFERROR(MATCH($A353,'Guest Log'!$L$4:$L$203,0)+3,"")</f>
        <v/>
      </c>
    </row>
    <row r="354" spans="1:17" ht="15" customHeight="1" x14ac:dyDescent="0.2">
      <c r="A354" s="12">
        <f>353</f>
        <v>353</v>
      </c>
      <c r="B354" s="12" t="str">
        <f>IF(C354="","",IF(C354="Match",INDEX('Match Log'!$A:$A,D354),IF(C354="Tournament",INDEX('Tournament Log'!$A:$A,E354),INDEX('Guest Log'!$A:$A,Q354))))</f>
        <v/>
      </c>
      <c r="C354" s="12" t="str">
        <f t="shared" si="25"/>
        <v/>
      </c>
      <c r="D354" s="31" t="str">
        <f>IFERROR(MATCH($A354,'Match Log'!$K$3:$K$501,0)+2,"")</f>
        <v/>
      </c>
      <c r="E354" s="31" t="str">
        <f>IFERROR(MATCH($A354,'Tournament Log'!$O$4:$O$203,0)+3,"")</f>
        <v/>
      </c>
      <c r="F354" s="12" t="str">
        <f>IF(C354="","",IF(C354="Match",INDEX('Match Log'!$B:$B,D354),IF(C354="Tournament",INDEX('Tournament Log'!$C:$C,E354),INDEX('Guest Log'!$B:$B,Q354))))</f>
        <v/>
      </c>
      <c r="G354" s="12" t="str">
        <f>IF(C354="","",IF(C354="Match",INDEX('Match Log'!$C:$C,D354),IF(C354="Tournament",INDEX('Tournament Log'!$B:$B,E354)&amp;" (Phantom)",INDEX('Guest Log'!$H:$H,Q354)&amp;" (Guest)")))</f>
        <v/>
      </c>
      <c r="H354" s="32" t="str">
        <f t="array" ref="H354">IF(C354="","",IFERROR(LOOKUP(2,1/(($F$1:F353=F354)+($G$1:G353=F354)),IF($F$1:F353=F354,$N$1:N353,$O$1:O353)),1000))</f>
        <v/>
      </c>
      <c r="I354" s="12" t="str">
        <f t="array" ref="I354">IF(C354="","",IF(C354="Tournament",INDEX('Tournament Log'!$J:$J,E354),IF(C354="Guest",IF(INDEX('Guest Log'!$I:$I,Q354)="",1000,INDEX('Guest Log'!$I:$I,Q354)),IFERROR(LOOKUP(2,1/(($F$1:F353=G354)+($G$1:G353=G354)),IF($F$1:F353=G354,$N$1:N353,$O$1:O353)),1000))))</f>
        <v/>
      </c>
      <c r="J354" s="12" t="str">
        <f t="shared" si="26"/>
        <v/>
      </c>
      <c r="K354" s="12" t="str">
        <f>IF(C354="","",IF(C354="Match",IF(INDEX('Match Log'!$D:$D,D354)="Win",1,IF(INDEX('Match Log'!$D:$D,D354)="Draw",0.5,0)),IF(C354="Tournament",INDEX('Tournament Log'!$K:$K,E354),IF(INDEX('Guest Log'!$C:$C,Q354)="Win",1,IF(INDEX('Guest Log'!$C:$C,Q354)="Draw",0.5,0)))))</f>
        <v/>
      </c>
      <c r="L354" s="12" t="str">
        <f>IF(C354="","",IF(C354="Match",32,IF(C354="Tournament",MIN(32*INDEX('Tournament Log'!$D:$D,E354),96),32)))</f>
        <v/>
      </c>
      <c r="M354" s="12" t="str">
        <f t="shared" si="27"/>
        <v/>
      </c>
      <c r="N354" s="12" t="str">
        <f t="shared" si="28"/>
        <v/>
      </c>
      <c r="O354" s="12" t="str">
        <f t="shared" si="29"/>
        <v/>
      </c>
      <c r="P354" s="12" t="str">
        <f>IF(C354="Tournament",INDEX('Tournament Log'!$B:$B,E354),IF(C354="Guest","Guest: "&amp;INDEX('Guest Log'!$H:$H,Q354),""))</f>
        <v/>
      </c>
      <c r="Q354" t="str">
        <f>IFERROR(MATCH($A354,'Guest Log'!$L$4:$L$203,0)+3,"")</f>
        <v/>
      </c>
    </row>
    <row r="355" spans="1:17" ht="15" customHeight="1" x14ac:dyDescent="0.2">
      <c r="A355" s="12">
        <f>354</f>
        <v>354</v>
      </c>
      <c r="B355" s="12" t="str">
        <f>IF(C355="","",IF(C355="Match",INDEX('Match Log'!$A:$A,D355),IF(C355="Tournament",INDEX('Tournament Log'!$A:$A,E355),INDEX('Guest Log'!$A:$A,Q355))))</f>
        <v/>
      </c>
      <c r="C355" s="12" t="str">
        <f t="shared" si="25"/>
        <v/>
      </c>
      <c r="D355" s="31" t="str">
        <f>IFERROR(MATCH($A355,'Match Log'!$K$3:$K$501,0)+2,"")</f>
        <v/>
      </c>
      <c r="E355" s="31" t="str">
        <f>IFERROR(MATCH($A355,'Tournament Log'!$O$4:$O$203,0)+3,"")</f>
        <v/>
      </c>
      <c r="F355" s="12" t="str">
        <f>IF(C355="","",IF(C355="Match",INDEX('Match Log'!$B:$B,D355),IF(C355="Tournament",INDEX('Tournament Log'!$C:$C,E355),INDEX('Guest Log'!$B:$B,Q355))))</f>
        <v/>
      </c>
      <c r="G355" s="12" t="str">
        <f>IF(C355="","",IF(C355="Match",INDEX('Match Log'!$C:$C,D355),IF(C355="Tournament",INDEX('Tournament Log'!$B:$B,E355)&amp;" (Phantom)",INDEX('Guest Log'!$H:$H,Q355)&amp;" (Guest)")))</f>
        <v/>
      </c>
      <c r="H355" s="32" t="str">
        <f t="array" ref="H355">IF(C355="","",IFERROR(LOOKUP(2,1/(($F$1:F354=F355)+($G$1:G354=F355)),IF($F$1:F354=F355,$N$1:N354,$O$1:O354)),1000))</f>
        <v/>
      </c>
      <c r="I355" s="12" t="str">
        <f t="array" ref="I355">IF(C355="","",IF(C355="Tournament",INDEX('Tournament Log'!$J:$J,E355),IF(C355="Guest",IF(INDEX('Guest Log'!$I:$I,Q355)="",1000,INDEX('Guest Log'!$I:$I,Q355)),IFERROR(LOOKUP(2,1/(($F$1:F354=G355)+($G$1:G354=G355)),IF($F$1:F354=G355,$N$1:N354,$O$1:O354)),1000))))</f>
        <v/>
      </c>
      <c r="J355" s="12" t="str">
        <f t="shared" si="26"/>
        <v/>
      </c>
      <c r="K355" s="12" t="str">
        <f>IF(C355="","",IF(C355="Match",IF(INDEX('Match Log'!$D:$D,D355)="Win",1,IF(INDEX('Match Log'!$D:$D,D355)="Draw",0.5,0)),IF(C355="Tournament",INDEX('Tournament Log'!$K:$K,E355),IF(INDEX('Guest Log'!$C:$C,Q355)="Win",1,IF(INDEX('Guest Log'!$C:$C,Q355)="Draw",0.5,0)))))</f>
        <v/>
      </c>
      <c r="L355" s="12" t="str">
        <f>IF(C355="","",IF(C355="Match",32,IF(C355="Tournament",MIN(32*INDEX('Tournament Log'!$D:$D,E355),96),32)))</f>
        <v/>
      </c>
      <c r="M355" s="12" t="str">
        <f t="shared" si="27"/>
        <v/>
      </c>
      <c r="N355" s="12" t="str">
        <f t="shared" si="28"/>
        <v/>
      </c>
      <c r="O355" s="12" t="str">
        <f t="shared" si="29"/>
        <v/>
      </c>
      <c r="P355" s="12" t="str">
        <f>IF(C355="Tournament",INDEX('Tournament Log'!$B:$B,E355),IF(C355="Guest","Guest: "&amp;INDEX('Guest Log'!$H:$H,Q355),""))</f>
        <v/>
      </c>
      <c r="Q355" t="str">
        <f>IFERROR(MATCH($A355,'Guest Log'!$L$4:$L$203,0)+3,"")</f>
        <v/>
      </c>
    </row>
    <row r="356" spans="1:17" ht="15" customHeight="1" x14ac:dyDescent="0.2">
      <c r="A356" s="12">
        <f>355</f>
        <v>355</v>
      </c>
      <c r="B356" s="12" t="str">
        <f>IF(C356="","",IF(C356="Match",INDEX('Match Log'!$A:$A,D356),IF(C356="Tournament",INDEX('Tournament Log'!$A:$A,E356),INDEX('Guest Log'!$A:$A,Q356))))</f>
        <v/>
      </c>
      <c r="C356" s="12" t="str">
        <f t="shared" si="25"/>
        <v/>
      </c>
      <c r="D356" s="31" t="str">
        <f>IFERROR(MATCH($A356,'Match Log'!$K$3:$K$501,0)+2,"")</f>
        <v/>
      </c>
      <c r="E356" s="31" t="str">
        <f>IFERROR(MATCH($A356,'Tournament Log'!$O$4:$O$203,0)+3,"")</f>
        <v/>
      </c>
      <c r="F356" s="12" t="str">
        <f>IF(C356="","",IF(C356="Match",INDEX('Match Log'!$B:$B,D356),IF(C356="Tournament",INDEX('Tournament Log'!$C:$C,E356),INDEX('Guest Log'!$B:$B,Q356))))</f>
        <v/>
      </c>
      <c r="G356" s="12" t="str">
        <f>IF(C356="","",IF(C356="Match",INDEX('Match Log'!$C:$C,D356),IF(C356="Tournament",INDEX('Tournament Log'!$B:$B,E356)&amp;" (Phantom)",INDEX('Guest Log'!$H:$H,Q356)&amp;" (Guest)")))</f>
        <v/>
      </c>
      <c r="H356" s="32" t="str">
        <f t="array" ref="H356">IF(C356="","",IFERROR(LOOKUP(2,1/(($F$1:F355=F356)+($G$1:G355=F356)),IF($F$1:F355=F356,$N$1:N355,$O$1:O355)),1000))</f>
        <v/>
      </c>
      <c r="I356" s="12" t="str">
        <f t="array" ref="I356">IF(C356="","",IF(C356="Tournament",INDEX('Tournament Log'!$J:$J,E356),IF(C356="Guest",IF(INDEX('Guest Log'!$I:$I,Q356)="",1000,INDEX('Guest Log'!$I:$I,Q356)),IFERROR(LOOKUP(2,1/(($F$1:F355=G356)+($G$1:G355=G356)),IF($F$1:F355=G356,$N$1:N355,$O$1:O355)),1000))))</f>
        <v/>
      </c>
      <c r="J356" s="12" t="str">
        <f t="shared" si="26"/>
        <v/>
      </c>
      <c r="K356" s="12" t="str">
        <f>IF(C356="","",IF(C356="Match",IF(INDEX('Match Log'!$D:$D,D356)="Win",1,IF(INDEX('Match Log'!$D:$D,D356)="Draw",0.5,0)),IF(C356="Tournament",INDEX('Tournament Log'!$K:$K,E356),IF(INDEX('Guest Log'!$C:$C,Q356)="Win",1,IF(INDEX('Guest Log'!$C:$C,Q356)="Draw",0.5,0)))))</f>
        <v/>
      </c>
      <c r="L356" s="12" t="str">
        <f>IF(C356="","",IF(C356="Match",32,IF(C356="Tournament",MIN(32*INDEX('Tournament Log'!$D:$D,E356),96),32)))</f>
        <v/>
      </c>
      <c r="M356" s="12" t="str">
        <f t="shared" si="27"/>
        <v/>
      </c>
      <c r="N356" s="12" t="str">
        <f t="shared" si="28"/>
        <v/>
      </c>
      <c r="O356" s="12" t="str">
        <f t="shared" si="29"/>
        <v/>
      </c>
      <c r="P356" s="12" t="str">
        <f>IF(C356="Tournament",INDEX('Tournament Log'!$B:$B,E356),IF(C356="Guest","Guest: "&amp;INDEX('Guest Log'!$H:$H,Q356),""))</f>
        <v/>
      </c>
      <c r="Q356" t="str">
        <f>IFERROR(MATCH($A356,'Guest Log'!$L$4:$L$203,0)+3,"")</f>
        <v/>
      </c>
    </row>
    <row r="357" spans="1:17" ht="15" customHeight="1" x14ac:dyDescent="0.2">
      <c r="A357" s="12">
        <f>356</f>
        <v>356</v>
      </c>
      <c r="B357" s="12" t="str">
        <f>IF(C357="","",IF(C357="Match",INDEX('Match Log'!$A:$A,D357),IF(C357="Tournament",INDEX('Tournament Log'!$A:$A,E357),INDEX('Guest Log'!$A:$A,Q357))))</f>
        <v/>
      </c>
      <c r="C357" s="12" t="str">
        <f t="shared" si="25"/>
        <v/>
      </c>
      <c r="D357" s="31" t="str">
        <f>IFERROR(MATCH($A357,'Match Log'!$K$3:$K$501,0)+2,"")</f>
        <v/>
      </c>
      <c r="E357" s="31" t="str">
        <f>IFERROR(MATCH($A357,'Tournament Log'!$O$4:$O$203,0)+3,"")</f>
        <v/>
      </c>
      <c r="F357" s="12" t="str">
        <f>IF(C357="","",IF(C357="Match",INDEX('Match Log'!$B:$B,D357),IF(C357="Tournament",INDEX('Tournament Log'!$C:$C,E357),INDEX('Guest Log'!$B:$B,Q357))))</f>
        <v/>
      </c>
      <c r="G357" s="12" t="str">
        <f>IF(C357="","",IF(C357="Match",INDEX('Match Log'!$C:$C,D357),IF(C357="Tournament",INDEX('Tournament Log'!$B:$B,E357)&amp;" (Phantom)",INDEX('Guest Log'!$H:$H,Q357)&amp;" (Guest)")))</f>
        <v/>
      </c>
      <c r="H357" s="32" t="str">
        <f t="array" ref="H357">IF(C357="","",IFERROR(LOOKUP(2,1/(($F$1:F356=F357)+($G$1:G356=F357)),IF($F$1:F356=F357,$N$1:N356,$O$1:O356)),1000))</f>
        <v/>
      </c>
      <c r="I357" s="12" t="str">
        <f t="array" ref="I357">IF(C357="","",IF(C357="Tournament",INDEX('Tournament Log'!$J:$J,E357),IF(C357="Guest",IF(INDEX('Guest Log'!$I:$I,Q357)="",1000,INDEX('Guest Log'!$I:$I,Q357)),IFERROR(LOOKUP(2,1/(($F$1:F356=G357)+($G$1:G356=G357)),IF($F$1:F356=G357,$N$1:N356,$O$1:O356)),1000))))</f>
        <v/>
      </c>
      <c r="J357" s="12" t="str">
        <f t="shared" si="26"/>
        <v/>
      </c>
      <c r="K357" s="12" t="str">
        <f>IF(C357="","",IF(C357="Match",IF(INDEX('Match Log'!$D:$D,D357)="Win",1,IF(INDEX('Match Log'!$D:$D,D357)="Draw",0.5,0)),IF(C357="Tournament",INDEX('Tournament Log'!$K:$K,E357),IF(INDEX('Guest Log'!$C:$C,Q357)="Win",1,IF(INDEX('Guest Log'!$C:$C,Q357)="Draw",0.5,0)))))</f>
        <v/>
      </c>
      <c r="L357" s="12" t="str">
        <f>IF(C357="","",IF(C357="Match",32,IF(C357="Tournament",MIN(32*INDEX('Tournament Log'!$D:$D,E357),96),32)))</f>
        <v/>
      </c>
      <c r="M357" s="12" t="str">
        <f t="shared" si="27"/>
        <v/>
      </c>
      <c r="N357" s="12" t="str">
        <f t="shared" si="28"/>
        <v/>
      </c>
      <c r="O357" s="12" t="str">
        <f t="shared" si="29"/>
        <v/>
      </c>
      <c r="P357" s="12" t="str">
        <f>IF(C357="Tournament",INDEX('Tournament Log'!$B:$B,E357),IF(C357="Guest","Guest: "&amp;INDEX('Guest Log'!$H:$H,Q357),""))</f>
        <v/>
      </c>
      <c r="Q357" t="str">
        <f>IFERROR(MATCH($A357,'Guest Log'!$L$4:$L$203,0)+3,"")</f>
        <v/>
      </c>
    </row>
    <row r="358" spans="1:17" ht="15" customHeight="1" x14ac:dyDescent="0.2">
      <c r="A358" s="12">
        <f>357</f>
        <v>357</v>
      </c>
      <c r="B358" s="12" t="str">
        <f>IF(C358="","",IF(C358="Match",INDEX('Match Log'!$A:$A,D358),IF(C358="Tournament",INDEX('Tournament Log'!$A:$A,E358),INDEX('Guest Log'!$A:$A,Q358))))</f>
        <v/>
      </c>
      <c r="C358" s="12" t="str">
        <f t="shared" si="25"/>
        <v/>
      </c>
      <c r="D358" s="31" t="str">
        <f>IFERROR(MATCH($A358,'Match Log'!$K$3:$K$501,0)+2,"")</f>
        <v/>
      </c>
      <c r="E358" s="31" t="str">
        <f>IFERROR(MATCH($A358,'Tournament Log'!$O$4:$O$203,0)+3,"")</f>
        <v/>
      </c>
      <c r="F358" s="12" t="str">
        <f>IF(C358="","",IF(C358="Match",INDEX('Match Log'!$B:$B,D358),IF(C358="Tournament",INDEX('Tournament Log'!$C:$C,E358),INDEX('Guest Log'!$B:$B,Q358))))</f>
        <v/>
      </c>
      <c r="G358" s="12" t="str">
        <f>IF(C358="","",IF(C358="Match",INDEX('Match Log'!$C:$C,D358),IF(C358="Tournament",INDEX('Tournament Log'!$B:$B,E358)&amp;" (Phantom)",INDEX('Guest Log'!$H:$H,Q358)&amp;" (Guest)")))</f>
        <v/>
      </c>
      <c r="H358" s="32" t="str">
        <f t="array" ref="H358">IF(C358="","",IFERROR(LOOKUP(2,1/(($F$1:F357=F358)+($G$1:G357=F358)),IF($F$1:F357=F358,$N$1:N357,$O$1:O357)),1000))</f>
        <v/>
      </c>
      <c r="I358" s="12" t="str">
        <f t="array" ref="I358">IF(C358="","",IF(C358="Tournament",INDEX('Tournament Log'!$J:$J,E358),IF(C358="Guest",IF(INDEX('Guest Log'!$I:$I,Q358)="",1000,INDEX('Guest Log'!$I:$I,Q358)),IFERROR(LOOKUP(2,1/(($F$1:F357=G358)+($G$1:G357=G358)),IF($F$1:F357=G358,$N$1:N357,$O$1:O357)),1000))))</f>
        <v/>
      </c>
      <c r="J358" s="12" t="str">
        <f t="shared" si="26"/>
        <v/>
      </c>
      <c r="K358" s="12" t="str">
        <f>IF(C358="","",IF(C358="Match",IF(INDEX('Match Log'!$D:$D,D358)="Win",1,IF(INDEX('Match Log'!$D:$D,D358)="Draw",0.5,0)),IF(C358="Tournament",INDEX('Tournament Log'!$K:$K,E358),IF(INDEX('Guest Log'!$C:$C,Q358)="Win",1,IF(INDEX('Guest Log'!$C:$C,Q358)="Draw",0.5,0)))))</f>
        <v/>
      </c>
      <c r="L358" s="12" t="str">
        <f>IF(C358="","",IF(C358="Match",32,IF(C358="Tournament",MIN(32*INDEX('Tournament Log'!$D:$D,E358),96),32)))</f>
        <v/>
      </c>
      <c r="M358" s="12" t="str">
        <f t="shared" si="27"/>
        <v/>
      </c>
      <c r="N358" s="12" t="str">
        <f t="shared" si="28"/>
        <v/>
      </c>
      <c r="O358" s="12" t="str">
        <f t="shared" si="29"/>
        <v/>
      </c>
      <c r="P358" s="12" t="str">
        <f>IF(C358="Tournament",INDEX('Tournament Log'!$B:$B,E358),IF(C358="Guest","Guest: "&amp;INDEX('Guest Log'!$H:$H,Q358),""))</f>
        <v/>
      </c>
      <c r="Q358" t="str">
        <f>IFERROR(MATCH($A358,'Guest Log'!$L$4:$L$203,0)+3,"")</f>
        <v/>
      </c>
    </row>
    <row r="359" spans="1:17" ht="15" customHeight="1" x14ac:dyDescent="0.2">
      <c r="A359" s="12">
        <f>358</f>
        <v>358</v>
      </c>
      <c r="B359" s="12" t="str">
        <f>IF(C359="","",IF(C359="Match",INDEX('Match Log'!$A:$A,D359),IF(C359="Tournament",INDEX('Tournament Log'!$A:$A,E359),INDEX('Guest Log'!$A:$A,Q359))))</f>
        <v/>
      </c>
      <c r="C359" s="12" t="str">
        <f t="shared" si="25"/>
        <v/>
      </c>
      <c r="D359" s="31" t="str">
        <f>IFERROR(MATCH($A359,'Match Log'!$K$3:$K$501,0)+2,"")</f>
        <v/>
      </c>
      <c r="E359" s="31" t="str">
        <f>IFERROR(MATCH($A359,'Tournament Log'!$O$4:$O$203,0)+3,"")</f>
        <v/>
      </c>
      <c r="F359" s="12" t="str">
        <f>IF(C359="","",IF(C359="Match",INDEX('Match Log'!$B:$B,D359),IF(C359="Tournament",INDEX('Tournament Log'!$C:$C,E359),INDEX('Guest Log'!$B:$B,Q359))))</f>
        <v/>
      </c>
      <c r="G359" s="12" t="str">
        <f>IF(C359="","",IF(C359="Match",INDEX('Match Log'!$C:$C,D359),IF(C359="Tournament",INDEX('Tournament Log'!$B:$B,E359)&amp;" (Phantom)",INDEX('Guest Log'!$H:$H,Q359)&amp;" (Guest)")))</f>
        <v/>
      </c>
      <c r="H359" s="32" t="str">
        <f t="array" ref="H359">IF(C359="","",IFERROR(LOOKUP(2,1/(($F$1:F358=F359)+($G$1:G358=F359)),IF($F$1:F358=F359,$N$1:N358,$O$1:O358)),1000))</f>
        <v/>
      </c>
      <c r="I359" s="12" t="str">
        <f t="array" ref="I359">IF(C359="","",IF(C359="Tournament",INDEX('Tournament Log'!$J:$J,E359),IF(C359="Guest",IF(INDEX('Guest Log'!$I:$I,Q359)="",1000,INDEX('Guest Log'!$I:$I,Q359)),IFERROR(LOOKUP(2,1/(($F$1:F358=G359)+($G$1:G358=G359)),IF($F$1:F358=G359,$N$1:N358,$O$1:O358)),1000))))</f>
        <v/>
      </c>
      <c r="J359" s="12" t="str">
        <f t="shared" si="26"/>
        <v/>
      </c>
      <c r="K359" s="12" t="str">
        <f>IF(C359="","",IF(C359="Match",IF(INDEX('Match Log'!$D:$D,D359)="Win",1,IF(INDEX('Match Log'!$D:$D,D359)="Draw",0.5,0)),IF(C359="Tournament",INDEX('Tournament Log'!$K:$K,E359),IF(INDEX('Guest Log'!$C:$C,Q359)="Win",1,IF(INDEX('Guest Log'!$C:$C,Q359)="Draw",0.5,0)))))</f>
        <v/>
      </c>
      <c r="L359" s="12" t="str">
        <f>IF(C359="","",IF(C359="Match",32,IF(C359="Tournament",MIN(32*INDEX('Tournament Log'!$D:$D,E359),96),32)))</f>
        <v/>
      </c>
      <c r="M359" s="12" t="str">
        <f t="shared" si="27"/>
        <v/>
      </c>
      <c r="N359" s="12" t="str">
        <f t="shared" si="28"/>
        <v/>
      </c>
      <c r="O359" s="12" t="str">
        <f t="shared" si="29"/>
        <v/>
      </c>
      <c r="P359" s="12" t="str">
        <f>IF(C359="Tournament",INDEX('Tournament Log'!$B:$B,E359),IF(C359="Guest","Guest: "&amp;INDEX('Guest Log'!$H:$H,Q359),""))</f>
        <v/>
      </c>
      <c r="Q359" t="str">
        <f>IFERROR(MATCH($A359,'Guest Log'!$L$4:$L$203,0)+3,"")</f>
        <v/>
      </c>
    </row>
    <row r="360" spans="1:17" ht="15" customHeight="1" x14ac:dyDescent="0.2">
      <c r="A360" s="12">
        <f>359</f>
        <v>359</v>
      </c>
      <c r="B360" s="12" t="str">
        <f>IF(C360="","",IF(C360="Match",INDEX('Match Log'!$A:$A,D360),IF(C360="Tournament",INDEX('Tournament Log'!$A:$A,E360),INDEX('Guest Log'!$A:$A,Q360))))</f>
        <v/>
      </c>
      <c r="C360" s="12" t="str">
        <f t="shared" si="25"/>
        <v/>
      </c>
      <c r="D360" s="31" t="str">
        <f>IFERROR(MATCH($A360,'Match Log'!$K$3:$K$501,0)+2,"")</f>
        <v/>
      </c>
      <c r="E360" s="31" t="str">
        <f>IFERROR(MATCH($A360,'Tournament Log'!$O$4:$O$203,0)+3,"")</f>
        <v/>
      </c>
      <c r="F360" s="12" t="str">
        <f>IF(C360="","",IF(C360="Match",INDEX('Match Log'!$B:$B,D360),IF(C360="Tournament",INDEX('Tournament Log'!$C:$C,E360),INDEX('Guest Log'!$B:$B,Q360))))</f>
        <v/>
      </c>
      <c r="G360" s="12" t="str">
        <f>IF(C360="","",IF(C360="Match",INDEX('Match Log'!$C:$C,D360),IF(C360="Tournament",INDEX('Tournament Log'!$B:$B,E360)&amp;" (Phantom)",INDEX('Guest Log'!$H:$H,Q360)&amp;" (Guest)")))</f>
        <v/>
      </c>
      <c r="H360" s="32" t="str">
        <f t="array" ref="H360">IF(C360="","",IFERROR(LOOKUP(2,1/(($F$1:F359=F360)+($G$1:G359=F360)),IF($F$1:F359=F360,$N$1:N359,$O$1:O359)),1000))</f>
        <v/>
      </c>
      <c r="I360" s="12" t="str">
        <f t="array" ref="I360">IF(C360="","",IF(C360="Tournament",INDEX('Tournament Log'!$J:$J,E360),IF(C360="Guest",IF(INDEX('Guest Log'!$I:$I,Q360)="",1000,INDEX('Guest Log'!$I:$I,Q360)),IFERROR(LOOKUP(2,1/(($F$1:F359=G360)+($G$1:G359=G360)),IF($F$1:F359=G360,$N$1:N359,$O$1:O359)),1000))))</f>
        <v/>
      </c>
      <c r="J360" s="12" t="str">
        <f t="shared" si="26"/>
        <v/>
      </c>
      <c r="K360" s="12" t="str">
        <f>IF(C360="","",IF(C360="Match",IF(INDEX('Match Log'!$D:$D,D360)="Win",1,IF(INDEX('Match Log'!$D:$D,D360)="Draw",0.5,0)),IF(C360="Tournament",INDEX('Tournament Log'!$K:$K,E360),IF(INDEX('Guest Log'!$C:$C,Q360)="Win",1,IF(INDEX('Guest Log'!$C:$C,Q360)="Draw",0.5,0)))))</f>
        <v/>
      </c>
      <c r="L360" s="12" t="str">
        <f>IF(C360="","",IF(C360="Match",32,IF(C360="Tournament",MIN(32*INDEX('Tournament Log'!$D:$D,E360),96),32)))</f>
        <v/>
      </c>
      <c r="M360" s="12" t="str">
        <f t="shared" si="27"/>
        <v/>
      </c>
      <c r="N360" s="12" t="str">
        <f t="shared" si="28"/>
        <v/>
      </c>
      <c r="O360" s="12" t="str">
        <f t="shared" si="29"/>
        <v/>
      </c>
      <c r="P360" s="12" t="str">
        <f>IF(C360="Tournament",INDEX('Tournament Log'!$B:$B,E360),IF(C360="Guest","Guest: "&amp;INDEX('Guest Log'!$H:$H,Q360),""))</f>
        <v/>
      </c>
      <c r="Q360" t="str">
        <f>IFERROR(MATCH($A360,'Guest Log'!$L$4:$L$203,0)+3,"")</f>
        <v/>
      </c>
    </row>
    <row r="361" spans="1:17" ht="15" customHeight="1" x14ac:dyDescent="0.2">
      <c r="A361" s="12">
        <f>360</f>
        <v>360</v>
      </c>
      <c r="B361" s="12" t="str">
        <f>IF(C361="","",IF(C361="Match",INDEX('Match Log'!$A:$A,D361),IF(C361="Tournament",INDEX('Tournament Log'!$A:$A,E361),INDEX('Guest Log'!$A:$A,Q361))))</f>
        <v/>
      </c>
      <c r="C361" s="12" t="str">
        <f t="shared" si="25"/>
        <v/>
      </c>
      <c r="D361" s="31" t="str">
        <f>IFERROR(MATCH($A361,'Match Log'!$K$3:$K$501,0)+2,"")</f>
        <v/>
      </c>
      <c r="E361" s="31" t="str">
        <f>IFERROR(MATCH($A361,'Tournament Log'!$O$4:$O$203,0)+3,"")</f>
        <v/>
      </c>
      <c r="F361" s="12" t="str">
        <f>IF(C361="","",IF(C361="Match",INDEX('Match Log'!$B:$B,D361),IF(C361="Tournament",INDEX('Tournament Log'!$C:$C,E361),INDEX('Guest Log'!$B:$B,Q361))))</f>
        <v/>
      </c>
      <c r="G361" s="12" t="str">
        <f>IF(C361="","",IF(C361="Match",INDEX('Match Log'!$C:$C,D361),IF(C361="Tournament",INDEX('Tournament Log'!$B:$B,E361)&amp;" (Phantom)",INDEX('Guest Log'!$H:$H,Q361)&amp;" (Guest)")))</f>
        <v/>
      </c>
      <c r="H361" s="32" t="str">
        <f t="array" ref="H361">IF(C361="","",IFERROR(LOOKUP(2,1/(($F$1:F360=F361)+($G$1:G360=F361)),IF($F$1:F360=F361,$N$1:N360,$O$1:O360)),1000))</f>
        <v/>
      </c>
      <c r="I361" s="12" t="str">
        <f t="array" ref="I361">IF(C361="","",IF(C361="Tournament",INDEX('Tournament Log'!$J:$J,E361),IF(C361="Guest",IF(INDEX('Guest Log'!$I:$I,Q361)="",1000,INDEX('Guest Log'!$I:$I,Q361)),IFERROR(LOOKUP(2,1/(($F$1:F360=G361)+($G$1:G360=G361)),IF($F$1:F360=G361,$N$1:N360,$O$1:O360)),1000))))</f>
        <v/>
      </c>
      <c r="J361" s="12" t="str">
        <f t="shared" si="26"/>
        <v/>
      </c>
      <c r="K361" s="12" t="str">
        <f>IF(C361="","",IF(C361="Match",IF(INDEX('Match Log'!$D:$D,D361)="Win",1,IF(INDEX('Match Log'!$D:$D,D361)="Draw",0.5,0)),IF(C361="Tournament",INDEX('Tournament Log'!$K:$K,E361),IF(INDEX('Guest Log'!$C:$C,Q361)="Win",1,IF(INDEX('Guest Log'!$C:$C,Q361)="Draw",0.5,0)))))</f>
        <v/>
      </c>
      <c r="L361" s="12" t="str">
        <f>IF(C361="","",IF(C361="Match",32,IF(C361="Tournament",MIN(32*INDEX('Tournament Log'!$D:$D,E361),96),32)))</f>
        <v/>
      </c>
      <c r="M361" s="12" t="str">
        <f t="shared" si="27"/>
        <v/>
      </c>
      <c r="N361" s="12" t="str">
        <f t="shared" si="28"/>
        <v/>
      </c>
      <c r="O361" s="12" t="str">
        <f t="shared" si="29"/>
        <v/>
      </c>
      <c r="P361" s="12" t="str">
        <f>IF(C361="Tournament",INDEX('Tournament Log'!$B:$B,E361),IF(C361="Guest","Guest: "&amp;INDEX('Guest Log'!$H:$H,Q361),""))</f>
        <v/>
      </c>
      <c r="Q361" t="str">
        <f>IFERROR(MATCH($A361,'Guest Log'!$L$4:$L$203,0)+3,"")</f>
        <v/>
      </c>
    </row>
    <row r="362" spans="1:17" ht="15" customHeight="1" x14ac:dyDescent="0.2">
      <c r="A362" s="12">
        <f>361</f>
        <v>361</v>
      </c>
      <c r="B362" s="12" t="str">
        <f>IF(C362="","",IF(C362="Match",INDEX('Match Log'!$A:$A,D362),IF(C362="Tournament",INDEX('Tournament Log'!$A:$A,E362),INDEX('Guest Log'!$A:$A,Q362))))</f>
        <v/>
      </c>
      <c r="C362" s="12" t="str">
        <f t="shared" si="25"/>
        <v/>
      </c>
      <c r="D362" s="31" t="str">
        <f>IFERROR(MATCH($A362,'Match Log'!$K$3:$K$501,0)+2,"")</f>
        <v/>
      </c>
      <c r="E362" s="31" t="str">
        <f>IFERROR(MATCH($A362,'Tournament Log'!$O$4:$O$203,0)+3,"")</f>
        <v/>
      </c>
      <c r="F362" s="12" t="str">
        <f>IF(C362="","",IF(C362="Match",INDEX('Match Log'!$B:$B,D362),IF(C362="Tournament",INDEX('Tournament Log'!$C:$C,E362),INDEX('Guest Log'!$B:$B,Q362))))</f>
        <v/>
      </c>
      <c r="G362" s="12" t="str">
        <f>IF(C362="","",IF(C362="Match",INDEX('Match Log'!$C:$C,D362),IF(C362="Tournament",INDEX('Tournament Log'!$B:$B,E362)&amp;" (Phantom)",INDEX('Guest Log'!$H:$H,Q362)&amp;" (Guest)")))</f>
        <v/>
      </c>
      <c r="H362" s="32" t="str">
        <f t="array" ref="H362">IF(C362="","",IFERROR(LOOKUP(2,1/(($F$1:F361=F362)+($G$1:G361=F362)),IF($F$1:F361=F362,$N$1:N361,$O$1:O361)),1000))</f>
        <v/>
      </c>
      <c r="I362" s="12" t="str">
        <f t="array" ref="I362">IF(C362="","",IF(C362="Tournament",INDEX('Tournament Log'!$J:$J,E362),IF(C362="Guest",IF(INDEX('Guest Log'!$I:$I,Q362)="",1000,INDEX('Guest Log'!$I:$I,Q362)),IFERROR(LOOKUP(2,1/(($F$1:F361=G362)+($G$1:G361=G362)),IF($F$1:F361=G362,$N$1:N361,$O$1:O361)),1000))))</f>
        <v/>
      </c>
      <c r="J362" s="12" t="str">
        <f t="shared" si="26"/>
        <v/>
      </c>
      <c r="K362" s="12" t="str">
        <f>IF(C362="","",IF(C362="Match",IF(INDEX('Match Log'!$D:$D,D362)="Win",1,IF(INDEX('Match Log'!$D:$D,D362)="Draw",0.5,0)),IF(C362="Tournament",INDEX('Tournament Log'!$K:$K,E362),IF(INDEX('Guest Log'!$C:$C,Q362)="Win",1,IF(INDEX('Guest Log'!$C:$C,Q362)="Draw",0.5,0)))))</f>
        <v/>
      </c>
      <c r="L362" s="12" t="str">
        <f>IF(C362="","",IF(C362="Match",32,IF(C362="Tournament",MIN(32*INDEX('Tournament Log'!$D:$D,E362),96),32)))</f>
        <v/>
      </c>
      <c r="M362" s="12" t="str">
        <f t="shared" si="27"/>
        <v/>
      </c>
      <c r="N362" s="12" t="str">
        <f t="shared" si="28"/>
        <v/>
      </c>
      <c r="O362" s="12" t="str">
        <f t="shared" si="29"/>
        <v/>
      </c>
      <c r="P362" s="12" t="str">
        <f>IF(C362="Tournament",INDEX('Tournament Log'!$B:$B,E362),IF(C362="Guest","Guest: "&amp;INDEX('Guest Log'!$H:$H,Q362),""))</f>
        <v/>
      </c>
      <c r="Q362" t="str">
        <f>IFERROR(MATCH($A362,'Guest Log'!$L$4:$L$203,0)+3,"")</f>
        <v/>
      </c>
    </row>
    <row r="363" spans="1:17" ht="15" customHeight="1" x14ac:dyDescent="0.2">
      <c r="A363" s="12">
        <f>362</f>
        <v>362</v>
      </c>
      <c r="B363" s="12" t="str">
        <f>IF(C363="","",IF(C363="Match",INDEX('Match Log'!$A:$A,D363),IF(C363="Tournament",INDEX('Tournament Log'!$A:$A,E363),INDEX('Guest Log'!$A:$A,Q363))))</f>
        <v/>
      </c>
      <c r="C363" s="12" t="str">
        <f t="shared" si="25"/>
        <v/>
      </c>
      <c r="D363" s="31" t="str">
        <f>IFERROR(MATCH($A363,'Match Log'!$K$3:$K$501,0)+2,"")</f>
        <v/>
      </c>
      <c r="E363" s="31" t="str">
        <f>IFERROR(MATCH($A363,'Tournament Log'!$O$4:$O$203,0)+3,"")</f>
        <v/>
      </c>
      <c r="F363" s="12" t="str">
        <f>IF(C363="","",IF(C363="Match",INDEX('Match Log'!$B:$B,D363),IF(C363="Tournament",INDEX('Tournament Log'!$C:$C,E363),INDEX('Guest Log'!$B:$B,Q363))))</f>
        <v/>
      </c>
      <c r="G363" s="12" t="str">
        <f>IF(C363="","",IF(C363="Match",INDEX('Match Log'!$C:$C,D363),IF(C363="Tournament",INDEX('Tournament Log'!$B:$B,E363)&amp;" (Phantom)",INDEX('Guest Log'!$H:$H,Q363)&amp;" (Guest)")))</f>
        <v/>
      </c>
      <c r="H363" s="32" t="str">
        <f t="array" ref="H363">IF(C363="","",IFERROR(LOOKUP(2,1/(($F$1:F362=F363)+($G$1:G362=F363)),IF($F$1:F362=F363,$N$1:N362,$O$1:O362)),1000))</f>
        <v/>
      </c>
      <c r="I363" s="12" t="str">
        <f t="array" ref="I363">IF(C363="","",IF(C363="Tournament",INDEX('Tournament Log'!$J:$J,E363),IF(C363="Guest",IF(INDEX('Guest Log'!$I:$I,Q363)="",1000,INDEX('Guest Log'!$I:$I,Q363)),IFERROR(LOOKUP(2,1/(($F$1:F362=G363)+($G$1:G362=G363)),IF($F$1:F362=G363,$N$1:N362,$O$1:O362)),1000))))</f>
        <v/>
      </c>
      <c r="J363" s="12" t="str">
        <f t="shared" si="26"/>
        <v/>
      </c>
      <c r="K363" s="12" t="str">
        <f>IF(C363="","",IF(C363="Match",IF(INDEX('Match Log'!$D:$D,D363)="Win",1,IF(INDEX('Match Log'!$D:$D,D363)="Draw",0.5,0)),IF(C363="Tournament",INDEX('Tournament Log'!$K:$K,E363),IF(INDEX('Guest Log'!$C:$C,Q363)="Win",1,IF(INDEX('Guest Log'!$C:$C,Q363)="Draw",0.5,0)))))</f>
        <v/>
      </c>
      <c r="L363" s="12" t="str">
        <f>IF(C363="","",IF(C363="Match",32,IF(C363="Tournament",MIN(32*INDEX('Tournament Log'!$D:$D,E363),96),32)))</f>
        <v/>
      </c>
      <c r="M363" s="12" t="str">
        <f t="shared" si="27"/>
        <v/>
      </c>
      <c r="N363" s="12" t="str">
        <f t="shared" si="28"/>
        <v/>
      </c>
      <c r="O363" s="12" t="str">
        <f t="shared" si="29"/>
        <v/>
      </c>
      <c r="P363" s="12" t="str">
        <f>IF(C363="Tournament",INDEX('Tournament Log'!$B:$B,E363),IF(C363="Guest","Guest: "&amp;INDEX('Guest Log'!$H:$H,Q363),""))</f>
        <v/>
      </c>
      <c r="Q363" t="str">
        <f>IFERROR(MATCH($A363,'Guest Log'!$L$4:$L$203,0)+3,"")</f>
        <v/>
      </c>
    </row>
    <row r="364" spans="1:17" ht="15" customHeight="1" x14ac:dyDescent="0.2">
      <c r="A364" s="12">
        <f>363</f>
        <v>363</v>
      </c>
      <c r="B364" s="12" t="str">
        <f>IF(C364="","",IF(C364="Match",INDEX('Match Log'!$A:$A,D364),IF(C364="Tournament",INDEX('Tournament Log'!$A:$A,E364),INDEX('Guest Log'!$A:$A,Q364))))</f>
        <v/>
      </c>
      <c r="C364" s="12" t="str">
        <f t="shared" si="25"/>
        <v/>
      </c>
      <c r="D364" s="31" t="str">
        <f>IFERROR(MATCH($A364,'Match Log'!$K$3:$K$501,0)+2,"")</f>
        <v/>
      </c>
      <c r="E364" s="31" t="str">
        <f>IFERROR(MATCH($A364,'Tournament Log'!$O$4:$O$203,0)+3,"")</f>
        <v/>
      </c>
      <c r="F364" s="12" t="str">
        <f>IF(C364="","",IF(C364="Match",INDEX('Match Log'!$B:$B,D364),IF(C364="Tournament",INDEX('Tournament Log'!$C:$C,E364),INDEX('Guest Log'!$B:$B,Q364))))</f>
        <v/>
      </c>
      <c r="G364" s="12" t="str">
        <f>IF(C364="","",IF(C364="Match",INDEX('Match Log'!$C:$C,D364),IF(C364="Tournament",INDEX('Tournament Log'!$B:$B,E364)&amp;" (Phantom)",INDEX('Guest Log'!$H:$H,Q364)&amp;" (Guest)")))</f>
        <v/>
      </c>
      <c r="H364" s="32" t="str">
        <f t="array" ref="H364">IF(C364="","",IFERROR(LOOKUP(2,1/(($F$1:F363=F364)+($G$1:G363=F364)),IF($F$1:F363=F364,$N$1:N363,$O$1:O363)),1000))</f>
        <v/>
      </c>
      <c r="I364" s="12" t="str">
        <f t="array" ref="I364">IF(C364="","",IF(C364="Tournament",INDEX('Tournament Log'!$J:$J,E364),IF(C364="Guest",IF(INDEX('Guest Log'!$I:$I,Q364)="",1000,INDEX('Guest Log'!$I:$I,Q364)),IFERROR(LOOKUP(2,1/(($F$1:F363=G364)+($G$1:G363=G364)),IF($F$1:F363=G364,$N$1:N363,$O$1:O363)),1000))))</f>
        <v/>
      </c>
      <c r="J364" s="12" t="str">
        <f t="shared" si="26"/>
        <v/>
      </c>
      <c r="K364" s="12" t="str">
        <f>IF(C364="","",IF(C364="Match",IF(INDEX('Match Log'!$D:$D,D364)="Win",1,IF(INDEX('Match Log'!$D:$D,D364)="Draw",0.5,0)),IF(C364="Tournament",INDEX('Tournament Log'!$K:$K,E364),IF(INDEX('Guest Log'!$C:$C,Q364)="Win",1,IF(INDEX('Guest Log'!$C:$C,Q364)="Draw",0.5,0)))))</f>
        <v/>
      </c>
      <c r="L364" s="12" t="str">
        <f>IF(C364="","",IF(C364="Match",32,IF(C364="Tournament",MIN(32*INDEX('Tournament Log'!$D:$D,E364),96),32)))</f>
        <v/>
      </c>
      <c r="M364" s="12" t="str">
        <f t="shared" si="27"/>
        <v/>
      </c>
      <c r="N364" s="12" t="str">
        <f t="shared" si="28"/>
        <v/>
      </c>
      <c r="O364" s="12" t="str">
        <f t="shared" si="29"/>
        <v/>
      </c>
      <c r="P364" s="12" t="str">
        <f>IF(C364="Tournament",INDEX('Tournament Log'!$B:$B,E364),IF(C364="Guest","Guest: "&amp;INDEX('Guest Log'!$H:$H,Q364),""))</f>
        <v/>
      </c>
      <c r="Q364" t="str">
        <f>IFERROR(MATCH($A364,'Guest Log'!$L$4:$L$203,0)+3,"")</f>
        <v/>
      </c>
    </row>
    <row r="365" spans="1:17" ht="15" customHeight="1" x14ac:dyDescent="0.2">
      <c r="A365" s="12">
        <f>364</f>
        <v>364</v>
      </c>
      <c r="B365" s="12" t="str">
        <f>IF(C365="","",IF(C365="Match",INDEX('Match Log'!$A:$A,D365),IF(C365="Tournament",INDEX('Tournament Log'!$A:$A,E365),INDEX('Guest Log'!$A:$A,Q365))))</f>
        <v/>
      </c>
      <c r="C365" s="12" t="str">
        <f t="shared" si="25"/>
        <v/>
      </c>
      <c r="D365" s="31" t="str">
        <f>IFERROR(MATCH($A365,'Match Log'!$K$3:$K$501,0)+2,"")</f>
        <v/>
      </c>
      <c r="E365" s="31" t="str">
        <f>IFERROR(MATCH($A365,'Tournament Log'!$O$4:$O$203,0)+3,"")</f>
        <v/>
      </c>
      <c r="F365" s="12" t="str">
        <f>IF(C365="","",IF(C365="Match",INDEX('Match Log'!$B:$B,D365),IF(C365="Tournament",INDEX('Tournament Log'!$C:$C,E365),INDEX('Guest Log'!$B:$B,Q365))))</f>
        <v/>
      </c>
      <c r="G365" s="12" t="str">
        <f>IF(C365="","",IF(C365="Match",INDEX('Match Log'!$C:$C,D365),IF(C365="Tournament",INDEX('Tournament Log'!$B:$B,E365)&amp;" (Phantom)",INDEX('Guest Log'!$H:$H,Q365)&amp;" (Guest)")))</f>
        <v/>
      </c>
      <c r="H365" s="32" t="str">
        <f t="array" ref="H365">IF(C365="","",IFERROR(LOOKUP(2,1/(($F$1:F364=F365)+($G$1:G364=F365)),IF($F$1:F364=F365,$N$1:N364,$O$1:O364)),1000))</f>
        <v/>
      </c>
      <c r="I365" s="12" t="str">
        <f t="array" ref="I365">IF(C365="","",IF(C365="Tournament",INDEX('Tournament Log'!$J:$J,E365),IF(C365="Guest",IF(INDEX('Guest Log'!$I:$I,Q365)="",1000,INDEX('Guest Log'!$I:$I,Q365)),IFERROR(LOOKUP(2,1/(($F$1:F364=G365)+($G$1:G364=G365)),IF($F$1:F364=G365,$N$1:N364,$O$1:O364)),1000))))</f>
        <v/>
      </c>
      <c r="J365" s="12" t="str">
        <f t="shared" si="26"/>
        <v/>
      </c>
      <c r="K365" s="12" t="str">
        <f>IF(C365="","",IF(C365="Match",IF(INDEX('Match Log'!$D:$D,D365)="Win",1,IF(INDEX('Match Log'!$D:$D,D365)="Draw",0.5,0)),IF(C365="Tournament",INDEX('Tournament Log'!$K:$K,E365),IF(INDEX('Guest Log'!$C:$C,Q365)="Win",1,IF(INDEX('Guest Log'!$C:$C,Q365)="Draw",0.5,0)))))</f>
        <v/>
      </c>
      <c r="L365" s="12" t="str">
        <f>IF(C365="","",IF(C365="Match",32,IF(C365="Tournament",MIN(32*INDEX('Tournament Log'!$D:$D,E365),96),32)))</f>
        <v/>
      </c>
      <c r="M365" s="12" t="str">
        <f t="shared" si="27"/>
        <v/>
      </c>
      <c r="N365" s="12" t="str">
        <f t="shared" si="28"/>
        <v/>
      </c>
      <c r="O365" s="12" t="str">
        <f t="shared" si="29"/>
        <v/>
      </c>
      <c r="P365" s="12" t="str">
        <f>IF(C365="Tournament",INDEX('Tournament Log'!$B:$B,E365),IF(C365="Guest","Guest: "&amp;INDEX('Guest Log'!$H:$H,Q365),""))</f>
        <v/>
      </c>
      <c r="Q365" t="str">
        <f>IFERROR(MATCH($A365,'Guest Log'!$L$4:$L$203,0)+3,"")</f>
        <v/>
      </c>
    </row>
    <row r="366" spans="1:17" ht="15" customHeight="1" x14ac:dyDescent="0.2">
      <c r="A366" s="12">
        <f>365</f>
        <v>365</v>
      </c>
      <c r="B366" s="12" t="str">
        <f>IF(C366="","",IF(C366="Match",INDEX('Match Log'!$A:$A,D366),IF(C366="Tournament",INDEX('Tournament Log'!$A:$A,E366),INDEX('Guest Log'!$A:$A,Q366))))</f>
        <v/>
      </c>
      <c r="C366" s="12" t="str">
        <f t="shared" si="25"/>
        <v/>
      </c>
      <c r="D366" s="31" t="str">
        <f>IFERROR(MATCH($A366,'Match Log'!$K$3:$K$501,0)+2,"")</f>
        <v/>
      </c>
      <c r="E366" s="31" t="str">
        <f>IFERROR(MATCH($A366,'Tournament Log'!$O$4:$O$203,0)+3,"")</f>
        <v/>
      </c>
      <c r="F366" s="12" t="str">
        <f>IF(C366="","",IF(C366="Match",INDEX('Match Log'!$B:$B,D366),IF(C366="Tournament",INDEX('Tournament Log'!$C:$C,E366),INDEX('Guest Log'!$B:$B,Q366))))</f>
        <v/>
      </c>
      <c r="G366" s="12" t="str">
        <f>IF(C366="","",IF(C366="Match",INDEX('Match Log'!$C:$C,D366),IF(C366="Tournament",INDEX('Tournament Log'!$B:$B,E366)&amp;" (Phantom)",INDEX('Guest Log'!$H:$H,Q366)&amp;" (Guest)")))</f>
        <v/>
      </c>
      <c r="H366" s="32" t="str">
        <f t="array" ref="H366">IF(C366="","",IFERROR(LOOKUP(2,1/(($F$1:F365=F366)+($G$1:G365=F366)),IF($F$1:F365=F366,$N$1:N365,$O$1:O365)),1000))</f>
        <v/>
      </c>
      <c r="I366" s="12" t="str">
        <f t="array" ref="I366">IF(C366="","",IF(C366="Tournament",INDEX('Tournament Log'!$J:$J,E366),IF(C366="Guest",IF(INDEX('Guest Log'!$I:$I,Q366)="",1000,INDEX('Guest Log'!$I:$I,Q366)),IFERROR(LOOKUP(2,1/(($F$1:F365=G366)+($G$1:G365=G366)),IF($F$1:F365=G366,$N$1:N365,$O$1:O365)),1000))))</f>
        <v/>
      </c>
      <c r="J366" s="12" t="str">
        <f t="shared" si="26"/>
        <v/>
      </c>
      <c r="K366" s="12" t="str">
        <f>IF(C366="","",IF(C366="Match",IF(INDEX('Match Log'!$D:$D,D366)="Win",1,IF(INDEX('Match Log'!$D:$D,D366)="Draw",0.5,0)),IF(C366="Tournament",INDEX('Tournament Log'!$K:$K,E366),IF(INDEX('Guest Log'!$C:$C,Q366)="Win",1,IF(INDEX('Guest Log'!$C:$C,Q366)="Draw",0.5,0)))))</f>
        <v/>
      </c>
      <c r="L366" s="12" t="str">
        <f>IF(C366="","",IF(C366="Match",32,IF(C366="Tournament",MIN(32*INDEX('Tournament Log'!$D:$D,E366),96),32)))</f>
        <v/>
      </c>
      <c r="M366" s="12" t="str">
        <f t="shared" si="27"/>
        <v/>
      </c>
      <c r="N366" s="12" t="str">
        <f t="shared" si="28"/>
        <v/>
      </c>
      <c r="O366" s="12" t="str">
        <f t="shared" si="29"/>
        <v/>
      </c>
      <c r="P366" s="12" t="str">
        <f>IF(C366="Tournament",INDEX('Tournament Log'!$B:$B,E366),IF(C366="Guest","Guest: "&amp;INDEX('Guest Log'!$H:$H,Q366),""))</f>
        <v/>
      </c>
      <c r="Q366" t="str">
        <f>IFERROR(MATCH($A366,'Guest Log'!$L$4:$L$203,0)+3,"")</f>
        <v/>
      </c>
    </row>
    <row r="367" spans="1:17" ht="15" customHeight="1" x14ac:dyDescent="0.2">
      <c r="A367" s="12">
        <f>366</f>
        <v>366</v>
      </c>
      <c r="B367" s="12" t="str">
        <f>IF(C367="","",IF(C367="Match",INDEX('Match Log'!$A:$A,D367),IF(C367="Tournament",INDEX('Tournament Log'!$A:$A,E367),INDEX('Guest Log'!$A:$A,Q367))))</f>
        <v/>
      </c>
      <c r="C367" s="12" t="str">
        <f t="shared" si="25"/>
        <v/>
      </c>
      <c r="D367" s="31" t="str">
        <f>IFERROR(MATCH($A367,'Match Log'!$K$3:$K$501,0)+2,"")</f>
        <v/>
      </c>
      <c r="E367" s="31" t="str">
        <f>IFERROR(MATCH($A367,'Tournament Log'!$O$4:$O$203,0)+3,"")</f>
        <v/>
      </c>
      <c r="F367" s="12" t="str">
        <f>IF(C367="","",IF(C367="Match",INDEX('Match Log'!$B:$B,D367),IF(C367="Tournament",INDEX('Tournament Log'!$C:$C,E367),INDEX('Guest Log'!$B:$B,Q367))))</f>
        <v/>
      </c>
      <c r="G367" s="12" t="str">
        <f>IF(C367="","",IF(C367="Match",INDEX('Match Log'!$C:$C,D367),IF(C367="Tournament",INDEX('Tournament Log'!$B:$B,E367)&amp;" (Phantom)",INDEX('Guest Log'!$H:$H,Q367)&amp;" (Guest)")))</f>
        <v/>
      </c>
      <c r="H367" s="32" t="str">
        <f t="array" ref="H367">IF(C367="","",IFERROR(LOOKUP(2,1/(($F$1:F366=F367)+($G$1:G366=F367)),IF($F$1:F366=F367,$N$1:N366,$O$1:O366)),1000))</f>
        <v/>
      </c>
      <c r="I367" s="12" t="str">
        <f t="array" ref="I367">IF(C367="","",IF(C367="Tournament",INDEX('Tournament Log'!$J:$J,E367),IF(C367="Guest",IF(INDEX('Guest Log'!$I:$I,Q367)="",1000,INDEX('Guest Log'!$I:$I,Q367)),IFERROR(LOOKUP(2,1/(($F$1:F366=G367)+($G$1:G366=G367)),IF($F$1:F366=G367,$N$1:N366,$O$1:O366)),1000))))</f>
        <v/>
      </c>
      <c r="J367" s="12" t="str">
        <f t="shared" si="26"/>
        <v/>
      </c>
      <c r="K367" s="12" t="str">
        <f>IF(C367="","",IF(C367="Match",IF(INDEX('Match Log'!$D:$D,D367)="Win",1,IF(INDEX('Match Log'!$D:$D,D367)="Draw",0.5,0)),IF(C367="Tournament",INDEX('Tournament Log'!$K:$K,E367),IF(INDEX('Guest Log'!$C:$C,Q367)="Win",1,IF(INDEX('Guest Log'!$C:$C,Q367)="Draw",0.5,0)))))</f>
        <v/>
      </c>
      <c r="L367" s="12" t="str">
        <f>IF(C367="","",IF(C367="Match",32,IF(C367="Tournament",MIN(32*INDEX('Tournament Log'!$D:$D,E367),96),32)))</f>
        <v/>
      </c>
      <c r="M367" s="12" t="str">
        <f t="shared" si="27"/>
        <v/>
      </c>
      <c r="N367" s="12" t="str">
        <f t="shared" si="28"/>
        <v/>
      </c>
      <c r="O367" s="12" t="str">
        <f t="shared" si="29"/>
        <v/>
      </c>
      <c r="P367" s="12" t="str">
        <f>IF(C367="Tournament",INDEX('Tournament Log'!$B:$B,E367),IF(C367="Guest","Guest: "&amp;INDEX('Guest Log'!$H:$H,Q367),""))</f>
        <v/>
      </c>
      <c r="Q367" t="str">
        <f>IFERROR(MATCH($A367,'Guest Log'!$L$4:$L$203,0)+3,"")</f>
        <v/>
      </c>
    </row>
    <row r="368" spans="1:17" ht="15" customHeight="1" x14ac:dyDescent="0.2">
      <c r="A368" s="12">
        <f>367</f>
        <v>367</v>
      </c>
      <c r="B368" s="12" t="str">
        <f>IF(C368="","",IF(C368="Match",INDEX('Match Log'!$A:$A,D368),IF(C368="Tournament",INDEX('Tournament Log'!$A:$A,E368),INDEX('Guest Log'!$A:$A,Q368))))</f>
        <v/>
      </c>
      <c r="C368" s="12" t="str">
        <f t="shared" si="25"/>
        <v/>
      </c>
      <c r="D368" s="31" t="str">
        <f>IFERROR(MATCH($A368,'Match Log'!$K$3:$K$501,0)+2,"")</f>
        <v/>
      </c>
      <c r="E368" s="31" t="str">
        <f>IFERROR(MATCH($A368,'Tournament Log'!$O$4:$O$203,0)+3,"")</f>
        <v/>
      </c>
      <c r="F368" s="12" t="str">
        <f>IF(C368="","",IF(C368="Match",INDEX('Match Log'!$B:$B,D368),IF(C368="Tournament",INDEX('Tournament Log'!$C:$C,E368),INDEX('Guest Log'!$B:$B,Q368))))</f>
        <v/>
      </c>
      <c r="G368" s="12" t="str">
        <f>IF(C368="","",IF(C368="Match",INDEX('Match Log'!$C:$C,D368),IF(C368="Tournament",INDEX('Tournament Log'!$B:$B,E368)&amp;" (Phantom)",INDEX('Guest Log'!$H:$H,Q368)&amp;" (Guest)")))</f>
        <v/>
      </c>
      <c r="H368" s="32" t="str">
        <f t="array" ref="H368">IF(C368="","",IFERROR(LOOKUP(2,1/(($F$1:F367=F368)+($G$1:G367=F368)),IF($F$1:F367=F368,$N$1:N367,$O$1:O367)),1000))</f>
        <v/>
      </c>
      <c r="I368" s="12" t="str">
        <f t="array" ref="I368">IF(C368="","",IF(C368="Tournament",INDEX('Tournament Log'!$J:$J,E368),IF(C368="Guest",IF(INDEX('Guest Log'!$I:$I,Q368)="",1000,INDEX('Guest Log'!$I:$I,Q368)),IFERROR(LOOKUP(2,1/(($F$1:F367=G368)+($G$1:G367=G368)),IF($F$1:F367=G368,$N$1:N367,$O$1:O367)),1000))))</f>
        <v/>
      </c>
      <c r="J368" s="12" t="str">
        <f t="shared" si="26"/>
        <v/>
      </c>
      <c r="K368" s="12" t="str">
        <f>IF(C368="","",IF(C368="Match",IF(INDEX('Match Log'!$D:$D,D368)="Win",1,IF(INDEX('Match Log'!$D:$D,D368)="Draw",0.5,0)),IF(C368="Tournament",INDEX('Tournament Log'!$K:$K,E368),IF(INDEX('Guest Log'!$C:$C,Q368)="Win",1,IF(INDEX('Guest Log'!$C:$C,Q368)="Draw",0.5,0)))))</f>
        <v/>
      </c>
      <c r="L368" s="12" t="str">
        <f>IF(C368="","",IF(C368="Match",32,IF(C368="Tournament",MIN(32*INDEX('Tournament Log'!$D:$D,E368),96),32)))</f>
        <v/>
      </c>
      <c r="M368" s="12" t="str">
        <f t="shared" si="27"/>
        <v/>
      </c>
      <c r="N368" s="12" t="str">
        <f t="shared" si="28"/>
        <v/>
      </c>
      <c r="O368" s="12" t="str">
        <f t="shared" si="29"/>
        <v/>
      </c>
      <c r="P368" s="12" t="str">
        <f>IF(C368="Tournament",INDEX('Tournament Log'!$B:$B,E368),IF(C368="Guest","Guest: "&amp;INDEX('Guest Log'!$H:$H,Q368),""))</f>
        <v/>
      </c>
      <c r="Q368" t="str">
        <f>IFERROR(MATCH($A368,'Guest Log'!$L$4:$L$203,0)+3,"")</f>
        <v/>
      </c>
    </row>
    <row r="369" spans="1:17" ht="15" customHeight="1" x14ac:dyDescent="0.2">
      <c r="A369" s="12">
        <f>368</f>
        <v>368</v>
      </c>
      <c r="B369" s="12" t="str">
        <f>IF(C369="","",IF(C369="Match",INDEX('Match Log'!$A:$A,D369),IF(C369="Tournament",INDEX('Tournament Log'!$A:$A,E369),INDEX('Guest Log'!$A:$A,Q369))))</f>
        <v/>
      </c>
      <c r="C369" s="12" t="str">
        <f t="shared" si="25"/>
        <v/>
      </c>
      <c r="D369" s="31" t="str">
        <f>IFERROR(MATCH($A369,'Match Log'!$K$3:$K$501,0)+2,"")</f>
        <v/>
      </c>
      <c r="E369" s="31" t="str">
        <f>IFERROR(MATCH($A369,'Tournament Log'!$O$4:$O$203,0)+3,"")</f>
        <v/>
      </c>
      <c r="F369" s="12" t="str">
        <f>IF(C369="","",IF(C369="Match",INDEX('Match Log'!$B:$B,D369),IF(C369="Tournament",INDEX('Tournament Log'!$C:$C,E369),INDEX('Guest Log'!$B:$B,Q369))))</f>
        <v/>
      </c>
      <c r="G369" s="12" t="str">
        <f>IF(C369="","",IF(C369="Match",INDEX('Match Log'!$C:$C,D369),IF(C369="Tournament",INDEX('Tournament Log'!$B:$B,E369)&amp;" (Phantom)",INDEX('Guest Log'!$H:$H,Q369)&amp;" (Guest)")))</f>
        <v/>
      </c>
      <c r="H369" s="32" t="str">
        <f t="array" ref="H369">IF(C369="","",IFERROR(LOOKUP(2,1/(($F$1:F368=F369)+($G$1:G368=F369)),IF($F$1:F368=F369,$N$1:N368,$O$1:O368)),1000))</f>
        <v/>
      </c>
      <c r="I369" s="12" t="str">
        <f t="array" ref="I369">IF(C369="","",IF(C369="Tournament",INDEX('Tournament Log'!$J:$J,E369),IF(C369="Guest",IF(INDEX('Guest Log'!$I:$I,Q369)="",1000,INDEX('Guest Log'!$I:$I,Q369)),IFERROR(LOOKUP(2,1/(($F$1:F368=G369)+($G$1:G368=G369)),IF($F$1:F368=G369,$N$1:N368,$O$1:O368)),1000))))</f>
        <v/>
      </c>
      <c r="J369" s="12" t="str">
        <f t="shared" si="26"/>
        <v/>
      </c>
      <c r="K369" s="12" t="str">
        <f>IF(C369="","",IF(C369="Match",IF(INDEX('Match Log'!$D:$D,D369)="Win",1,IF(INDEX('Match Log'!$D:$D,D369)="Draw",0.5,0)),IF(C369="Tournament",INDEX('Tournament Log'!$K:$K,E369),IF(INDEX('Guest Log'!$C:$C,Q369)="Win",1,IF(INDEX('Guest Log'!$C:$C,Q369)="Draw",0.5,0)))))</f>
        <v/>
      </c>
      <c r="L369" s="12" t="str">
        <f>IF(C369="","",IF(C369="Match",32,IF(C369="Tournament",MIN(32*INDEX('Tournament Log'!$D:$D,E369),96),32)))</f>
        <v/>
      </c>
      <c r="M369" s="12" t="str">
        <f t="shared" si="27"/>
        <v/>
      </c>
      <c r="N369" s="12" t="str">
        <f t="shared" si="28"/>
        <v/>
      </c>
      <c r="O369" s="12" t="str">
        <f t="shared" si="29"/>
        <v/>
      </c>
      <c r="P369" s="12" t="str">
        <f>IF(C369="Tournament",INDEX('Tournament Log'!$B:$B,E369),IF(C369="Guest","Guest: "&amp;INDEX('Guest Log'!$H:$H,Q369),""))</f>
        <v/>
      </c>
      <c r="Q369" t="str">
        <f>IFERROR(MATCH($A369,'Guest Log'!$L$4:$L$203,0)+3,"")</f>
        <v/>
      </c>
    </row>
    <row r="370" spans="1:17" ht="15" customHeight="1" x14ac:dyDescent="0.2">
      <c r="A370" s="12">
        <f>369</f>
        <v>369</v>
      </c>
      <c r="B370" s="12" t="str">
        <f>IF(C370="","",IF(C370="Match",INDEX('Match Log'!$A:$A,D370),IF(C370="Tournament",INDEX('Tournament Log'!$A:$A,E370),INDEX('Guest Log'!$A:$A,Q370))))</f>
        <v/>
      </c>
      <c r="C370" s="12" t="str">
        <f t="shared" si="25"/>
        <v/>
      </c>
      <c r="D370" s="31" t="str">
        <f>IFERROR(MATCH($A370,'Match Log'!$K$3:$K$501,0)+2,"")</f>
        <v/>
      </c>
      <c r="E370" s="31" t="str">
        <f>IFERROR(MATCH($A370,'Tournament Log'!$O$4:$O$203,0)+3,"")</f>
        <v/>
      </c>
      <c r="F370" s="12" t="str">
        <f>IF(C370="","",IF(C370="Match",INDEX('Match Log'!$B:$B,D370),IF(C370="Tournament",INDEX('Tournament Log'!$C:$C,E370),INDEX('Guest Log'!$B:$B,Q370))))</f>
        <v/>
      </c>
      <c r="G370" s="12" t="str">
        <f>IF(C370="","",IF(C370="Match",INDEX('Match Log'!$C:$C,D370),IF(C370="Tournament",INDEX('Tournament Log'!$B:$B,E370)&amp;" (Phantom)",INDEX('Guest Log'!$H:$H,Q370)&amp;" (Guest)")))</f>
        <v/>
      </c>
      <c r="H370" s="32" t="str">
        <f t="array" ref="H370">IF(C370="","",IFERROR(LOOKUP(2,1/(($F$1:F369=F370)+($G$1:G369=F370)),IF($F$1:F369=F370,$N$1:N369,$O$1:O369)),1000))</f>
        <v/>
      </c>
      <c r="I370" s="12" t="str">
        <f t="array" ref="I370">IF(C370="","",IF(C370="Tournament",INDEX('Tournament Log'!$J:$J,E370),IF(C370="Guest",IF(INDEX('Guest Log'!$I:$I,Q370)="",1000,INDEX('Guest Log'!$I:$I,Q370)),IFERROR(LOOKUP(2,1/(($F$1:F369=G370)+($G$1:G369=G370)),IF($F$1:F369=G370,$N$1:N369,$O$1:O369)),1000))))</f>
        <v/>
      </c>
      <c r="J370" s="12" t="str">
        <f t="shared" si="26"/>
        <v/>
      </c>
      <c r="K370" s="12" t="str">
        <f>IF(C370="","",IF(C370="Match",IF(INDEX('Match Log'!$D:$D,D370)="Win",1,IF(INDEX('Match Log'!$D:$D,D370)="Draw",0.5,0)),IF(C370="Tournament",INDEX('Tournament Log'!$K:$K,E370),IF(INDEX('Guest Log'!$C:$C,Q370)="Win",1,IF(INDEX('Guest Log'!$C:$C,Q370)="Draw",0.5,0)))))</f>
        <v/>
      </c>
      <c r="L370" s="12" t="str">
        <f>IF(C370="","",IF(C370="Match",32,IF(C370="Tournament",MIN(32*INDEX('Tournament Log'!$D:$D,E370),96),32)))</f>
        <v/>
      </c>
      <c r="M370" s="12" t="str">
        <f t="shared" si="27"/>
        <v/>
      </c>
      <c r="N370" s="12" t="str">
        <f t="shared" si="28"/>
        <v/>
      </c>
      <c r="O370" s="12" t="str">
        <f t="shared" si="29"/>
        <v/>
      </c>
      <c r="P370" s="12" t="str">
        <f>IF(C370="Tournament",INDEX('Tournament Log'!$B:$B,E370),IF(C370="Guest","Guest: "&amp;INDEX('Guest Log'!$H:$H,Q370),""))</f>
        <v/>
      </c>
      <c r="Q370" t="str">
        <f>IFERROR(MATCH($A370,'Guest Log'!$L$4:$L$203,0)+3,"")</f>
        <v/>
      </c>
    </row>
    <row r="371" spans="1:17" ht="15" customHeight="1" x14ac:dyDescent="0.2">
      <c r="A371" s="12">
        <f>370</f>
        <v>370</v>
      </c>
      <c r="B371" s="12" t="str">
        <f>IF(C371="","",IF(C371="Match",INDEX('Match Log'!$A:$A,D371),IF(C371="Tournament",INDEX('Tournament Log'!$A:$A,E371),INDEX('Guest Log'!$A:$A,Q371))))</f>
        <v/>
      </c>
      <c r="C371" s="12" t="str">
        <f t="shared" si="25"/>
        <v/>
      </c>
      <c r="D371" s="31" t="str">
        <f>IFERROR(MATCH($A371,'Match Log'!$K$3:$K$501,0)+2,"")</f>
        <v/>
      </c>
      <c r="E371" s="31" t="str">
        <f>IFERROR(MATCH($A371,'Tournament Log'!$O$4:$O$203,0)+3,"")</f>
        <v/>
      </c>
      <c r="F371" s="12" t="str">
        <f>IF(C371="","",IF(C371="Match",INDEX('Match Log'!$B:$B,D371),IF(C371="Tournament",INDEX('Tournament Log'!$C:$C,E371),INDEX('Guest Log'!$B:$B,Q371))))</f>
        <v/>
      </c>
      <c r="G371" s="12" t="str">
        <f>IF(C371="","",IF(C371="Match",INDEX('Match Log'!$C:$C,D371),IF(C371="Tournament",INDEX('Tournament Log'!$B:$B,E371)&amp;" (Phantom)",INDEX('Guest Log'!$H:$H,Q371)&amp;" (Guest)")))</f>
        <v/>
      </c>
      <c r="H371" s="32" t="str">
        <f t="array" ref="H371">IF(C371="","",IFERROR(LOOKUP(2,1/(($F$1:F370=F371)+($G$1:G370=F371)),IF($F$1:F370=F371,$N$1:N370,$O$1:O370)),1000))</f>
        <v/>
      </c>
      <c r="I371" s="12" t="str">
        <f t="array" ref="I371">IF(C371="","",IF(C371="Tournament",INDEX('Tournament Log'!$J:$J,E371),IF(C371="Guest",IF(INDEX('Guest Log'!$I:$I,Q371)="",1000,INDEX('Guest Log'!$I:$I,Q371)),IFERROR(LOOKUP(2,1/(($F$1:F370=G371)+($G$1:G370=G371)),IF($F$1:F370=G371,$N$1:N370,$O$1:O370)),1000))))</f>
        <v/>
      </c>
      <c r="J371" s="12" t="str">
        <f t="shared" si="26"/>
        <v/>
      </c>
      <c r="K371" s="12" t="str">
        <f>IF(C371="","",IF(C371="Match",IF(INDEX('Match Log'!$D:$D,D371)="Win",1,IF(INDEX('Match Log'!$D:$D,D371)="Draw",0.5,0)),IF(C371="Tournament",INDEX('Tournament Log'!$K:$K,E371),IF(INDEX('Guest Log'!$C:$C,Q371)="Win",1,IF(INDEX('Guest Log'!$C:$C,Q371)="Draw",0.5,0)))))</f>
        <v/>
      </c>
      <c r="L371" s="12" t="str">
        <f>IF(C371="","",IF(C371="Match",32,IF(C371="Tournament",MIN(32*INDEX('Tournament Log'!$D:$D,E371),96),32)))</f>
        <v/>
      </c>
      <c r="M371" s="12" t="str">
        <f t="shared" si="27"/>
        <v/>
      </c>
      <c r="N371" s="12" t="str">
        <f t="shared" si="28"/>
        <v/>
      </c>
      <c r="O371" s="12" t="str">
        <f t="shared" si="29"/>
        <v/>
      </c>
      <c r="P371" s="12" t="str">
        <f>IF(C371="Tournament",INDEX('Tournament Log'!$B:$B,E371),IF(C371="Guest","Guest: "&amp;INDEX('Guest Log'!$H:$H,Q371),""))</f>
        <v/>
      </c>
      <c r="Q371" t="str">
        <f>IFERROR(MATCH($A371,'Guest Log'!$L$4:$L$203,0)+3,"")</f>
        <v/>
      </c>
    </row>
    <row r="372" spans="1:17" ht="15" customHeight="1" x14ac:dyDescent="0.2">
      <c r="A372" s="12">
        <f>371</f>
        <v>371</v>
      </c>
      <c r="B372" s="12" t="str">
        <f>IF(C372="","",IF(C372="Match",INDEX('Match Log'!$A:$A,D372),IF(C372="Tournament",INDEX('Tournament Log'!$A:$A,E372),INDEX('Guest Log'!$A:$A,Q372))))</f>
        <v/>
      </c>
      <c r="C372" s="12" t="str">
        <f t="shared" si="25"/>
        <v/>
      </c>
      <c r="D372" s="31" t="str">
        <f>IFERROR(MATCH($A372,'Match Log'!$K$3:$K$501,0)+2,"")</f>
        <v/>
      </c>
      <c r="E372" s="31" t="str">
        <f>IFERROR(MATCH($A372,'Tournament Log'!$O$4:$O$203,0)+3,"")</f>
        <v/>
      </c>
      <c r="F372" s="12" t="str">
        <f>IF(C372="","",IF(C372="Match",INDEX('Match Log'!$B:$B,D372),IF(C372="Tournament",INDEX('Tournament Log'!$C:$C,E372),INDEX('Guest Log'!$B:$B,Q372))))</f>
        <v/>
      </c>
      <c r="G372" s="12" t="str">
        <f>IF(C372="","",IF(C372="Match",INDEX('Match Log'!$C:$C,D372),IF(C372="Tournament",INDEX('Tournament Log'!$B:$B,E372)&amp;" (Phantom)",INDEX('Guest Log'!$H:$H,Q372)&amp;" (Guest)")))</f>
        <v/>
      </c>
      <c r="H372" s="32" t="str">
        <f t="array" ref="H372">IF(C372="","",IFERROR(LOOKUP(2,1/(($F$1:F371=F372)+($G$1:G371=F372)),IF($F$1:F371=F372,$N$1:N371,$O$1:O371)),1000))</f>
        <v/>
      </c>
      <c r="I372" s="12" t="str">
        <f t="array" ref="I372">IF(C372="","",IF(C372="Tournament",INDEX('Tournament Log'!$J:$J,E372),IF(C372="Guest",IF(INDEX('Guest Log'!$I:$I,Q372)="",1000,INDEX('Guest Log'!$I:$I,Q372)),IFERROR(LOOKUP(2,1/(($F$1:F371=G372)+($G$1:G371=G372)),IF($F$1:F371=G372,$N$1:N371,$O$1:O371)),1000))))</f>
        <v/>
      </c>
      <c r="J372" s="12" t="str">
        <f t="shared" si="26"/>
        <v/>
      </c>
      <c r="K372" s="12" t="str">
        <f>IF(C372="","",IF(C372="Match",IF(INDEX('Match Log'!$D:$D,D372)="Win",1,IF(INDEX('Match Log'!$D:$D,D372)="Draw",0.5,0)),IF(C372="Tournament",INDEX('Tournament Log'!$K:$K,E372),IF(INDEX('Guest Log'!$C:$C,Q372)="Win",1,IF(INDEX('Guest Log'!$C:$C,Q372)="Draw",0.5,0)))))</f>
        <v/>
      </c>
      <c r="L372" s="12" t="str">
        <f>IF(C372="","",IF(C372="Match",32,IF(C372="Tournament",MIN(32*INDEX('Tournament Log'!$D:$D,E372),96),32)))</f>
        <v/>
      </c>
      <c r="M372" s="12" t="str">
        <f t="shared" si="27"/>
        <v/>
      </c>
      <c r="N372" s="12" t="str">
        <f t="shared" si="28"/>
        <v/>
      </c>
      <c r="O372" s="12" t="str">
        <f t="shared" si="29"/>
        <v/>
      </c>
      <c r="P372" s="12" t="str">
        <f>IF(C372="Tournament",INDEX('Tournament Log'!$B:$B,E372),IF(C372="Guest","Guest: "&amp;INDEX('Guest Log'!$H:$H,Q372),""))</f>
        <v/>
      </c>
      <c r="Q372" t="str">
        <f>IFERROR(MATCH($A372,'Guest Log'!$L$4:$L$203,0)+3,"")</f>
        <v/>
      </c>
    </row>
    <row r="373" spans="1:17" ht="15" customHeight="1" x14ac:dyDescent="0.2">
      <c r="A373" s="12">
        <f>372</f>
        <v>372</v>
      </c>
      <c r="B373" s="12" t="str">
        <f>IF(C373="","",IF(C373="Match",INDEX('Match Log'!$A:$A,D373),IF(C373="Tournament",INDEX('Tournament Log'!$A:$A,E373),INDEX('Guest Log'!$A:$A,Q373))))</f>
        <v/>
      </c>
      <c r="C373" s="12" t="str">
        <f t="shared" si="25"/>
        <v/>
      </c>
      <c r="D373" s="31" t="str">
        <f>IFERROR(MATCH($A373,'Match Log'!$K$3:$K$501,0)+2,"")</f>
        <v/>
      </c>
      <c r="E373" s="31" t="str">
        <f>IFERROR(MATCH($A373,'Tournament Log'!$O$4:$O$203,0)+3,"")</f>
        <v/>
      </c>
      <c r="F373" s="12" t="str">
        <f>IF(C373="","",IF(C373="Match",INDEX('Match Log'!$B:$B,D373),IF(C373="Tournament",INDEX('Tournament Log'!$C:$C,E373),INDEX('Guest Log'!$B:$B,Q373))))</f>
        <v/>
      </c>
      <c r="G373" s="12" t="str">
        <f>IF(C373="","",IF(C373="Match",INDEX('Match Log'!$C:$C,D373),IF(C373="Tournament",INDEX('Tournament Log'!$B:$B,E373)&amp;" (Phantom)",INDEX('Guest Log'!$H:$H,Q373)&amp;" (Guest)")))</f>
        <v/>
      </c>
      <c r="H373" s="32" t="str">
        <f t="array" ref="H373">IF(C373="","",IFERROR(LOOKUP(2,1/(($F$1:F372=F373)+($G$1:G372=F373)),IF($F$1:F372=F373,$N$1:N372,$O$1:O372)),1000))</f>
        <v/>
      </c>
      <c r="I373" s="12" t="str">
        <f t="array" ref="I373">IF(C373="","",IF(C373="Tournament",INDEX('Tournament Log'!$J:$J,E373),IF(C373="Guest",IF(INDEX('Guest Log'!$I:$I,Q373)="",1000,INDEX('Guest Log'!$I:$I,Q373)),IFERROR(LOOKUP(2,1/(($F$1:F372=G373)+($G$1:G372=G373)),IF($F$1:F372=G373,$N$1:N372,$O$1:O372)),1000))))</f>
        <v/>
      </c>
      <c r="J373" s="12" t="str">
        <f t="shared" si="26"/>
        <v/>
      </c>
      <c r="K373" s="12" t="str">
        <f>IF(C373="","",IF(C373="Match",IF(INDEX('Match Log'!$D:$D,D373)="Win",1,IF(INDEX('Match Log'!$D:$D,D373)="Draw",0.5,0)),IF(C373="Tournament",INDEX('Tournament Log'!$K:$K,E373),IF(INDEX('Guest Log'!$C:$C,Q373)="Win",1,IF(INDEX('Guest Log'!$C:$C,Q373)="Draw",0.5,0)))))</f>
        <v/>
      </c>
      <c r="L373" s="12" t="str">
        <f>IF(C373="","",IF(C373="Match",32,IF(C373="Tournament",MIN(32*INDEX('Tournament Log'!$D:$D,E373),96),32)))</f>
        <v/>
      </c>
      <c r="M373" s="12" t="str">
        <f t="shared" si="27"/>
        <v/>
      </c>
      <c r="N373" s="12" t="str">
        <f t="shared" si="28"/>
        <v/>
      </c>
      <c r="O373" s="12" t="str">
        <f t="shared" si="29"/>
        <v/>
      </c>
      <c r="P373" s="12" t="str">
        <f>IF(C373="Tournament",INDEX('Tournament Log'!$B:$B,E373),IF(C373="Guest","Guest: "&amp;INDEX('Guest Log'!$H:$H,Q373),""))</f>
        <v/>
      </c>
      <c r="Q373" t="str">
        <f>IFERROR(MATCH($A373,'Guest Log'!$L$4:$L$203,0)+3,"")</f>
        <v/>
      </c>
    </row>
    <row r="374" spans="1:17" ht="15" customHeight="1" x14ac:dyDescent="0.2">
      <c r="A374" s="12">
        <f>373</f>
        <v>373</v>
      </c>
      <c r="B374" s="12" t="str">
        <f>IF(C374="","",IF(C374="Match",INDEX('Match Log'!$A:$A,D374),IF(C374="Tournament",INDEX('Tournament Log'!$A:$A,E374),INDEX('Guest Log'!$A:$A,Q374))))</f>
        <v/>
      </c>
      <c r="C374" s="12" t="str">
        <f t="shared" si="25"/>
        <v/>
      </c>
      <c r="D374" s="31" t="str">
        <f>IFERROR(MATCH($A374,'Match Log'!$K$3:$K$501,0)+2,"")</f>
        <v/>
      </c>
      <c r="E374" s="31" t="str">
        <f>IFERROR(MATCH($A374,'Tournament Log'!$O$4:$O$203,0)+3,"")</f>
        <v/>
      </c>
      <c r="F374" s="12" t="str">
        <f>IF(C374="","",IF(C374="Match",INDEX('Match Log'!$B:$B,D374),IF(C374="Tournament",INDEX('Tournament Log'!$C:$C,E374),INDEX('Guest Log'!$B:$B,Q374))))</f>
        <v/>
      </c>
      <c r="G374" s="12" t="str">
        <f>IF(C374="","",IF(C374="Match",INDEX('Match Log'!$C:$C,D374),IF(C374="Tournament",INDEX('Tournament Log'!$B:$B,E374)&amp;" (Phantom)",INDEX('Guest Log'!$H:$H,Q374)&amp;" (Guest)")))</f>
        <v/>
      </c>
      <c r="H374" s="32" t="str">
        <f t="array" ref="H374">IF(C374="","",IFERROR(LOOKUP(2,1/(($F$1:F373=F374)+($G$1:G373=F374)),IF($F$1:F373=F374,$N$1:N373,$O$1:O373)),1000))</f>
        <v/>
      </c>
      <c r="I374" s="12" t="str">
        <f t="array" ref="I374">IF(C374="","",IF(C374="Tournament",INDEX('Tournament Log'!$J:$J,E374),IF(C374="Guest",IF(INDEX('Guest Log'!$I:$I,Q374)="",1000,INDEX('Guest Log'!$I:$I,Q374)),IFERROR(LOOKUP(2,1/(($F$1:F373=G374)+($G$1:G373=G374)),IF($F$1:F373=G374,$N$1:N373,$O$1:O373)),1000))))</f>
        <v/>
      </c>
      <c r="J374" s="12" t="str">
        <f t="shared" si="26"/>
        <v/>
      </c>
      <c r="K374" s="12" t="str">
        <f>IF(C374="","",IF(C374="Match",IF(INDEX('Match Log'!$D:$D,D374)="Win",1,IF(INDEX('Match Log'!$D:$D,D374)="Draw",0.5,0)),IF(C374="Tournament",INDEX('Tournament Log'!$K:$K,E374),IF(INDEX('Guest Log'!$C:$C,Q374)="Win",1,IF(INDEX('Guest Log'!$C:$C,Q374)="Draw",0.5,0)))))</f>
        <v/>
      </c>
      <c r="L374" s="12" t="str">
        <f>IF(C374="","",IF(C374="Match",32,IF(C374="Tournament",MIN(32*INDEX('Tournament Log'!$D:$D,E374),96),32)))</f>
        <v/>
      </c>
      <c r="M374" s="12" t="str">
        <f t="shared" si="27"/>
        <v/>
      </c>
      <c r="N374" s="12" t="str">
        <f t="shared" si="28"/>
        <v/>
      </c>
      <c r="O374" s="12" t="str">
        <f t="shared" si="29"/>
        <v/>
      </c>
      <c r="P374" s="12" t="str">
        <f>IF(C374="Tournament",INDEX('Tournament Log'!$B:$B,E374),IF(C374="Guest","Guest: "&amp;INDEX('Guest Log'!$H:$H,Q374),""))</f>
        <v/>
      </c>
      <c r="Q374" t="str">
        <f>IFERROR(MATCH($A374,'Guest Log'!$L$4:$L$203,0)+3,"")</f>
        <v/>
      </c>
    </row>
    <row r="375" spans="1:17" ht="15" customHeight="1" x14ac:dyDescent="0.2">
      <c r="A375" s="12">
        <f>374</f>
        <v>374</v>
      </c>
      <c r="B375" s="12" t="str">
        <f>IF(C375="","",IF(C375="Match",INDEX('Match Log'!$A:$A,D375),IF(C375="Tournament",INDEX('Tournament Log'!$A:$A,E375),INDEX('Guest Log'!$A:$A,Q375))))</f>
        <v/>
      </c>
      <c r="C375" s="12" t="str">
        <f t="shared" si="25"/>
        <v/>
      </c>
      <c r="D375" s="31" t="str">
        <f>IFERROR(MATCH($A375,'Match Log'!$K$3:$K$501,0)+2,"")</f>
        <v/>
      </c>
      <c r="E375" s="31" t="str">
        <f>IFERROR(MATCH($A375,'Tournament Log'!$O$4:$O$203,0)+3,"")</f>
        <v/>
      </c>
      <c r="F375" s="12" t="str">
        <f>IF(C375="","",IF(C375="Match",INDEX('Match Log'!$B:$B,D375),IF(C375="Tournament",INDEX('Tournament Log'!$C:$C,E375),INDEX('Guest Log'!$B:$B,Q375))))</f>
        <v/>
      </c>
      <c r="G375" s="12" t="str">
        <f>IF(C375="","",IF(C375="Match",INDEX('Match Log'!$C:$C,D375),IF(C375="Tournament",INDEX('Tournament Log'!$B:$B,E375)&amp;" (Phantom)",INDEX('Guest Log'!$H:$H,Q375)&amp;" (Guest)")))</f>
        <v/>
      </c>
      <c r="H375" s="32" t="str">
        <f t="array" ref="H375">IF(C375="","",IFERROR(LOOKUP(2,1/(($F$1:F374=F375)+($G$1:G374=F375)),IF($F$1:F374=F375,$N$1:N374,$O$1:O374)),1000))</f>
        <v/>
      </c>
      <c r="I375" s="12" t="str">
        <f t="array" ref="I375">IF(C375="","",IF(C375="Tournament",INDEX('Tournament Log'!$J:$J,E375),IF(C375="Guest",IF(INDEX('Guest Log'!$I:$I,Q375)="",1000,INDEX('Guest Log'!$I:$I,Q375)),IFERROR(LOOKUP(2,1/(($F$1:F374=G375)+($G$1:G374=G375)),IF($F$1:F374=G375,$N$1:N374,$O$1:O374)),1000))))</f>
        <v/>
      </c>
      <c r="J375" s="12" t="str">
        <f t="shared" si="26"/>
        <v/>
      </c>
      <c r="K375" s="12" t="str">
        <f>IF(C375="","",IF(C375="Match",IF(INDEX('Match Log'!$D:$D,D375)="Win",1,IF(INDEX('Match Log'!$D:$D,D375)="Draw",0.5,0)),IF(C375="Tournament",INDEX('Tournament Log'!$K:$K,E375),IF(INDEX('Guest Log'!$C:$C,Q375)="Win",1,IF(INDEX('Guest Log'!$C:$C,Q375)="Draw",0.5,0)))))</f>
        <v/>
      </c>
      <c r="L375" s="12" t="str">
        <f>IF(C375="","",IF(C375="Match",32,IF(C375="Tournament",MIN(32*INDEX('Tournament Log'!$D:$D,E375),96),32)))</f>
        <v/>
      </c>
      <c r="M375" s="12" t="str">
        <f t="shared" si="27"/>
        <v/>
      </c>
      <c r="N375" s="12" t="str">
        <f t="shared" si="28"/>
        <v/>
      </c>
      <c r="O375" s="12" t="str">
        <f t="shared" si="29"/>
        <v/>
      </c>
      <c r="P375" s="12" t="str">
        <f>IF(C375="Tournament",INDEX('Tournament Log'!$B:$B,E375),IF(C375="Guest","Guest: "&amp;INDEX('Guest Log'!$H:$H,Q375),""))</f>
        <v/>
      </c>
      <c r="Q375" t="str">
        <f>IFERROR(MATCH($A375,'Guest Log'!$L$4:$L$203,0)+3,"")</f>
        <v/>
      </c>
    </row>
    <row r="376" spans="1:17" ht="15" customHeight="1" x14ac:dyDescent="0.2">
      <c r="A376" s="12">
        <f>375</f>
        <v>375</v>
      </c>
      <c r="B376" s="12" t="str">
        <f>IF(C376="","",IF(C376="Match",INDEX('Match Log'!$A:$A,D376),IF(C376="Tournament",INDEX('Tournament Log'!$A:$A,E376),INDEX('Guest Log'!$A:$A,Q376))))</f>
        <v/>
      </c>
      <c r="C376" s="12" t="str">
        <f t="shared" si="25"/>
        <v/>
      </c>
      <c r="D376" s="31" t="str">
        <f>IFERROR(MATCH($A376,'Match Log'!$K$3:$K$501,0)+2,"")</f>
        <v/>
      </c>
      <c r="E376" s="31" t="str">
        <f>IFERROR(MATCH($A376,'Tournament Log'!$O$4:$O$203,0)+3,"")</f>
        <v/>
      </c>
      <c r="F376" s="12" t="str">
        <f>IF(C376="","",IF(C376="Match",INDEX('Match Log'!$B:$B,D376),IF(C376="Tournament",INDEX('Tournament Log'!$C:$C,E376),INDEX('Guest Log'!$B:$B,Q376))))</f>
        <v/>
      </c>
      <c r="G376" s="12" t="str">
        <f>IF(C376="","",IF(C376="Match",INDEX('Match Log'!$C:$C,D376),IF(C376="Tournament",INDEX('Tournament Log'!$B:$B,E376)&amp;" (Phantom)",INDEX('Guest Log'!$H:$H,Q376)&amp;" (Guest)")))</f>
        <v/>
      </c>
      <c r="H376" s="32" t="str">
        <f t="array" ref="H376">IF(C376="","",IFERROR(LOOKUP(2,1/(($F$1:F375=F376)+($G$1:G375=F376)),IF($F$1:F375=F376,$N$1:N375,$O$1:O375)),1000))</f>
        <v/>
      </c>
      <c r="I376" s="12" t="str">
        <f t="array" ref="I376">IF(C376="","",IF(C376="Tournament",INDEX('Tournament Log'!$J:$J,E376),IF(C376="Guest",IF(INDEX('Guest Log'!$I:$I,Q376)="",1000,INDEX('Guest Log'!$I:$I,Q376)),IFERROR(LOOKUP(2,1/(($F$1:F375=G376)+($G$1:G375=G376)),IF($F$1:F375=G376,$N$1:N375,$O$1:O375)),1000))))</f>
        <v/>
      </c>
      <c r="J376" s="12" t="str">
        <f t="shared" si="26"/>
        <v/>
      </c>
      <c r="K376" s="12" t="str">
        <f>IF(C376="","",IF(C376="Match",IF(INDEX('Match Log'!$D:$D,D376)="Win",1,IF(INDEX('Match Log'!$D:$D,D376)="Draw",0.5,0)),IF(C376="Tournament",INDEX('Tournament Log'!$K:$K,E376),IF(INDEX('Guest Log'!$C:$C,Q376)="Win",1,IF(INDEX('Guest Log'!$C:$C,Q376)="Draw",0.5,0)))))</f>
        <v/>
      </c>
      <c r="L376" s="12" t="str">
        <f>IF(C376="","",IF(C376="Match",32,IF(C376="Tournament",MIN(32*INDEX('Tournament Log'!$D:$D,E376),96),32)))</f>
        <v/>
      </c>
      <c r="M376" s="12" t="str">
        <f t="shared" si="27"/>
        <v/>
      </c>
      <c r="N376" s="12" t="str">
        <f t="shared" si="28"/>
        <v/>
      </c>
      <c r="O376" s="12" t="str">
        <f t="shared" si="29"/>
        <v/>
      </c>
      <c r="P376" s="12" t="str">
        <f>IF(C376="Tournament",INDEX('Tournament Log'!$B:$B,E376),IF(C376="Guest","Guest: "&amp;INDEX('Guest Log'!$H:$H,Q376),""))</f>
        <v/>
      </c>
      <c r="Q376" t="str">
        <f>IFERROR(MATCH($A376,'Guest Log'!$L$4:$L$203,0)+3,"")</f>
        <v/>
      </c>
    </row>
    <row r="377" spans="1:17" ht="15" customHeight="1" x14ac:dyDescent="0.2">
      <c r="A377" s="12">
        <f>376</f>
        <v>376</v>
      </c>
      <c r="B377" s="12" t="str">
        <f>IF(C377="","",IF(C377="Match",INDEX('Match Log'!$A:$A,D377),IF(C377="Tournament",INDEX('Tournament Log'!$A:$A,E377),INDEX('Guest Log'!$A:$A,Q377))))</f>
        <v/>
      </c>
      <c r="C377" s="12" t="str">
        <f t="shared" si="25"/>
        <v/>
      </c>
      <c r="D377" s="31" t="str">
        <f>IFERROR(MATCH($A377,'Match Log'!$K$3:$K$501,0)+2,"")</f>
        <v/>
      </c>
      <c r="E377" s="31" t="str">
        <f>IFERROR(MATCH($A377,'Tournament Log'!$O$4:$O$203,0)+3,"")</f>
        <v/>
      </c>
      <c r="F377" s="12" t="str">
        <f>IF(C377="","",IF(C377="Match",INDEX('Match Log'!$B:$B,D377),IF(C377="Tournament",INDEX('Tournament Log'!$C:$C,E377),INDEX('Guest Log'!$B:$B,Q377))))</f>
        <v/>
      </c>
      <c r="G377" s="12" t="str">
        <f>IF(C377="","",IF(C377="Match",INDEX('Match Log'!$C:$C,D377),IF(C377="Tournament",INDEX('Tournament Log'!$B:$B,E377)&amp;" (Phantom)",INDEX('Guest Log'!$H:$H,Q377)&amp;" (Guest)")))</f>
        <v/>
      </c>
      <c r="H377" s="32" t="str">
        <f t="array" ref="H377">IF(C377="","",IFERROR(LOOKUP(2,1/(($F$1:F376=F377)+($G$1:G376=F377)),IF($F$1:F376=F377,$N$1:N376,$O$1:O376)),1000))</f>
        <v/>
      </c>
      <c r="I377" s="12" t="str">
        <f t="array" ref="I377">IF(C377="","",IF(C377="Tournament",INDEX('Tournament Log'!$J:$J,E377),IF(C377="Guest",IF(INDEX('Guest Log'!$I:$I,Q377)="",1000,INDEX('Guest Log'!$I:$I,Q377)),IFERROR(LOOKUP(2,1/(($F$1:F376=G377)+($G$1:G376=G377)),IF($F$1:F376=G377,$N$1:N376,$O$1:O376)),1000))))</f>
        <v/>
      </c>
      <c r="J377" s="12" t="str">
        <f t="shared" si="26"/>
        <v/>
      </c>
      <c r="K377" s="12" t="str">
        <f>IF(C377="","",IF(C377="Match",IF(INDEX('Match Log'!$D:$D,D377)="Win",1,IF(INDEX('Match Log'!$D:$D,D377)="Draw",0.5,0)),IF(C377="Tournament",INDEX('Tournament Log'!$K:$K,E377),IF(INDEX('Guest Log'!$C:$C,Q377)="Win",1,IF(INDEX('Guest Log'!$C:$C,Q377)="Draw",0.5,0)))))</f>
        <v/>
      </c>
      <c r="L377" s="12" t="str">
        <f>IF(C377="","",IF(C377="Match",32,IF(C377="Tournament",MIN(32*INDEX('Tournament Log'!$D:$D,E377),96),32)))</f>
        <v/>
      </c>
      <c r="M377" s="12" t="str">
        <f t="shared" si="27"/>
        <v/>
      </c>
      <c r="N377" s="12" t="str">
        <f t="shared" si="28"/>
        <v/>
      </c>
      <c r="O377" s="12" t="str">
        <f t="shared" si="29"/>
        <v/>
      </c>
      <c r="P377" s="12" t="str">
        <f>IF(C377="Tournament",INDEX('Tournament Log'!$B:$B,E377),IF(C377="Guest","Guest: "&amp;INDEX('Guest Log'!$H:$H,Q377),""))</f>
        <v/>
      </c>
      <c r="Q377" t="str">
        <f>IFERROR(MATCH($A377,'Guest Log'!$L$4:$L$203,0)+3,"")</f>
        <v/>
      </c>
    </row>
    <row r="378" spans="1:17" ht="15" customHeight="1" x14ac:dyDescent="0.2">
      <c r="A378" s="12">
        <f>377</f>
        <v>377</v>
      </c>
      <c r="B378" s="12" t="str">
        <f>IF(C378="","",IF(C378="Match",INDEX('Match Log'!$A:$A,D378),IF(C378="Tournament",INDEX('Tournament Log'!$A:$A,E378),INDEX('Guest Log'!$A:$A,Q378))))</f>
        <v/>
      </c>
      <c r="C378" s="12" t="str">
        <f t="shared" si="25"/>
        <v/>
      </c>
      <c r="D378" s="31" t="str">
        <f>IFERROR(MATCH($A378,'Match Log'!$K$3:$K$501,0)+2,"")</f>
        <v/>
      </c>
      <c r="E378" s="31" t="str">
        <f>IFERROR(MATCH($A378,'Tournament Log'!$O$4:$O$203,0)+3,"")</f>
        <v/>
      </c>
      <c r="F378" s="12" t="str">
        <f>IF(C378="","",IF(C378="Match",INDEX('Match Log'!$B:$B,D378),IF(C378="Tournament",INDEX('Tournament Log'!$C:$C,E378),INDEX('Guest Log'!$B:$B,Q378))))</f>
        <v/>
      </c>
      <c r="G378" s="12" t="str">
        <f>IF(C378="","",IF(C378="Match",INDEX('Match Log'!$C:$C,D378),IF(C378="Tournament",INDEX('Tournament Log'!$B:$B,E378)&amp;" (Phantom)",INDEX('Guest Log'!$H:$H,Q378)&amp;" (Guest)")))</f>
        <v/>
      </c>
      <c r="H378" s="32" t="str">
        <f t="array" ref="H378">IF(C378="","",IFERROR(LOOKUP(2,1/(($F$1:F377=F378)+($G$1:G377=F378)),IF($F$1:F377=F378,$N$1:N377,$O$1:O377)),1000))</f>
        <v/>
      </c>
      <c r="I378" s="12" t="str">
        <f t="array" ref="I378">IF(C378="","",IF(C378="Tournament",INDEX('Tournament Log'!$J:$J,E378),IF(C378="Guest",IF(INDEX('Guest Log'!$I:$I,Q378)="",1000,INDEX('Guest Log'!$I:$I,Q378)),IFERROR(LOOKUP(2,1/(($F$1:F377=G378)+($G$1:G377=G378)),IF($F$1:F377=G378,$N$1:N377,$O$1:O377)),1000))))</f>
        <v/>
      </c>
      <c r="J378" s="12" t="str">
        <f t="shared" si="26"/>
        <v/>
      </c>
      <c r="K378" s="12" t="str">
        <f>IF(C378="","",IF(C378="Match",IF(INDEX('Match Log'!$D:$D,D378)="Win",1,IF(INDEX('Match Log'!$D:$D,D378)="Draw",0.5,0)),IF(C378="Tournament",INDEX('Tournament Log'!$K:$K,E378),IF(INDEX('Guest Log'!$C:$C,Q378)="Win",1,IF(INDEX('Guest Log'!$C:$C,Q378)="Draw",0.5,0)))))</f>
        <v/>
      </c>
      <c r="L378" s="12" t="str">
        <f>IF(C378="","",IF(C378="Match",32,IF(C378="Tournament",MIN(32*INDEX('Tournament Log'!$D:$D,E378),96),32)))</f>
        <v/>
      </c>
      <c r="M378" s="12" t="str">
        <f t="shared" si="27"/>
        <v/>
      </c>
      <c r="N378" s="12" t="str">
        <f t="shared" si="28"/>
        <v/>
      </c>
      <c r="O378" s="12" t="str">
        <f t="shared" si="29"/>
        <v/>
      </c>
      <c r="P378" s="12" t="str">
        <f>IF(C378="Tournament",INDEX('Tournament Log'!$B:$B,E378),IF(C378="Guest","Guest: "&amp;INDEX('Guest Log'!$H:$H,Q378),""))</f>
        <v/>
      </c>
      <c r="Q378" t="str">
        <f>IFERROR(MATCH($A378,'Guest Log'!$L$4:$L$203,0)+3,"")</f>
        <v/>
      </c>
    </row>
    <row r="379" spans="1:17" ht="15" customHeight="1" x14ac:dyDescent="0.2">
      <c r="A379" s="12">
        <f>378</f>
        <v>378</v>
      </c>
      <c r="B379" s="12" t="str">
        <f>IF(C379="","",IF(C379="Match",INDEX('Match Log'!$A:$A,D379),IF(C379="Tournament",INDEX('Tournament Log'!$A:$A,E379),INDEX('Guest Log'!$A:$A,Q379))))</f>
        <v/>
      </c>
      <c r="C379" s="12" t="str">
        <f t="shared" si="25"/>
        <v/>
      </c>
      <c r="D379" s="31" t="str">
        <f>IFERROR(MATCH($A379,'Match Log'!$K$3:$K$501,0)+2,"")</f>
        <v/>
      </c>
      <c r="E379" s="31" t="str">
        <f>IFERROR(MATCH($A379,'Tournament Log'!$O$4:$O$203,0)+3,"")</f>
        <v/>
      </c>
      <c r="F379" s="12" t="str">
        <f>IF(C379="","",IF(C379="Match",INDEX('Match Log'!$B:$B,D379),IF(C379="Tournament",INDEX('Tournament Log'!$C:$C,E379),INDEX('Guest Log'!$B:$B,Q379))))</f>
        <v/>
      </c>
      <c r="G379" s="12" t="str">
        <f>IF(C379="","",IF(C379="Match",INDEX('Match Log'!$C:$C,D379),IF(C379="Tournament",INDEX('Tournament Log'!$B:$B,E379)&amp;" (Phantom)",INDEX('Guest Log'!$H:$H,Q379)&amp;" (Guest)")))</f>
        <v/>
      </c>
      <c r="H379" s="32" t="str">
        <f t="array" ref="H379">IF(C379="","",IFERROR(LOOKUP(2,1/(($F$1:F378=F379)+($G$1:G378=F379)),IF($F$1:F378=F379,$N$1:N378,$O$1:O378)),1000))</f>
        <v/>
      </c>
      <c r="I379" s="12" t="str">
        <f t="array" ref="I379">IF(C379="","",IF(C379="Tournament",INDEX('Tournament Log'!$J:$J,E379),IF(C379="Guest",IF(INDEX('Guest Log'!$I:$I,Q379)="",1000,INDEX('Guest Log'!$I:$I,Q379)),IFERROR(LOOKUP(2,1/(($F$1:F378=G379)+($G$1:G378=G379)),IF($F$1:F378=G379,$N$1:N378,$O$1:O378)),1000))))</f>
        <v/>
      </c>
      <c r="J379" s="12" t="str">
        <f t="shared" si="26"/>
        <v/>
      </c>
      <c r="K379" s="12" t="str">
        <f>IF(C379="","",IF(C379="Match",IF(INDEX('Match Log'!$D:$D,D379)="Win",1,IF(INDEX('Match Log'!$D:$D,D379)="Draw",0.5,0)),IF(C379="Tournament",INDEX('Tournament Log'!$K:$K,E379),IF(INDEX('Guest Log'!$C:$C,Q379)="Win",1,IF(INDEX('Guest Log'!$C:$C,Q379)="Draw",0.5,0)))))</f>
        <v/>
      </c>
      <c r="L379" s="12" t="str">
        <f>IF(C379="","",IF(C379="Match",32,IF(C379="Tournament",MIN(32*INDEX('Tournament Log'!$D:$D,E379),96),32)))</f>
        <v/>
      </c>
      <c r="M379" s="12" t="str">
        <f t="shared" si="27"/>
        <v/>
      </c>
      <c r="N379" s="12" t="str">
        <f t="shared" si="28"/>
        <v/>
      </c>
      <c r="O379" s="12" t="str">
        <f t="shared" si="29"/>
        <v/>
      </c>
      <c r="P379" s="12" t="str">
        <f>IF(C379="Tournament",INDEX('Tournament Log'!$B:$B,E379),IF(C379="Guest","Guest: "&amp;INDEX('Guest Log'!$H:$H,Q379),""))</f>
        <v/>
      </c>
      <c r="Q379" t="str">
        <f>IFERROR(MATCH($A379,'Guest Log'!$L$4:$L$203,0)+3,"")</f>
        <v/>
      </c>
    </row>
    <row r="380" spans="1:17" ht="15" customHeight="1" x14ac:dyDescent="0.2">
      <c r="A380" s="12">
        <f>379</f>
        <v>379</v>
      </c>
      <c r="B380" s="12" t="str">
        <f>IF(C380="","",IF(C380="Match",INDEX('Match Log'!$A:$A,D380),IF(C380="Tournament",INDEX('Tournament Log'!$A:$A,E380),INDEX('Guest Log'!$A:$A,Q380))))</f>
        <v/>
      </c>
      <c r="C380" s="12" t="str">
        <f t="shared" si="25"/>
        <v/>
      </c>
      <c r="D380" s="31" t="str">
        <f>IFERROR(MATCH($A380,'Match Log'!$K$3:$K$501,0)+2,"")</f>
        <v/>
      </c>
      <c r="E380" s="31" t="str">
        <f>IFERROR(MATCH($A380,'Tournament Log'!$O$4:$O$203,0)+3,"")</f>
        <v/>
      </c>
      <c r="F380" s="12" t="str">
        <f>IF(C380="","",IF(C380="Match",INDEX('Match Log'!$B:$B,D380),IF(C380="Tournament",INDEX('Tournament Log'!$C:$C,E380),INDEX('Guest Log'!$B:$B,Q380))))</f>
        <v/>
      </c>
      <c r="G380" s="12" t="str">
        <f>IF(C380="","",IF(C380="Match",INDEX('Match Log'!$C:$C,D380),IF(C380="Tournament",INDEX('Tournament Log'!$B:$B,E380)&amp;" (Phantom)",INDEX('Guest Log'!$H:$H,Q380)&amp;" (Guest)")))</f>
        <v/>
      </c>
      <c r="H380" s="32" t="str">
        <f t="array" ref="H380">IF(C380="","",IFERROR(LOOKUP(2,1/(($F$1:F379=F380)+($G$1:G379=F380)),IF($F$1:F379=F380,$N$1:N379,$O$1:O379)),1000))</f>
        <v/>
      </c>
      <c r="I380" s="12" t="str">
        <f t="array" ref="I380">IF(C380="","",IF(C380="Tournament",INDEX('Tournament Log'!$J:$J,E380),IF(C380="Guest",IF(INDEX('Guest Log'!$I:$I,Q380)="",1000,INDEX('Guest Log'!$I:$I,Q380)),IFERROR(LOOKUP(2,1/(($F$1:F379=G380)+($G$1:G379=G380)),IF($F$1:F379=G380,$N$1:N379,$O$1:O379)),1000))))</f>
        <v/>
      </c>
      <c r="J380" s="12" t="str">
        <f t="shared" si="26"/>
        <v/>
      </c>
      <c r="K380" s="12" t="str">
        <f>IF(C380="","",IF(C380="Match",IF(INDEX('Match Log'!$D:$D,D380)="Win",1,IF(INDEX('Match Log'!$D:$D,D380)="Draw",0.5,0)),IF(C380="Tournament",INDEX('Tournament Log'!$K:$K,E380),IF(INDEX('Guest Log'!$C:$C,Q380)="Win",1,IF(INDEX('Guest Log'!$C:$C,Q380)="Draw",0.5,0)))))</f>
        <v/>
      </c>
      <c r="L380" s="12" t="str">
        <f>IF(C380="","",IF(C380="Match",32,IF(C380="Tournament",MIN(32*INDEX('Tournament Log'!$D:$D,E380),96),32)))</f>
        <v/>
      </c>
      <c r="M380" s="12" t="str">
        <f t="shared" si="27"/>
        <v/>
      </c>
      <c r="N380" s="12" t="str">
        <f t="shared" si="28"/>
        <v/>
      </c>
      <c r="O380" s="12" t="str">
        <f t="shared" si="29"/>
        <v/>
      </c>
      <c r="P380" s="12" t="str">
        <f>IF(C380="Tournament",INDEX('Tournament Log'!$B:$B,E380),IF(C380="Guest","Guest: "&amp;INDEX('Guest Log'!$H:$H,Q380),""))</f>
        <v/>
      </c>
      <c r="Q380" t="str">
        <f>IFERROR(MATCH($A380,'Guest Log'!$L$4:$L$203,0)+3,"")</f>
        <v/>
      </c>
    </row>
    <row r="381" spans="1:17" ht="15" customHeight="1" x14ac:dyDescent="0.2">
      <c r="A381" s="12">
        <f>380</f>
        <v>380</v>
      </c>
      <c r="B381" s="12" t="str">
        <f>IF(C381="","",IF(C381="Match",INDEX('Match Log'!$A:$A,D381),IF(C381="Tournament",INDEX('Tournament Log'!$A:$A,E381),INDEX('Guest Log'!$A:$A,Q381))))</f>
        <v/>
      </c>
      <c r="C381" s="12" t="str">
        <f t="shared" si="25"/>
        <v/>
      </c>
      <c r="D381" s="31" t="str">
        <f>IFERROR(MATCH($A381,'Match Log'!$K$3:$K$501,0)+2,"")</f>
        <v/>
      </c>
      <c r="E381" s="31" t="str">
        <f>IFERROR(MATCH($A381,'Tournament Log'!$O$4:$O$203,0)+3,"")</f>
        <v/>
      </c>
      <c r="F381" s="12" t="str">
        <f>IF(C381="","",IF(C381="Match",INDEX('Match Log'!$B:$B,D381),IF(C381="Tournament",INDEX('Tournament Log'!$C:$C,E381),INDEX('Guest Log'!$B:$B,Q381))))</f>
        <v/>
      </c>
      <c r="G381" s="12" t="str">
        <f>IF(C381="","",IF(C381="Match",INDEX('Match Log'!$C:$C,D381),IF(C381="Tournament",INDEX('Tournament Log'!$B:$B,E381)&amp;" (Phantom)",INDEX('Guest Log'!$H:$H,Q381)&amp;" (Guest)")))</f>
        <v/>
      </c>
      <c r="H381" s="32" t="str">
        <f t="array" ref="H381">IF(C381="","",IFERROR(LOOKUP(2,1/(($F$1:F380=F381)+($G$1:G380=F381)),IF($F$1:F380=F381,$N$1:N380,$O$1:O380)),1000))</f>
        <v/>
      </c>
      <c r="I381" s="12" t="str">
        <f t="array" ref="I381">IF(C381="","",IF(C381="Tournament",INDEX('Tournament Log'!$J:$J,E381),IF(C381="Guest",IF(INDEX('Guest Log'!$I:$I,Q381)="",1000,INDEX('Guest Log'!$I:$I,Q381)),IFERROR(LOOKUP(2,1/(($F$1:F380=G381)+($G$1:G380=G381)),IF($F$1:F380=G381,$N$1:N380,$O$1:O380)),1000))))</f>
        <v/>
      </c>
      <c r="J381" s="12" t="str">
        <f t="shared" si="26"/>
        <v/>
      </c>
      <c r="K381" s="12" t="str">
        <f>IF(C381="","",IF(C381="Match",IF(INDEX('Match Log'!$D:$D,D381)="Win",1,IF(INDEX('Match Log'!$D:$D,D381)="Draw",0.5,0)),IF(C381="Tournament",INDEX('Tournament Log'!$K:$K,E381),IF(INDEX('Guest Log'!$C:$C,Q381)="Win",1,IF(INDEX('Guest Log'!$C:$C,Q381)="Draw",0.5,0)))))</f>
        <v/>
      </c>
      <c r="L381" s="12" t="str">
        <f>IF(C381="","",IF(C381="Match",32,IF(C381="Tournament",MIN(32*INDEX('Tournament Log'!$D:$D,E381),96),32)))</f>
        <v/>
      </c>
      <c r="M381" s="12" t="str">
        <f t="shared" si="27"/>
        <v/>
      </c>
      <c r="N381" s="12" t="str">
        <f t="shared" si="28"/>
        <v/>
      </c>
      <c r="O381" s="12" t="str">
        <f t="shared" si="29"/>
        <v/>
      </c>
      <c r="P381" s="12" t="str">
        <f>IF(C381="Tournament",INDEX('Tournament Log'!$B:$B,E381),IF(C381="Guest","Guest: "&amp;INDEX('Guest Log'!$H:$H,Q381),""))</f>
        <v/>
      </c>
      <c r="Q381" t="str">
        <f>IFERROR(MATCH($A381,'Guest Log'!$L$4:$L$203,0)+3,"")</f>
        <v/>
      </c>
    </row>
    <row r="382" spans="1:17" ht="15" customHeight="1" x14ac:dyDescent="0.2">
      <c r="A382" s="12">
        <f>381</f>
        <v>381</v>
      </c>
      <c r="B382" s="12" t="str">
        <f>IF(C382="","",IF(C382="Match",INDEX('Match Log'!$A:$A,D382),IF(C382="Tournament",INDEX('Tournament Log'!$A:$A,E382),INDEX('Guest Log'!$A:$A,Q382))))</f>
        <v/>
      </c>
      <c r="C382" s="12" t="str">
        <f t="shared" si="25"/>
        <v/>
      </c>
      <c r="D382" s="31" t="str">
        <f>IFERROR(MATCH($A382,'Match Log'!$K$3:$K$501,0)+2,"")</f>
        <v/>
      </c>
      <c r="E382" s="31" t="str">
        <f>IFERROR(MATCH($A382,'Tournament Log'!$O$4:$O$203,0)+3,"")</f>
        <v/>
      </c>
      <c r="F382" s="12" t="str">
        <f>IF(C382="","",IF(C382="Match",INDEX('Match Log'!$B:$B,D382),IF(C382="Tournament",INDEX('Tournament Log'!$C:$C,E382),INDEX('Guest Log'!$B:$B,Q382))))</f>
        <v/>
      </c>
      <c r="G382" s="12" t="str">
        <f>IF(C382="","",IF(C382="Match",INDEX('Match Log'!$C:$C,D382),IF(C382="Tournament",INDEX('Tournament Log'!$B:$B,E382)&amp;" (Phantom)",INDEX('Guest Log'!$H:$H,Q382)&amp;" (Guest)")))</f>
        <v/>
      </c>
      <c r="H382" s="32" t="str">
        <f t="array" ref="H382">IF(C382="","",IFERROR(LOOKUP(2,1/(($F$1:F381=F382)+($G$1:G381=F382)),IF($F$1:F381=F382,$N$1:N381,$O$1:O381)),1000))</f>
        <v/>
      </c>
      <c r="I382" s="12" t="str">
        <f t="array" ref="I382">IF(C382="","",IF(C382="Tournament",INDEX('Tournament Log'!$J:$J,E382),IF(C382="Guest",IF(INDEX('Guest Log'!$I:$I,Q382)="",1000,INDEX('Guest Log'!$I:$I,Q382)),IFERROR(LOOKUP(2,1/(($F$1:F381=G382)+($G$1:G381=G382)),IF($F$1:F381=G382,$N$1:N381,$O$1:O381)),1000))))</f>
        <v/>
      </c>
      <c r="J382" s="12" t="str">
        <f t="shared" si="26"/>
        <v/>
      </c>
      <c r="K382" s="12" t="str">
        <f>IF(C382="","",IF(C382="Match",IF(INDEX('Match Log'!$D:$D,D382)="Win",1,IF(INDEX('Match Log'!$D:$D,D382)="Draw",0.5,0)),IF(C382="Tournament",INDEX('Tournament Log'!$K:$K,E382),IF(INDEX('Guest Log'!$C:$C,Q382)="Win",1,IF(INDEX('Guest Log'!$C:$C,Q382)="Draw",0.5,0)))))</f>
        <v/>
      </c>
      <c r="L382" s="12" t="str">
        <f>IF(C382="","",IF(C382="Match",32,IF(C382="Tournament",MIN(32*INDEX('Tournament Log'!$D:$D,E382),96),32)))</f>
        <v/>
      </c>
      <c r="M382" s="12" t="str">
        <f t="shared" si="27"/>
        <v/>
      </c>
      <c r="N382" s="12" t="str">
        <f t="shared" si="28"/>
        <v/>
      </c>
      <c r="O382" s="12" t="str">
        <f t="shared" si="29"/>
        <v/>
      </c>
      <c r="P382" s="12" t="str">
        <f>IF(C382="Tournament",INDEX('Tournament Log'!$B:$B,E382),IF(C382="Guest","Guest: "&amp;INDEX('Guest Log'!$H:$H,Q382),""))</f>
        <v/>
      </c>
      <c r="Q382" t="str">
        <f>IFERROR(MATCH($A382,'Guest Log'!$L$4:$L$203,0)+3,"")</f>
        <v/>
      </c>
    </row>
    <row r="383" spans="1:17" ht="15" customHeight="1" x14ac:dyDescent="0.2">
      <c r="A383" s="12">
        <f>382</f>
        <v>382</v>
      </c>
      <c r="B383" s="12" t="str">
        <f>IF(C383="","",IF(C383="Match",INDEX('Match Log'!$A:$A,D383),IF(C383="Tournament",INDEX('Tournament Log'!$A:$A,E383),INDEX('Guest Log'!$A:$A,Q383))))</f>
        <v/>
      </c>
      <c r="C383" s="12" t="str">
        <f t="shared" si="25"/>
        <v/>
      </c>
      <c r="D383" s="31" t="str">
        <f>IFERROR(MATCH($A383,'Match Log'!$K$3:$K$501,0)+2,"")</f>
        <v/>
      </c>
      <c r="E383" s="31" t="str">
        <f>IFERROR(MATCH($A383,'Tournament Log'!$O$4:$O$203,0)+3,"")</f>
        <v/>
      </c>
      <c r="F383" s="12" t="str">
        <f>IF(C383="","",IF(C383="Match",INDEX('Match Log'!$B:$B,D383),IF(C383="Tournament",INDEX('Tournament Log'!$C:$C,E383),INDEX('Guest Log'!$B:$B,Q383))))</f>
        <v/>
      </c>
      <c r="G383" s="12" t="str">
        <f>IF(C383="","",IF(C383="Match",INDEX('Match Log'!$C:$C,D383),IF(C383="Tournament",INDEX('Tournament Log'!$B:$B,E383)&amp;" (Phantom)",INDEX('Guest Log'!$H:$H,Q383)&amp;" (Guest)")))</f>
        <v/>
      </c>
      <c r="H383" s="32" t="str">
        <f t="array" ref="H383">IF(C383="","",IFERROR(LOOKUP(2,1/(($F$1:F382=F383)+($G$1:G382=F383)),IF($F$1:F382=F383,$N$1:N382,$O$1:O382)),1000))</f>
        <v/>
      </c>
      <c r="I383" s="12" t="str">
        <f t="array" ref="I383">IF(C383="","",IF(C383="Tournament",INDEX('Tournament Log'!$J:$J,E383),IF(C383="Guest",IF(INDEX('Guest Log'!$I:$I,Q383)="",1000,INDEX('Guest Log'!$I:$I,Q383)),IFERROR(LOOKUP(2,1/(($F$1:F382=G383)+($G$1:G382=G383)),IF($F$1:F382=G383,$N$1:N382,$O$1:O382)),1000))))</f>
        <v/>
      </c>
      <c r="J383" s="12" t="str">
        <f t="shared" si="26"/>
        <v/>
      </c>
      <c r="K383" s="12" t="str">
        <f>IF(C383="","",IF(C383="Match",IF(INDEX('Match Log'!$D:$D,D383)="Win",1,IF(INDEX('Match Log'!$D:$D,D383)="Draw",0.5,0)),IF(C383="Tournament",INDEX('Tournament Log'!$K:$K,E383),IF(INDEX('Guest Log'!$C:$C,Q383)="Win",1,IF(INDEX('Guest Log'!$C:$C,Q383)="Draw",0.5,0)))))</f>
        <v/>
      </c>
      <c r="L383" s="12" t="str">
        <f>IF(C383="","",IF(C383="Match",32,IF(C383="Tournament",MIN(32*INDEX('Tournament Log'!$D:$D,E383),96),32)))</f>
        <v/>
      </c>
      <c r="M383" s="12" t="str">
        <f t="shared" si="27"/>
        <v/>
      </c>
      <c r="N383" s="12" t="str">
        <f t="shared" si="28"/>
        <v/>
      </c>
      <c r="O383" s="12" t="str">
        <f t="shared" si="29"/>
        <v/>
      </c>
      <c r="P383" s="12" t="str">
        <f>IF(C383="Tournament",INDEX('Tournament Log'!$B:$B,E383),IF(C383="Guest","Guest: "&amp;INDEX('Guest Log'!$H:$H,Q383),""))</f>
        <v/>
      </c>
      <c r="Q383" t="str">
        <f>IFERROR(MATCH($A383,'Guest Log'!$L$4:$L$203,0)+3,"")</f>
        <v/>
      </c>
    </row>
    <row r="384" spans="1:17" ht="15" customHeight="1" x14ac:dyDescent="0.2">
      <c r="A384" s="12">
        <f>383</f>
        <v>383</v>
      </c>
      <c r="B384" s="12" t="str">
        <f>IF(C384="","",IF(C384="Match",INDEX('Match Log'!$A:$A,D384),IF(C384="Tournament",INDEX('Tournament Log'!$A:$A,E384),INDEX('Guest Log'!$A:$A,Q384))))</f>
        <v/>
      </c>
      <c r="C384" s="12" t="str">
        <f t="shared" si="25"/>
        <v/>
      </c>
      <c r="D384" s="31" t="str">
        <f>IFERROR(MATCH($A384,'Match Log'!$K$3:$K$501,0)+2,"")</f>
        <v/>
      </c>
      <c r="E384" s="31" t="str">
        <f>IFERROR(MATCH($A384,'Tournament Log'!$O$4:$O$203,0)+3,"")</f>
        <v/>
      </c>
      <c r="F384" s="12" t="str">
        <f>IF(C384="","",IF(C384="Match",INDEX('Match Log'!$B:$B,D384),IF(C384="Tournament",INDEX('Tournament Log'!$C:$C,E384),INDEX('Guest Log'!$B:$B,Q384))))</f>
        <v/>
      </c>
      <c r="G384" s="12" t="str">
        <f>IF(C384="","",IF(C384="Match",INDEX('Match Log'!$C:$C,D384),IF(C384="Tournament",INDEX('Tournament Log'!$B:$B,E384)&amp;" (Phantom)",INDEX('Guest Log'!$H:$H,Q384)&amp;" (Guest)")))</f>
        <v/>
      </c>
      <c r="H384" s="32" t="str">
        <f t="array" ref="H384">IF(C384="","",IFERROR(LOOKUP(2,1/(($F$1:F383=F384)+($G$1:G383=F384)),IF($F$1:F383=F384,$N$1:N383,$O$1:O383)),1000))</f>
        <v/>
      </c>
      <c r="I384" s="12" t="str">
        <f t="array" ref="I384">IF(C384="","",IF(C384="Tournament",INDEX('Tournament Log'!$J:$J,E384),IF(C384="Guest",IF(INDEX('Guest Log'!$I:$I,Q384)="",1000,INDEX('Guest Log'!$I:$I,Q384)),IFERROR(LOOKUP(2,1/(($F$1:F383=G384)+($G$1:G383=G384)),IF($F$1:F383=G384,$N$1:N383,$O$1:O383)),1000))))</f>
        <v/>
      </c>
      <c r="J384" s="12" t="str">
        <f t="shared" si="26"/>
        <v/>
      </c>
      <c r="K384" s="12" t="str">
        <f>IF(C384="","",IF(C384="Match",IF(INDEX('Match Log'!$D:$D,D384)="Win",1,IF(INDEX('Match Log'!$D:$D,D384)="Draw",0.5,0)),IF(C384="Tournament",INDEX('Tournament Log'!$K:$K,E384),IF(INDEX('Guest Log'!$C:$C,Q384)="Win",1,IF(INDEX('Guest Log'!$C:$C,Q384)="Draw",0.5,0)))))</f>
        <v/>
      </c>
      <c r="L384" s="12" t="str">
        <f>IF(C384="","",IF(C384="Match",32,IF(C384="Tournament",MIN(32*INDEX('Tournament Log'!$D:$D,E384),96),32)))</f>
        <v/>
      </c>
      <c r="M384" s="12" t="str">
        <f t="shared" si="27"/>
        <v/>
      </c>
      <c r="N384" s="12" t="str">
        <f t="shared" si="28"/>
        <v/>
      </c>
      <c r="O384" s="12" t="str">
        <f t="shared" si="29"/>
        <v/>
      </c>
      <c r="P384" s="12" t="str">
        <f>IF(C384="Tournament",INDEX('Tournament Log'!$B:$B,E384),IF(C384="Guest","Guest: "&amp;INDEX('Guest Log'!$H:$H,Q384),""))</f>
        <v/>
      </c>
      <c r="Q384" t="str">
        <f>IFERROR(MATCH($A384,'Guest Log'!$L$4:$L$203,0)+3,"")</f>
        <v/>
      </c>
    </row>
    <row r="385" spans="1:17" ht="15" customHeight="1" x14ac:dyDescent="0.2">
      <c r="A385" s="12">
        <f>384</f>
        <v>384</v>
      </c>
      <c r="B385" s="12" t="str">
        <f>IF(C385="","",IF(C385="Match",INDEX('Match Log'!$A:$A,D385),IF(C385="Tournament",INDEX('Tournament Log'!$A:$A,E385),INDEX('Guest Log'!$A:$A,Q385))))</f>
        <v/>
      </c>
      <c r="C385" s="12" t="str">
        <f t="shared" si="25"/>
        <v/>
      </c>
      <c r="D385" s="31" t="str">
        <f>IFERROR(MATCH($A385,'Match Log'!$K$3:$K$501,0)+2,"")</f>
        <v/>
      </c>
      <c r="E385" s="31" t="str">
        <f>IFERROR(MATCH($A385,'Tournament Log'!$O$4:$O$203,0)+3,"")</f>
        <v/>
      </c>
      <c r="F385" s="12" t="str">
        <f>IF(C385="","",IF(C385="Match",INDEX('Match Log'!$B:$B,D385),IF(C385="Tournament",INDEX('Tournament Log'!$C:$C,E385),INDEX('Guest Log'!$B:$B,Q385))))</f>
        <v/>
      </c>
      <c r="G385" s="12" t="str">
        <f>IF(C385="","",IF(C385="Match",INDEX('Match Log'!$C:$C,D385),IF(C385="Tournament",INDEX('Tournament Log'!$B:$B,E385)&amp;" (Phantom)",INDEX('Guest Log'!$H:$H,Q385)&amp;" (Guest)")))</f>
        <v/>
      </c>
      <c r="H385" s="32" t="str">
        <f t="array" ref="H385">IF(C385="","",IFERROR(LOOKUP(2,1/(($F$1:F384=F385)+($G$1:G384=F385)),IF($F$1:F384=F385,$N$1:N384,$O$1:O384)),1000))</f>
        <v/>
      </c>
      <c r="I385" s="12" t="str">
        <f t="array" ref="I385">IF(C385="","",IF(C385="Tournament",INDEX('Tournament Log'!$J:$J,E385),IF(C385="Guest",IF(INDEX('Guest Log'!$I:$I,Q385)="",1000,INDEX('Guest Log'!$I:$I,Q385)),IFERROR(LOOKUP(2,1/(($F$1:F384=G385)+($G$1:G384=G385)),IF($F$1:F384=G385,$N$1:N384,$O$1:O384)),1000))))</f>
        <v/>
      </c>
      <c r="J385" s="12" t="str">
        <f t="shared" si="26"/>
        <v/>
      </c>
      <c r="K385" s="12" t="str">
        <f>IF(C385="","",IF(C385="Match",IF(INDEX('Match Log'!$D:$D,D385)="Win",1,IF(INDEX('Match Log'!$D:$D,D385)="Draw",0.5,0)),IF(C385="Tournament",INDEX('Tournament Log'!$K:$K,E385),IF(INDEX('Guest Log'!$C:$C,Q385)="Win",1,IF(INDEX('Guest Log'!$C:$C,Q385)="Draw",0.5,0)))))</f>
        <v/>
      </c>
      <c r="L385" s="12" t="str">
        <f>IF(C385="","",IF(C385="Match",32,IF(C385="Tournament",MIN(32*INDEX('Tournament Log'!$D:$D,E385),96),32)))</f>
        <v/>
      </c>
      <c r="M385" s="12" t="str">
        <f t="shared" si="27"/>
        <v/>
      </c>
      <c r="N385" s="12" t="str">
        <f t="shared" si="28"/>
        <v/>
      </c>
      <c r="O385" s="12" t="str">
        <f t="shared" si="29"/>
        <v/>
      </c>
      <c r="P385" s="12" t="str">
        <f>IF(C385="Tournament",INDEX('Tournament Log'!$B:$B,E385),IF(C385="Guest","Guest: "&amp;INDEX('Guest Log'!$H:$H,Q385),""))</f>
        <v/>
      </c>
      <c r="Q385" t="str">
        <f>IFERROR(MATCH($A385,'Guest Log'!$L$4:$L$203,0)+3,"")</f>
        <v/>
      </c>
    </row>
    <row r="386" spans="1:17" ht="15" customHeight="1" x14ac:dyDescent="0.2">
      <c r="A386" s="12">
        <f>385</f>
        <v>385</v>
      </c>
      <c r="B386" s="12" t="str">
        <f>IF(C386="","",IF(C386="Match",INDEX('Match Log'!$A:$A,D386),IF(C386="Tournament",INDEX('Tournament Log'!$A:$A,E386),INDEX('Guest Log'!$A:$A,Q386))))</f>
        <v/>
      </c>
      <c r="C386" s="12" t="str">
        <f t="shared" ref="C386:C449" si="30">IF(D386&lt;&gt;"","Match",IF(E386&lt;&gt;"","Tournament",IF(Q386&lt;&gt;"","Guest","")))</f>
        <v/>
      </c>
      <c r="D386" s="31" t="str">
        <f>IFERROR(MATCH($A386,'Match Log'!$K$3:$K$501,0)+2,"")</f>
        <v/>
      </c>
      <c r="E386" s="31" t="str">
        <f>IFERROR(MATCH($A386,'Tournament Log'!$O$4:$O$203,0)+3,"")</f>
        <v/>
      </c>
      <c r="F386" s="12" t="str">
        <f>IF(C386="","",IF(C386="Match",INDEX('Match Log'!$B:$B,D386),IF(C386="Tournament",INDEX('Tournament Log'!$C:$C,E386),INDEX('Guest Log'!$B:$B,Q386))))</f>
        <v/>
      </c>
      <c r="G386" s="12" t="str">
        <f>IF(C386="","",IF(C386="Match",INDEX('Match Log'!$C:$C,D386),IF(C386="Tournament",INDEX('Tournament Log'!$B:$B,E386)&amp;" (Phantom)",INDEX('Guest Log'!$H:$H,Q386)&amp;" (Guest)")))</f>
        <v/>
      </c>
      <c r="H386" s="32" t="str">
        <f t="array" ref="H386">IF(C386="","",IFERROR(LOOKUP(2,1/(($F$1:F385=F386)+($G$1:G385=F386)),IF($F$1:F385=F386,$N$1:N385,$O$1:O385)),1000))</f>
        <v/>
      </c>
      <c r="I386" s="12" t="str">
        <f t="array" ref="I386">IF(C386="","",IF(C386="Tournament",INDEX('Tournament Log'!$J:$J,E386),IF(C386="Guest",IF(INDEX('Guest Log'!$I:$I,Q386)="",1000,INDEX('Guest Log'!$I:$I,Q386)),IFERROR(LOOKUP(2,1/(($F$1:F385=G386)+($G$1:G385=G386)),IF($F$1:F385=G386,$N$1:N385,$O$1:O385)),1000))))</f>
        <v/>
      </c>
      <c r="J386" s="12" t="str">
        <f t="shared" ref="J386:J449" si="31">IF(C386="","",1/(1+10^((I386-H386)/400)))</f>
        <v/>
      </c>
      <c r="K386" s="12" t="str">
        <f>IF(C386="","",IF(C386="Match",IF(INDEX('Match Log'!$D:$D,D386)="Win",1,IF(INDEX('Match Log'!$D:$D,D386)="Draw",0.5,0)),IF(C386="Tournament",INDEX('Tournament Log'!$K:$K,E386),IF(INDEX('Guest Log'!$C:$C,Q386)="Win",1,IF(INDEX('Guest Log'!$C:$C,Q386)="Draw",0.5,0)))))</f>
        <v/>
      </c>
      <c r="L386" s="12" t="str">
        <f>IF(C386="","",IF(C386="Match",32,IF(C386="Tournament",MIN(32*INDEX('Tournament Log'!$D:$D,E386),96),32)))</f>
        <v/>
      </c>
      <c r="M386" s="12" t="str">
        <f t="shared" ref="M386:M449" si="32">IF(C386="","",ROUND(L386*(K386-J386),0))</f>
        <v/>
      </c>
      <c r="N386" s="12" t="str">
        <f t="shared" ref="N386:N449" si="33">IF(C386="","",H386+M386)</f>
        <v/>
      </c>
      <c r="O386" s="12" t="str">
        <f t="shared" ref="O386:O449" si="34">IF(C386="","",IF(C386="Match",I386-M386,""))</f>
        <v/>
      </c>
      <c r="P386" s="12" t="str">
        <f>IF(C386="Tournament",INDEX('Tournament Log'!$B:$B,E386),IF(C386="Guest","Guest: "&amp;INDEX('Guest Log'!$H:$H,Q386),""))</f>
        <v/>
      </c>
      <c r="Q386" t="str">
        <f>IFERROR(MATCH($A386,'Guest Log'!$L$4:$L$203,0)+3,"")</f>
        <v/>
      </c>
    </row>
    <row r="387" spans="1:17" ht="15" customHeight="1" x14ac:dyDescent="0.2">
      <c r="A387" s="12">
        <f>386</f>
        <v>386</v>
      </c>
      <c r="B387" s="12" t="str">
        <f>IF(C387="","",IF(C387="Match",INDEX('Match Log'!$A:$A,D387),IF(C387="Tournament",INDEX('Tournament Log'!$A:$A,E387),INDEX('Guest Log'!$A:$A,Q387))))</f>
        <v/>
      </c>
      <c r="C387" s="12" t="str">
        <f t="shared" si="30"/>
        <v/>
      </c>
      <c r="D387" s="31" t="str">
        <f>IFERROR(MATCH($A387,'Match Log'!$K$3:$K$501,0)+2,"")</f>
        <v/>
      </c>
      <c r="E387" s="31" t="str">
        <f>IFERROR(MATCH($A387,'Tournament Log'!$O$4:$O$203,0)+3,"")</f>
        <v/>
      </c>
      <c r="F387" s="12" t="str">
        <f>IF(C387="","",IF(C387="Match",INDEX('Match Log'!$B:$B,D387),IF(C387="Tournament",INDEX('Tournament Log'!$C:$C,E387),INDEX('Guest Log'!$B:$B,Q387))))</f>
        <v/>
      </c>
      <c r="G387" s="12" t="str">
        <f>IF(C387="","",IF(C387="Match",INDEX('Match Log'!$C:$C,D387),IF(C387="Tournament",INDEX('Tournament Log'!$B:$B,E387)&amp;" (Phantom)",INDEX('Guest Log'!$H:$H,Q387)&amp;" (Guest)")))</f>
        <v/>
      </c>
      <c r="H387" s="32" t="str">
        <f t="array" ref="H387">IF(C387="","",IFERROR(LOOKUP(2,1/(($F$1:F386=F387)+($G$1:G386=F387)),IF($F$1:F386=F387,$N$1:N386,$O$1:O386)),1000))</f>
        <v/>
      </c>
      <c r="I387" s="12" t="str">
        <f t="array" ref="I387">IF(C387="","",IF(C387="Tournament",INDEX('Tournament Log'!$J:$J,E387),IF(C387="Guest",IF(INDEX('Guest Log'!$I:$I,Q387)="",1000,INDEX('Guest Log'!$I:$I,Q387)),IFERROR(LOOKUP(2,1/(($F$1:F386=G387)+($G$1:G386=G387)),IF($F$1:F386=G387,$N$1:N386,$O$1:O386)),1000))))</f>
        <v/>
      </c>
      <c r="J387" s="12" t="str">
        <f t="shared" si="31"/>
        <v/>
      </c>
      <c r="K387" s="12" t="str">
        <f>IF(C387="","",IF(C387="Match",IF(INDEX('Match Log'!$D:$D,D387)="Win",1,IF(INDEX('Match Log'!$D:$D,D387)="Draw",0.5,0)),IF(C387="Tournament",INDEX('Tournament Log'!$K:$K,E387),IF(INDEX('Guest Log'!$C:$C,Q387)="Win",1,IF(INDEX('Guest Log'!$C:$C,Q387)="Draw",0.5,0)))))</f>
        <v/>
      </c>
      <c r="L387" s="12" t="str">
        <f>IF(C387="","",IF(C387="Match",32,IF(C387="Tournament",MIN(32*INDEX('Tournament Log'!$D:$D,E387),96),32)))</f>
        <v/>
      </c>
      <c r="M387" s="12" t="str">
        <f t="shared" si="32"/>
        <v/>
      </c>
      <c r="N387" s="12" t="str">
        <f t="shared" si="33"/>
        <v/>
      </c>
      <c r="O387" s="12" t="str">
        <f t="shared" si="34"/>
        <v/>
      </c>
      <c r="P387" s="12" t="str">
        <f>IF(C387="Tournament",INDEX('Tournament Log'!$B:$B,E387),IF(C387="Guest","Guest: "&amp;INDEX('Guest Log'!$H:$H,Q387),""))</f>
        <v/>
      </c>
      <c r="Q387" t="str">
        <f>IFERROR(MATCH($A387,'Guest Log'!$L$4:$L$203,0)+3,"")</f>
        <v/>
      </c>
    </row>
    <row r="388" spans="1:17" ht="15" customHeight="1" x14ac:dyDescent="0.2">
      <c r="A388" s="12">
        <f>387</f>
        <v>387</v>
      </c>
      <c r="B388" s="12" t="str">
        <f>IF(C388="","",IF(C388="Match",INDEX('Match Log'!$A:$A,D388),IF(C388="Tournament",INDEX('Tournament Log'!$A:$A,E388),INDEX('Guest Log'!$A:$A,Q388))))</f>
        <v/>
      </c>
      <c r="C388" s="12" t="str">
        <f t="shared" si="30"/>
        <v/>
      </c>
      <c r="D388" s="31" t="str">
        <f>IFERROR(MATCH($A388,'Match Log'!$K$3:$K$501,0)+2,"")</f>
        <v/>
      </c>
      <c r="E388" s="31" t="str">
        <f>IFERROR(MATCH($A388,'Tournament Log'!$O$4:$O$203,0)+3,"")</f>
        <v/>
      </c>
      <c r="F388" s="12" t="str">
        <f>IF(C388="","",IF(C388="Match",INDEX('Match Log'!$B:$B,D388),IF(C388="Tournament",INDEX('Tournament Log'!$C:$C,E388),INDEX('Guest Log'!$B:$B,Q388))))</f>
        <v/>
      </c>
      <c r="G388" s="12" t="str">
        <f>IF(C388="","",IF(C388="Match",INDEX('Match Log'!$C:$C,D388),IF(C388="Tournament",INDEX('Tournament Log'!$B:$B,E388)&amp;" (Phantom)",INDEX('Guest Log'!$H:$H,Q388)&amp;" (Guest)")))</f>
        <v/>
      </c>
      <c r="H388" s="32" t="str">
        <f t="array" ref="H388">IF(C388="","",IFERROR(LOOKUP(2,1/(($F$1:F387=F388)+($G$1:G387=F388)),IF($F$1:F387=F388,$N$1:N387,$O$1:O387)),1000))</f>
        <v/>
      </c>
      <c r="I388" s="12" t="str">
        <f t="array" ref="I388">IF(C388="","",IF(C388="Tournament",INDEX('Tournament Log'!$J:$J,E388),IF(C388="Guest",IF(INDEX('Guest Log'!$I:$I,Q388)="",1000,INDEX('Guest Log'!$I:$I,Q388)),IFERROR(LOOKUP(2,1/(($F$1:F387=G388)+($G$1:G387=G388)),IF($F$1:F387=G388,$N$1:N387,$O$1:O387)),1000))))</f>
        <v/>
      </c>
      <c r="J388" s="12" t="str">
        <f t="shared" si="31"/>
        <v/>
      </c>
      <c r="K388" s="12" t="str">
        <f>IF(C388="","",IF(C388="Match",IF(INDEX('Match Log'!$D:$D,D388)="Win",1,IF(INDEX('Match Log'!$D:$D,D388)="Draw",0.5,0)),IF(C388="Tournament",INDEX('Tournament Log'!$K:$K,E388),IF(INDEX('Guest Log'!$C:$C,Q388)="Win",1,IF(INDEX('Guest Log'!$C:$C,Q388)="Draw",0.5,0)))))</f>
        <v/>
      </c>
      <c r="L388" s="12" t="str">
        <f>IF(C388="","",IF(C388="Match",32,IF(C388="Tournament",MIN(32*INDEX('Tournament Log'!$D:$D,E388),96),32)))</f>
        <v/>
      </c>
      <c r="M388" s="12" t="str">
        <f t="shared" si="32"/>
        <v/>
      </c>
      <c r="N388" s="12" t="str">
        <f t="shared" si="33"/>
        <v/>
      </c>
      <c r="O388" s="12" t="str">
        <f t="shared" si="34"/>
        <v/>
      </c>
      <c r="P388" s="12" t="str">
        <f>IF(C388="Tournament",INDEX('Tournament Log'!$B:$B,E388),IF(C388="Guest","Guest: "&amp;INDEX('Guest Log'!$H:$H,Q388),""))</f>
        <v/>
      </c>
      <c r="Q388" t="str">
        <f>IFERROR(MATCH($A388,'Guest Log'!$L$4:$L$203,0)+3,"")</f>
        <v/>
      </c>
    </row>
    <row r="389" spans="1:17" ht="15" customHeight="1" x14ac:dyDescent="0.2">
      <c r="A389" s="12">
        <f>388</f>
        <v>388</v>
      </c>
      <c r="B389" s="12" t="str">
        <f>IF(C389="","",IF(C389="Match",INDEX('Match Log'!$A:$A,D389),IF(C389="Tournament",INDEX('Tournament Log'!$A:$A,E389),INDEX('Guest Log'!$A:$A,Q389))))</f>
        <v/>
      </c>
      <c r="C389" s="12" t="str">
        <f t="shared" si="30"/>
        <v/>
      </c>
      <c r="D389" s="31" t="str">
        <f>IFERROR(MATCH($A389,'Match Log'!$K$3:$K$501,0)+2,"")</f>
        <v/>
      </c>
      <c r="E389" s="31" t="str">
        <f>IFERROR(MATCH($A389,'Tournament Log'!$O$4:$O$203,0)+3,"")</f>
        <v/>
      </c>
      <c r="F389" s="12" t="str">
        <f>IF(C389="","",IF(C389="Match",INDEX('Match Log'!$B:$B,D389),IF(C389="Tournament",INDEX('Tournament Log'!$C:$C,E389),INDEX('Guest Log'!$B:$B,Q389))))</f>
        <v/>
      </c>
      <c r="G389" s="12" t="str">
        <f>IF(C389="","",IF(C389="Match",INDEX('Match Log'!$C:$C,D389),IF(C389="Tournament",INDEX('Tournament Log'!$B:$B,E389)&amp;" (Phantom)",INDEX('Guest Log'!$H:$H,Q389)&amp;" (Guest)")))</f>
        <v/>
      </c>
      <c r="H389" s="32" t="str">
        <f t="array" ref="H389">IF(C389="","",IFERROR(LOOKUP(2,1/(($F$1:F388=F389)+($G$1:G388=F389)),IF($F$1:F388=F389,$N$1:N388,$O$1:O388)),1000))</f>
        <v/>
      </c>
      <c r="I389" s="12" t="str">
        <f t="array" ref="I389">IF(C389="","",IF(C389="Tournament",INDEX('Tournament Log'!$J:$J,E389),IF(C389="Guest",IF(INDEX('Guest Log'!$I:$I,Q389)="",1000,INDEX('Guest Log'!$I:$I,Q389)),IFERROR(LOOKUP(2,1/(($F$1:F388=G389)+($G$1:G388=G389)),IF($F$1:F388=G389,$N$1:N388,$O$1:O388)),1000))))</f>
        <v/>
      </c>
      <c r="J389" s="12" t="str">
        <f t="shared" si="31"/>
        <v/>
      </c>
      <c r="K389" s="12" t="str">
        <f>IF(C389="","",IF(C389="Match",IF(INDEX('Match Log'!$D:$D,D389)="Win",1,IF(INDEX('Match Log'!$D:$D,D389)="Draw",0.5,0)),IF(C389="Tournament",INDEX('Tournament Log'!$K:$K,E389),IF(INDEX('Guest Log'!$C:$C,Q389)="Win",1,IF(INDEX('Guest Log'!$C:$C,Q389)="Draw",0.5,0)))))</f>
        <v/>
      </c>
      <c r="L389" s="12" t="str">
        <f>IF(C389="","",IF(C389="Match",32,IF(C389="Tournament",MIN(32*INDEX('Tournament Log'!$D:$D,E389),96),32)))</f>
        <v/>
      </c>
      <c r="M389" s="12" t="str">
        <f t="shared" si="32"/>
        <v/>
      </c>
      <c r="N389" s="12" t="str">
        <f t="shared" si="33"/>
        <v/>
      </c>
      <c r="O389" s="12" t="str">
        <f t="shared" si="34"/>
        <v/>
      </c>
      <c r="P389" s="12" t="str">
        <f>IF(C389="Tournament",INDEX('Tournament Log'!$B:$B,E389),IF(C389="Guest","Guest: "&amp;INDEX('Guest Log'!$H:$H,Q389),""))</f>
        <v/>
      </c>
      <c r="Q389" t="str">
        <f>IFERROR(MATCH($A389,'Guest Log'!$L$4:$L$203,0)+3,"")</f>
        <v/>
      </c>
    </row>
    <row r="390" spans="1:17" ht="15" customHeight="1" x14ac:dyDescent="0.2">
      <c r="A390" s="12">
        <f>389</f>
        <v>389</v>
      </c>
      <c r="B390" s="12" t="str">
        <f>IF(C390="","",IF(C390="Match",INDEX('Match Log'!$A:$A,D390),IF(C390="Tournament",INDEX('Tournament Log'!$A:$A,E390),INDEX('Guest Log'!$A:$A,Q390))))</f>
        <v/>
      </c>
      <c r="C390" s="12" t="str">
        <f t="shared" si="30"/>
        <v/>
      </c>
      <c r="D390" s="31" t="str">
        <f>IFERROR(MATCH($A390,'Match Log'!$K$3:$K$501,0)+2,"")</f>
        <v/>
      </c>
      <c r="E390" s="31" t="str">
        <f>IFERROR(MATCH($A390,'Tournament Log'!$O$4:$O$203,0)+3,"")</f>
        <v/>
      </c>
      <c r="F390" s="12" t="str">
        <f>IF(C390="","",IF(C390="Match",INDEX('Match Log'!$B:$B,D390),IF(C390="Tournament",INDEX('Tournament Log'!$C:$C,E390),INDEX('Guest Log'!$B:$B,Q390))))</f>
        <v/>
      </c>
      <c r="G390" s="12" t="str">
        <f>IF(C390="","",IF(C390="Match",INDEX('Match Log'!$C:$C,D390),IF(C390="Tournament",INDEX('Tournament Log'!$B:$B,E390)&amp;" (Phantom)",INDEX('Guest Log'!$H:$H,Q390)&amp;" (Guest)")))</f>
        <v/>
      </c>
      <c r="H390" s="32" t="str">
        <f t="array" ref="H390">IF(C390="","",IFERROR(LOOKUP(2,1/(($F$1:F389=F390)+($G$1:G389=F390)),IF($F$1:F389=F390,$N$1:N389,$O$1:O389)),1000))</f>
        <v/>
      </c>
      <c r="I390" s="12" t="str">
        <f t="array" ref="I390">IF(C390="","",IF(C390="Tournament",INDEX('Tournament Log'!$J:$J,E390),IF(C390="Guest",IF(INDEX('Guest Log'!$I:$I,Q390)="",1000,INDEX('Guest Log'!$I:$I,Q390)),IFERROR(LOOKUP(2,1/(($F$1:F389=G390)+($G$1:G389=G390)),IF($F$1:F389=G390,$N$1:N389,$O$1:O389)),1000))))</f>
        <v/>
      </c>
      <c r="J390" s="12" t="str">
        <f t="shared" si="31"/>
        <v/>
      </c>
      <c r="K390" s="12" t="str">
        <f>IF(C390="","",IF(C390="Match",IF(INDEX('Match Log'!$D:$D,D390)="Win",1,IF(INDEX('Match Log'!$D:$D,D390)="Draw",0.5,0)),IF(C390="Tournament",INDEX('Tournament Log'!$K:$K,E390),IF(INDEX('Guest Log'!$C:$C,Q390)="Win",1,IF(INDEX('Guest Log'!$C:$C,Q390)="Draw",0.5,0)))))</f>
        <v/>
      </c>
      <c r="L390" s="12" t="str">
        <f>IF(C390="","",IF(C390="Match",32,IF(C390="Tournament",MIN(32*INDEX('Tournament Log'!$D:$D,E390),96),32)))</f>
        <v/>
      </c>
      <c r="M390" s="12" t="str">
        <f t="shared" si="32"/>
        <v/>
      </c>
      <c r="N390" s="12" t="str">
        <f t="shared" si="33"/>
        <v/>
      </c>
      <c r="O390" s="12" t="str">
        <f t="shared" si="34"/>
        <v/>
      </c>
      <c r="P390" s="12" t="str">
        <f>IF(C390="Tournament",INDEX('Tournament Log'!$B:$B,E390),IF(C390="Guest","Guest: "&amp;INDEX('Guest Log'!$H:$H,Q390),""))</f>
        <v/>
      </c>
      <c r="Q390" t="str">
        <f>IFERROR(MATCH($A390,'Guest Log'!$L$4:$L$203,0)+3,"")</f>
        <v/>
      </c>
    </row>
    <row r="391" spans="1:17" ht="15" customHeight="1" x14ac:dyDescent="0.2">
      <c r="A391" s="12">
        <f>390</f>
        <v>390</v>
      </c>
      <c r="B391" s="12" t="str">
        <f>IF(C391="","",IF(C391="Match",INDEX('Match Log'!$A:$A,D391),IF(C391="Tournament",INDEX('Tournament Log'!$A:$A,E391),INDEX('Guest Log'!$A:$A,Q391))))</f>
        <v/>
      </c>
      <c r="C391" s="12" t="str">
        <f t="shared" si="30"/>
        <v/>
      </c>
      <c r="D391" s="31" t="str">
        <f>IFERROR(MATCH($A391,'Match Log'!$K$3:$K$501,0)+2,"")</f>
        <v/>
      </c>
      <c r="E391" s="31" t="str">
        <f>IFERROR(MATCH($A391,'Tournament Log'!$O$4:$O$203,0)+3,"")</f>
        <v/>
      </c>
      <c r="F391" s="12" t="str">
        <f>IF(C391="","",IF(C391="Match",INDEX('Match Log'!$B:$B,D391),IF(C391="Tournament",INDEX('Tournament Log'!$C:$C,E391),INDEX('Guest Log'!$B:$B,Q391))))</f>
        <v/>
      </c>
      <c r="G391" s="12" t="str">
        <f>IF(C391="","",IF(C391="Match",INDEX('Match Log'!$C:$C,D391),IF(C391="Tournament",INDEX('Tournament Log'!$B:$B,E391)&amp;" (Phantom)",INDEX('Guest Log'!$H:$H,Q391)&amp;" (Guest)")))</f>
        <v/>
      </c>
      <c r="H391" s="32" t="str">
        <f t="array" ref="H391">IF(C391="","",IFERROR(LOOKUP(2,1/(($F$1:F390=F391)+($G$1:G390=F391)),IF($F$1:F390=F391,$N$1:N390,$O$1:O390)),1000))</f>
        <v/>
      </c>
      <c r="I391" s="12" t="str">
        <f t="array" ref="I391">IF(C391="","",IF(C391="Tournament",INDEX('Tournament Log'!$J:$J,E391),IF(C391="Guest",IF(INDEX('Guest Log'!$I:$I,Q391)="",1000,INDEX('Guest Log'!$I:$I,Q391)),IFERROR(LOOKUP(2,1/(($F$1:F390=G391)+($G$1:G390=G391)),IF($F$1:F390=G391,$N$1:N390,$O$1:O390)),1000))))</f>
        <v/>
      </c>
      <c r="J391" s="12" t="str">
        <f t="shared" si="31"/>
        <v/>
      </c>
      <c r="K391" s="12" t="str">
        <f>IF(C391="","",IF(C391="Match",IF(INDEX('Match Log'!$D:$D,D391)="Win",1,IF(INDEX('Match Log'!$D:$D,D391)="Draw",0.5,0)),IF(C391="Tournament",INDEX('Tournament Log'!$K:$K,E391),IF(INDEX('Guest Log'!$C:$C,Q391)="Win",1,IF(INDEX('Guest Log'!$C:$C,Q391)="Draw",0.5,0)))))</f>
        <v/>
      </c>
      <c r="L391" s="12" t="str">
        <f>IF(C391="","",IF(C391="Match",32,IF(C391="Tournament",MIN(32*INDEX('Tournament Log'!$D:$D,E391),96),32)))</f>
        <v/>
      </c>
      <c r="M391" s="12" t="str">
        <f t="shared" si="32"/>
        <v/>
      </c>
      <c r="N391" s="12" t="str">
        <f t="shared" si="33"/>
        <v/>
      </c>
      <c r="O391" s="12" t="str">
        <f t="shared" si="34"/>
        <v/>
      </c>
      <c r="P391" s="12" t="str">
        <f>IF(C391="Tournament",INDEX('Tournament Log'!$B:$B,E391),IF(C391="Guest","Guest: "&amp;INDEX('Guest Log'!$H:$H,Q391),""))</f>
        <v/>
      </c>
      <c r="Q391" t="str">
        <f>IFERROR(MATCH($A391,'Guest Log'!$L$4:$L$203,0)+3,"")</f>
        <v/>
      </c>
    </row>
    <row r="392" spans="1:17" ht="15" customHeight="1" x14ac:dyDescent="0.2">
      <c r="A392" s="12">
        <f>391</f>
        <v>391</v>
      </c>
      <c r="B392" s="12" t="str">
        <f>IF(C392="","",IF(C392="Match",INDEX('Match Log'!$A:$A,D392),IF(C392="Tournament",INDEX('Tournament Log'!$A:$A,E392),INDEX('Guest Log'!$A:$A,Q392))))</f>
        <v/>
      </c>
      <c r="C392" s="12" t="str">
        <f t="shared" si="30"/>
        <v/>
      </c>
      <c r="D392" s="31" t="str">
        <f>IFERROR(MATCH($A392,'Match Log'!$K$3:$K$501,0)+2,"")</f>
        <v/>
      </c>
      <c r="E392" s="31" t="str">
        <f>IFERROR(MATCH($A392,'Tournament Log'!$O$4:$O$203,0)+3,"")</f>
        <v/>
      </c>
      <c r="F392" s="12" t="str">
        <f>IF(C392="","",IF(C392="Match",INDEX('Match Log'!$B:$B,D392),IF(C392="Tournament",INDEX('Tournament Log'!$C:$C,E392),INDEX('Guest Log'!$B:$B,Q392))))</f>
        <v/>
      </c>
      <c r="G392" s="12" t="str">
        <f>IF(C392="","",IF(C392="Match",INDEX('Match Log'!$C:$C,D392),IF(C392="Tournament",INDEX('Tournament Log'!$B:$B,E392)&amp;" (Phantom)",INDEX('Guest Log'!$H:$H,Q392)&amp;" (Guest)")))</f>
        <v/>
      </c>
      <c r="H392" s="32" t="str">
        <f t="array" ref="H392">IF(C392="","",IFERROR(LOOKUP(2,1/(($F$1:F391=F392)+($G$1:G391=F392)),IF($F$1:F391=F392,$N$1:N391,$O$1:O391)),1000))</f>
        <v/>
      </c>
      <c r="I392" s="12" t="str">
        <f t="array" ref="I392">IF(C392="","",IF(C392="Tournament",INDEX('Tournament Log'!$J:$J,E392),IF(C392="Guest",IF(INDEX('Guest Log'!$I:$I,Q392)="",1000,INDEX('Guest Log'!$I:$I,Q392)),IFERROR(LOOKUP(2,1/(($F$1:F391=G392)+($G$1:G391=G392)),IF($F$1:F391=G392,$N$1:N391,$O$1:O391)),1000))))</f>
        <v/>
      </c>
      <c r="J392" s="12" t="str">
        <f t="shared" si="31"/>
        <v/>
      </c>
      <c r="K392" s="12" t="str">
        <f>IF(C392="","",IF(C392="Match",IF(INDEX('Match Log'!$D:$D,D392)="Win",1,IF(INDEX('Match Log'!$D:$D,D392)="Draw",0.5,0)),IF(C392="Tournament",INDEX('Tournament Log'!$K:$K,E392),IF(INDEX('Guest Log'!$C:$C,Q392)="Win",1,IF(INDEX('Guest Log'!$C:$C,Q392)="Draw",0.5,0)))))</f>
        <v/>
      </c>
      <c r="L392" s="12" t="str">
        <f>IF(C392="","",IF(C392="Match",32,IF(C392="Tournament",MIN(32*INDEX('Tournament Log'!$D:$D,E392),96),32)))</f>
        <v/>
      </c>
      <c r="M392" s="12" t="str">
        <f t="shared" si="32"/>
        <v/>
      </c>
      <c r="N392" s="12" t="str">
        <f t="shared" si="33"/>
        <v/>
      </c>
      <c r="O392" s="12" t="str">
        <f t="shared" si="34"/>
        <v/>
      </c>
      <c r="P392" s="12" t="str">
        <f>IF(C392="Tournament",INDEX('Tournament Log'!$B:$B,E392),IF(C392="Guest","Guest: "&amp;INDEX('Guest Log'!$H:$H,Q392),""))</f>
        <v/>
      </c>
      <c r="Q392" t="str">
        <f>IFERROR(MATCH($A392,'Guest Log'!$L$4:$L$203,0)+3,"")</f>
        <v/>
      </c>
    </row>
    <row r="393" spans="1:17" ht="15" customHeight="1" x14ac:dyDescent="0.2">
      <c r="A393" s="12">
        <f>392</f>
        <v>392</v>
      </c>
      <c r="B393" s="12" t="str">
        <f>IF(C393="","",IF(C393="Match",INDEX('Match Log'!$A:$A,D393),IF(C393="Tournament",INDEX('Tournament Log'!$A:$A,E393),INDEX('Guest Log'!$A:$A,Q393))))</f>
        <v/>
      </c>
      <c r="C393" s="12" t="str">
        <f t="shared" si="30"/>
        <v/>
      </c>
      <c r="D393" s="31" t="str">
        <f>IFERROR(MATCH($A393,'Match Log'!$K$3:$K$501,0)+2,"")</f>
        <v/>
      </c>
      <c r="E393" s="31" t="str">
        <f>IFERROR(MATCH($A393,'Tournament Log'!$O$4:$O$203,0)+3,"")</f>
        <v/>
      </c>
      <c r="F393" s="12" t="str">
        <f>IF(C393="","",IF(C393="Match",INDEX('Match Log'!$B:$B,D393),IF(C393="Tournament",INDEX('Tournament Log'!$C:$C,E393),INDEX('Guest Log'!$B:$B,Q393))))</f>
        <v/>
      </c>
      <c r="G393" s="12" t="str">
        <f>IF(C393="","",IF(C393="Match",INDEX('Match Log'!$C:$C,D393),IF(C393="Tournament",INDEX('Tournament Log'!$B:$B,E393)&amp;" (Phantom)",INDEX('Guest Log'!$H:$H,Q393)&amp;" (Guest)")))</f>
        <v/>
      </c>
      <c r="H393" s="32" t="str">
        <f t="array" ref="H393">IF(C393="","",IFERROR(LOOKUP(2,1/(($F$1:F392=F393)+($G$1:G392=F393)),IF($F$1:F392=F393,$N$1:N392,$O$1:O392)),1000))</f>
        <v/>
      </c>
      <c r="I393" s="12" t="str">
        <f t="array" ref="I393">IF(C393="","",IF(C393="Tournament",INDEX('Tournament Log'!$J:$J,E393),IF(C393="Guest",IF(INDEX('Guest Log'!$I:$I,Q393)="",1000,INDEX('Guest Log'!$I:$I,Q393)),IFERROR(LOOKUP(2,1/(($F$1:F392=G393)+($G$1:G392=G393)),IF($F$1:F392=G393,$N$1:N392,$O$1:O392)),1000))))</f>
        <v/>
      </c>
      <c r="J393" s="12" t="str">
        <f t="shared" si="31"/>
        <v/>
      </c>
      <c r="K393" s="12" t="str">
        <f>IF(C393="","",IF(C393="Match",IF(INDEX('Match Log'!$D:$D,D393)="Win",1,IF(INDEX('Match Log'!$D:$D,D393)="Draw",0.5,0)),IF(C393="Tournament",INDEX('Tournament Log'!$K:$K,E393),IF(INDEX('Guest Log'!$C:$C,Q393)="Win",1,IF(INDEX('Guest Log'!$C:$C,Q393)="Draw",0.5,0)))))</f>
        <v/>
      </c>
      <c r="L393" s="12" t="str">
        <f>IF(C393="","",IF(C393="Match",32,IF(C393="Tournament",MIN(32*INDEX('Tournament Log'!$D:$D,E393),96),32)))</f>
        <v/>
      </c>
      <c r="M393" s="12" t="str">
        <f t="shared" si="32"/>
        <v/>
      </c>
      <c r="N393" s="12" t="str">
        <f t="shared" si="33"/>
        <v/>
      </c>
      <c r="O393" s="12" t="str">
        <f t="shared" si="34"/>
        <v/>
      </c>
      <c r="P393" s="12" t="str">
        <f>IF(C393="Tournament",INDEX('Tournament Log'!$B:$B,E393),IF(C393="Guest","Guest: "&amp;INDEX('Guest Log'!$H:$H,Q393),""))</f>
        <v/>
      </c>
      <c r="Q393" t="str">
        <f>IFERROR(MATCH($A393,'Guest Log'!$L$4:$L$203,0)+3,"")</f>
        <v/>
      </c>
    </row>
    <row r="394" spans="1:17" ht="15" customHeight="1" x14ac:dyDescent="0.2">
      <c r="A394" s="12">
        <f>393</f>
        <v>393</v>
      </c>
      <c r="B394" s="12" t="str">
        <f>IF(C394="","",IF(C394="Match",INDEX('Match Log'!$A:$A,D394),IF(C394="Tournament",INDEX('Tournament Log'!$A:$A,E394),INDEX('Guest Log'!$A:$A,Q394))))</f>
        <v/>
      </c>
      <c r="C394" s="12" t="str">
        <f t="shared" si="30"/>
        <v/>
      </c>
      <c r="D394" s="31" t="str">
        <f>IFERROR(MATCH($A394,'Match Log'!$K$3:$K$501,0)+2,"")</f>
        <v/>
      </c>
      <c r="E394" s="31" t="str">
        <f>IFERROR(MATCH($A394,'Tournament Log'!$O$4:$O$203,0)+3,"")</f>
        <v/>
      </c>
      <c r="F394" s="12" t="str">
        <f>IF(C394="","",IF(C394="Match",INDEX('Match Log'!$B:$B,D394),IF(C394="Tournament",INDEX('Tournament Log'!$C:$C,E394),INDEX('Guest Log'!$B:$B,Q394))))</f>
        <v/>
      </c>
      <c r="G394" s="12" t="str">
        <f>IF(C394="","",IF(C394="Match",INDEX('Match Log'!$C:$C,D394),IF(C394="Tournament",INDEX('Tournament Log'!$B:$B,E394)&amp;" (Phantom)",INDEX('Guest Log'!$H:$H,Q394)&amp;" (Guest)")))</f>
        <v/>
      </c>
      <c r="H394" s="32" t="str">
        <f t="array" ref="H394">IF(C394="","",IFERROR(LOOKUP(2,1/(($F$1:F393=F394)+($G$1:G393=F394)),IF($F$1:F393=F394,$N$1:N393,$O$1:O393)),1000))</f>
        <v/>
      </c>
      <c r="I394" s="12" t="str">
        <f t="array" ref="I394">IF(C394="","",IF(C394="Tournament",INDEX('Tournament Log'!$J:$J,E394),IF(C394="Guest",IF(INDEX('Guest Log'!$I:$I,Q394)="",1000,INDEX('Guest Log'!$I:$I,Q394)),IFERROR(LOOKUP(2,1/(($F$1:F393=G394)+($G$1:G393=G394)),IF($F$1:F393=G394,$N$1:N393,$O$1:O393)),1000))))</f>
        <v/>
      </c>
      <c r="J394" s="12" t="str">
        <f t="shared" si="31"/>
        <v/>
      </c>
      <c r="K394" s="12" t="str">
        <f>IF(C394="","",IF(C394="Match",IF(INDEX('Match Log'!$D:$D,D394)="Win",1,IF(INDEX('Match Log'!$D:$D,D394)="Draw",0.5,0)),IF(C394="Tournament",INDEX('Tournament Log'!$K:$K,E394),IF(INDEX('Guest Log'!$C:$C,Q394)="Win",1,IF(INDEX('Guest Log'!$C:$C,Q394)="Draw",0.5,0)))))</f>
        <v/>
      </c>
      <c r="L394" s="12" t="str">
        <f>IF(C394="","",IF(C394="Match",32,IF(C394="Tournament",MIN(32*INDEX('Tournament Log'!$D:$D,E394),96),32)))</f>
        <v/>
      </c>
      <c r="M394" s="12" t="str">
        <f t="shared" si="32"/>
        <v/>
      </c>
      <c r="N394" s="12" t="str">
        <f t="shared" si="33"/>
        <v/>
      </c>
      <c r="O394" s="12" t="str">
        <f t="shared" si="34"/>
        <v/>
      </c>
      <c r="P394" s="12" t="str">
        <f>IF(C394="Tournament",INDEX('Tournament Log'!$B:$B,E394),IF(C394="Guest","Guest: "&amp;INDEX('Guest Log'!$H:$H,Q394),""))</f>
        <v/>
      </c>
      <c r="Q394" t="str">
        <f>IFERROR(MATCH($A394,'Guest Log'!$L$4:$L$203,0)+3,"")</f>
        <v/>
      </c>
    </row>
    <row r="395" spans="1:17" ht="15" customHeight="1" x14ac:dyDescent="0.2">
      <c r="A395" s="12">
        <f>394</f>
        <v>394</v>
      </c>
      <c r="B395" s="12" t="str">
        <f>IF(C395="","",IF(C395="Match",INDEX('Match Log'!$A:$A,D395),IF(C395="Tournament",INDEX('Tournament Log'!$A:$A,E395),INDEX('Guest Log'!$A:$A,Q395))))</f>
        <v/>
      </c>
      <c r="C395" s="12" t="str">
        <f t="shared" si="30"/>
        <v/>
      </c>
      <c r="D395" s="31" t="str">
        <f>IFERROR(MATCH($A395,'Match Log'!$K$3:$K$501,0)+2,"")</f>
        <v/>
      </c>
      <c r="E395" s="31" t="str">
        <f>IFERROR(MATCH($A395,'Tournament Log'!$O$4:$O$203,0)+3,"")</f>
        <v/>
      </c>
      <c r="F395" s="12" t="str">
        <f>IF(C395="","",IF(C395="Match",INDEX('Match Log'!$B:$B,D395),IF(C395="Tournament",INDEX('Tournament Log'!$C:$C,E395),INDEX('Guest Log'!$B:$B,Q395))))</f>
        <v/>
      </c>
      <c r="G395" s="12" t="str">
        <f>IF(C395="","",IF(C395="Match",INDEX('Match Log'!$C:$C,D395),IF(C395="Tournament",INDEX('Tournament Log'!$B:$B,E395)&amp;" (Phantom)",INDEX('Guest Log'!$H:$H,Q395)&amp;" (Guest)")))</f>
        <v/>
      </c>
      <c r="H395" s="32" t="str">
        <f t="array" ref="H395">IF(C395="","",IFERROR(LOOKUP(2,1/(($F$1:F394=F395)+($G$1:G394=F395)),IF($F$1:F394=F395,$N$1:N394,$O$1:O394)),1000))</f>
        <v/>
      </c>
      <c r="I395" s="12" t="str">
        <f t="array" ref="I395">IF(C395="","",IF(C395="Tournament",INDEX('Tournament Log'!$J:$J,E395),IF(C395="Guest",IF(INDEX('Guest Log'!$I:$I,Q395)="",1000,INDEX('Guest Log'!$I:$I,Q395)),IFERROR(LOOKUP(2,1/(($F$1:F394=G395)+($G$1:G394=G395)),IF($F$1:F394=G395,$N$1:N394,$O$1:O394)),1000))))</f>
        <v/>
      </c>
      <c r="J395" s="12" t="str">
        <f t="shared" si="31"/>
        <v/>
      </c>
      <c r="K395" s="12" t="str">
        <f>IF(C395="","",IF(C395="Match",IF(INDEX('Match Log'!$D:$D,D395)="Win",1,IF(INDEX('Match Log'!$D:$D,D395)="Draw",0.5,0)),IF(C395="Tournament",INDEX('Tournament Log'!$K:$K,E395),IF(INDEX('Guest Log'!$C:$C,Q395)="Win",1,IF(INDEX('Guest Log'!$C:$C,Q395)="Draw",0.5,0)))))</f>
        <v/>
      </c>
      <c r="L395" s="12" t="str">
        <f>IF(C395="","",IF(C395="Match",32,IF(C395="Tournament",MIN(32*INDEX('Tournament Log'!$D:$D,E395),96),32)))</f>
        <v/>
      </c>
      <c r="M395" s="12" t="str">
        <f t="shared" si="32"/>
        <v/>
      </c>
      <c r="N395" s="12" t="str">
        <f t="shared" si="33"/>
        <v/>
      </c>
      <c r="O395" s="12" t="str">
        <f t="shared" si="34"/>
        <v/>
      </c>
      <c r="P395" s="12" t="str">
        <f>IF(C395="Tournament",INDEX('Tournament Log'!$B:$B,E395),IF(C395="Guest","Guest: "&amp;INDEX('Guest Log'!$H:$H,Q395),""))</f>
        <v/>
      </c>
      <c r="Q395" t="str">
        <f>IFERROR(MATCH($A395,'Guest Log'!$L$4:$L$203,0)+3,"")</f>
        <v/>
      </c>
    </row>
    <row r="396" spans="1:17" ht="15" customHeight="1" x14ac:dyDescent="0.2">
      <c r="A396" s="12">
        <f>395</f>
        <v>395</v>
      </c>
      <c r="B396" s="12" t="str">
        <f>IF(C396="","",IF(C396="Match",INDEX('Match Log'!$A:$A,D396),IF(C396="Tournament",INDEX('Tournament Log'!$A:$A,E396),INDEX('Guest Log'!$A:$A,Q396))))</f>
        <v/>
      </c>
      <c r="C396" s="12" t="str">
        <f t="shared" si="30"/>
        <v/>
      </c>
      <c r="D396" s="31" t="str">
        <f>IFERROR(MATCH($A396,'Match Log'!$K$3:$K$501,0)+2,"")</f>
        <v/>
      </c>
      <c r="E396" s="31" t="str">
        <f>IFERROR(MATCH($A396,'Tournament Log'!$O$4:$O$203,0)+3,"")</f>
        <v/>
      </c>
      <c r="F396" s="12" t="str">
        <f>IF(C396="","",IF(C396="Match",INDEX('Match Log'!$B:$B,D396),IF(C396="Tournament",INDEX('Tournament Log'!$C:$C,E396),INDEX('Guest Log'!$B:$B,Q396))))</f>
        <v/>
      </c>
      <c r="G396" s="12" t="str">
        <f>IF(C396="","",IF(C396="Match",INDEX('Match Log'!$C:$C,D396),IF(C396="Tournament",INDEX('Tournament Log'!$B:$B,E396)&amp;" (Phantom)",INDEX('Guest Log'!$H:$H,Q396)&amp;" (Guest)")))</f>
        <v/>
      </c>
      <c r="H396" s="32" t="str">
        <f t="array" ref="H396">IF(C396="","",IFERROR(LOOKUP(2,1/(($F$1:F395=F396)+($G$1:G395=F396)),IF($F$1:F395=F396,$N$1:N395,$O$1:O395)),1000))</f>
        <v/>
      </c>
      <c r="I396" s="12" t="str">
        <f t="array" ref="I396">IF(C396="","",IF(C396="Tournament",INDEX('Tournament Log'!$J:$J,E396),IF(C396="Guest",IF(INDEX('Guest Log'!$I:$I,Q396)="",1000,INDEX('Guest Log'!$I:$I,Q396)),IFERROR(LOOKUP(2,1/(($F$1:F395=G396)+($G$1:G395=G396)),IF($F$1:F395=G396,$N$1:N395,$O$1:O395)),1000))))</f>
        <v/>
      </c>
      <c r="J396" s="12" t="str">
        <f t="shared" si="31"/>
        <v/>
      </c>
      <c r="K396" s="12" t="str">
        <f>IF(C396="","",IF(C396="Match",IF(INDEX('Match Log'!$D:$D,D396)="Win",1,IF(INDEX('Match Log'!$D:$D,D396)="Draw",0.5,0)),IF(C396="Tournament",INDEX('Tournament Log'!$K:$K,E396),IF(INDEX('Guest Log'!$C:$C,Q396)="Win",1,IF(INDEX('Guest Log'!$C:$C,Q396)="Draw",0.5,0)))))</f>
        <v/>
      </c>
      <c r="L396" s="12" t="str">
        <f>IF(C396="","",IF(C396="Match",32,IF(C396="Tournament",MIN(32*INDEX('Tournament Log'!$D:$D,E396),96),32)))</f>
        <v/>
      </c>
      <c r="M396" s="12" t="str">
        <f t="shared" si="32"/>
        <v/>
      </c>
      <c r="N396" s="12" t="str">
        <f t="shared" si="33"/>
        <v/>
      </c>
      <c r="O396" s="12" t="str">
        <f t="shared" si="34"/>
        <v/>
      </c>
      <c r="P396" s="12" t="str">
        <f>IF(C396="Tournament",INDEX('Tournament Log'!$B:$B,E396),IF(C396="Guest","Guest: "&amp;INDEX('Guest Log'!$H:$H,Q396),""))</f>
        <v/>
      </c>
      <c r="Q396" t="str">
        <f>IFERROR(MATCH($A396,'Guest Log'!$L$4:$L$203,0)+3,"")</f>
        <v/>
      </c>
    </row>
    <row r="397" spans="1:17" ht="15" customHeight="1" x14ac:dyDescent="0.2">
      <c r="A397" s="12">
        <f>396</f>
        <v>396</v>
      </c>
      <c r="B397" s="12" t="str">
        <f>IF(C397="","",IF(C397="Match",INDEX('Match Log'!$A:$A,D397),IF(C397="Tournament",INDEX('Tournament Log'!$A:$A,E397),INDEX('Guest Log'!$A:$A,Q397))))</f>
        <v/>
      </c>
      <c r="C397" s="12" t="str">
        <f t="shared" si="30"/>
        <v/>
      </c>
      <c r="D397" s="31" t="str">
        <f>IFERROR(MATCH($A397,'Match Log'!$K$3:$K$501,0)+2,"")</f>
        <v/>
      </c>
      <c r="E397" s="31" t="str">
        <f>IFERROR(MATCH($A397,'Tournament Log'!$O$4:$O$203,0)+3,"")</f>
        <v/>
      </c>
      <c r="F397" s="12" t="str">
        <f>IF(C397="","",IF(C397="Match",INDEX('Match Log'!$B:$B,D397),IF(C397="Tournament",INDEX('Tournament Log'!$C:$C,E397),INDEX('Guest Log'!$B:$B,Q397))))</f>
        <v/>
      </c>
      <c r="G397" s="12" t="str">
        <f>IF(C397="","",IF(C397="Match",INDEX('Match Log'!$C:$C,D397),IF(C397="Tournament",INDEX('Tournament Log'!$B:$B,E397)&amp;" (Phantom)",INDEX('Guest Log'!$H:$H,Q397)&amp;" (Guest)")))</f>
        <v/>
      </c>
      <c r="H397" s="32" t="str">
        <f t="array" ref="H397">IF(C397="","",IFERROR(LOOKUP(2,1/(($F$1:F396=F397)+($G$1:G396=F397)),IF($F$1:F396=F397,$N$1:N396,$O$1:O396)),1000))</f>
        <v/>
      </c>
      <c r="I397" s="12" t="str">
        <f t="array" ref="I397">IF(C397="","",IF(C397="Tournament",INDEX('Tournament Log'!$J:$J,E397),IF(C397="Guest",IF(INDEX('Guest Log'!$I:$I,Q397)="",1000,INDEX('Guest Log'!$I:$I,Q397)),IFERROR(LOOKUP(2,1/(($F$1:F396=G397)+($G$1:G396=G397)),IF($F$1:F396=G397,$N$1:N396,$O$1:O396)),1000))))</f>
        <v/>
      </c>
      <c r="J397" s="12" t="str">
        <f t="shared" si="31"/>
        <v/>
      </c>
      <c r="K397" s="12" t="str">
        <f>IF(C397="","",IF(C397="Match",IF(INDEX('Match Log'!$D:$D,D397)="Win",1,IF(INDEX('Match Log'!$D:$D,D397)="Draw",0.5,0)),IF(C397="Tournament",INDEX('Tournament Log'!$K:$K,E397),IF(INDEX('Guest Log'!$C:$C,Q397)="Win",1,IF(INDEX('Guest Log'!$C:$C,Q397)="Draw",0.5,0)))))</f>
        <v/>
      </c>
      <c r="L397" s="12" t="str">
        <f>IF(C397="","",IF(C397="Match",32,IF(C397="Tournament",MIN(32*INDEX('Tournament Log'!$D:$D,E397),96),32)))</f>
        <v/>
      </c>
      <c r="M397" s="12" t="str">
        <f t="shared" si="32"/>
        <v/>
      </c>
      <c r="N397" s="12" t="str">
        <f t="shared" si="33"/>
        <v/>
      </c>
      <c r="O397" s="12" t="str">
        <f t="shared" si="34"/>
        <v/>
      </c>
      <c r="P397" s="12" t="str">
        <f>IF(C397="Tournament",INDEX('Tournament Log'!$B:$B,E397),IF(C397="Guest","Guest: "&amp;INDEX('Guest Log'!$H:$H,Q397),""))</f>
        <v/>
      </c>
      <c r="Q397" t="str">
        <f>IFERROR(MATCH($A397,'Guest Log'!$L$4:$L$203,0)+3,"")</f>
        <v/>
      </c>
    </row>
    <row r="398" spans="1:17" ht="15" customHeight="1" x14ac:dyDescent="0.2">
      <c r="A398" s="12">
        <f>397</f>
        <v>397</v>
      </c>
      <c r="B398" s="12" t="str">
        <f>IF(C398="","",IF(C398="Match",INDEX('Match Log'!$A:$A,D398),IF(C398="Tournament",INDEX('Tournament Log'!$A:$A,E398),INDEX('Guest Log'!$A:$A,Q398))))</f>
        <v/>
      </c>
      <c r="C398" s="12" t="str">
        <f t="shared" si="30"/>
        <v/>
      </c>
      <c r="D398" s="31" t="str">
        <f>IFERROR(MATCH($A398,'Match Log'!$K$3:$K$501,0)+2,"")</f>
        <v/>
      </c>
      <c r="E398" s="31" t="str">
        <f>IFERROR(MATCH($A398,'Tournament Log'!$O$4:$O$203,0)+3,"")</f>
        <v/>
      </c>
      <c r="F398" s="12" t="str">
        <f>IF(C398="","",IF(C398="Match",INDEX('Match Log'!$B:$B,D398),IF(C398="Tournament",INDEX('Tournament Log'!$C:$C,E398),INDEX('Guest Log'!$B:$B,Q398))))</f>
        <v/>
      </c>
      <c r="G398" s="12" t="str">
        <f>IF(C398="","",IF(C398="Match",INDEX('Match Log'!$C:$C,D398),IF(C398="Tournament",INDEX('Tournament Log'!$B:$B,E398)&amp;" (Phantom)",INDEX('Guest Log'!$H:$H,Q398)&amp;" (Guest)")))</f>
        <v/>
      </c>
      <c r="H398" s="32" t="str">
        <f t="array" ref="H398">IF(C398="","",IFERROR(LOOKUP(2,1/(($F$1:F397=F398)+($G$1:G397=F398)),IF($F$1:F397=F398,$N$1:N397,$O$1:O397)),1000))</f>
        <v/>
      </c>
      <c r="I398" s="12" t="str">
        <f t="array" ref="I398">IF(C398="","",IF(C398="Tournament",INDEX('Tournament Log'!$J:$J,E398),IF(C398="Guest",IF(INDEX('Guest Log'!$I:$I,Q398)="",1000,INDEX('Guest Log'!$I:$I,Q398)),IFERROR(LOOKUP(2,1/(($F$1:F397=G398)+($G$1:G397=G398)),IF($F$1:F397=G398,$N$1:N397,$O$1:O397)),1000))))</f>
        <v/>
      </c>
      <c r="J398" s="12" t="str">
        <f t="shared" si="31"/>
        <v/>
      </c>
      <c r="K398" s="12" t="str">
        <f>IF(C398="","",IF(C398="Match",IF(INDEX('Match Log'!$D:$D,D398)="Win",1,IF(INDEX('Match Log'!$D:$D,D398)="Draw",0.5,0)),IF(C398="Tournament",INDEX('Tournament Log'!$K:$K,E398),IF(INDEX('Guest Log'!$C:$C,Q398)="Win",1,IF(INDEX('Guest Log'!$C:$C,Q398)="Draw",0.5,0)))))</f>
        <v/>
      </c>
      <c r="L398" s="12" t="str">
        <f>IF(C398="","",IF(C398="Match",32,IF(C398="Tournament",MIN(32*INDEX('Tournament Log'!$D:$D,E398),96),32)))</f>
        <v/>
      </c>
      <c r="M398" s="12" t="str">
        <f t="shared" si="32"/>
        <v/>
      </c>
      <c r="N398" s="12" t="str">
        <f t="shared" si="33"/>
        <v/>
      </c>
      <c r="O398" s="12" t="str">
        <f t="shared" si="34"/>
        <v/>
      </c>
      <c r="P398" s="12" t="str">
        <f>IF(C398="Tournament",INDEX('Tournament Log'!$B:$B,E398),IF(C398="Guest","Guest: "&amp;INDEX('Guest Log'!$H:$H,Q398),""))</f>
        <v/>
      </c>
      <c r="Q398" t="str">
        <f>IFERROR(MATCH($A398,'Guest Log'!$L$4:$L$203,0)+3,"")</f>
        <v/>
      </c>
    </row>
    <row r="399" spans="1:17" ht="15" customHeight="1" x14ac:dyDescent="0.2">
      <c r="A399" s="12">
        <f>398</f>
        <v>398</v>
      </c>
      <c r="B399" s="12" t="str">
        <f>IF(C399="","",IF(C399="Match",INDEX('Match Log'!$A:$A,D399),IF(C399="Tournament",INDEX('Tournament Log'!$A:$A,E399),INDEX('Guest Log'!$A:$A,Q399))))</f>
        <v/>
      </c>
      <c r="C399" s="12" t="str">
        <f t="shared" si="30"/>
        <v/>
      </c>
      <c r="D399" s="31" t="str">
        <f>IFERROR(MATCH($A399,'Match Log'!$K$3:$K$501,0)+2,"")</f>
        <v/>
      </c>
      <c r="E399" s="31" t="str">
        <f>IFERROR(MATCH($A399,'Tournament Log'!$O$4:$O$203,0)+3,"")</f>
        <v/>
      </c>
      <c r="F399" s="12" t="str">
        <f>IF(C399="","",IF(C399="Match",INDEX('Match Log'!$B:$B,D399),IF(C399="Tournament",INDEX('Tournament Log'!$C:$C,E399),INDEX('Guest Log'!$B:$B,Q399))))</f>
        <v/>
      </c>
      <c r="G399" s="12" t="str">
        <f>IF(C399="","",IF(C399="Match",INDEX('Match Log'!$C:$C,D399),IF(C399="Tournament",INDEX('Tournament Log'!$B:$B,E399)&amp;" (Phantom)",INDEX('Guest Log'!$H:$H,Q399)&amp;" (Guest)")))</f>
        <v/>
      </c>
      <c r="H399" s="32" t="str">
        <f t="array" ref="H399">IF(C399="","",IFERROR(LOOKUP(2,1/(($F$1:F398=F399)+($G$1:G398=F399)),IF($F$1:F398=F399,$N$1:N398,$O$1:O398)),1000))</f>
        <v/>
      </c>
      <c r="I399" s="12" t="str">
        <f t="array" ref="I399">IF(C399="","",IF(C399="Tournament",INDEX('Tournament Log'!$J:$J,E399),IF(C399="Guest",IF(INDEX('Guest Log'!$I:$I,Q399)="",1000,INDEX('Guest Log'!$I:$I,Q399)),IFERROR(LOOKUP(2,1/(($F$1:F398=G399)+($G$1:G398=G399)),IF($F$1:F398=G399,$N$1:N398,$O$1:O398)),1000))))</f>
        <v/>
      </c>
      <c r="J399" s="12" t="str">
        <f t="shared" si="31"/>
        <v/>
      </c>
      <c r="K399" s="12" t="str">
        <f>IF(C399="","",IF(C399="Match",IF(INDEX('Match Log'!$D:$D,D399)="Win",1,IF(INDEX('Match Log'!$D:$D,D399)="Draw",0.5,0)),IF(C399="Tournament",INDEX('Tournament Log'!$K:$K,E399),IF(INDEX('Guest Log'!$C:$C,Q399)="Win",1,IF(INDEX('Guest Log'!$C:$C,Q399)="Draw",0.5,0)))))</f>
        <v/>
      </c>
      <c r="L399" s="12" t="str">
        <f>IF(C399="","",IF(C399="Match",32,IF(C399="Tournament",MIN(32*INDEX('Tournament Log'!$D:$D,E399),96),32)))</f>
        <v/>
      </c>
      <c r="M399" s="12" t="str">
        <f t="shared" si="32"/>
        <v/>
      </c>
      <c r="N399" s="12" t="str">
        <f t="shared" si="33"/>
        <v/>
      </c>
      <c r="O399" s="12" t="str">
        <f t="shared" si="34"/>
        <v/>
      </c>
      <c r="P399" s="12" t="str">
        <f>IF(C399="Tournament",INDEX('Tournament Log'!$B:$B,E399),IF(C399="Guest","Guest: "&amp;INDEX('Guest Log'!$H:$H,Q399),""))</f>
        <v/>
      </c>
      <c r="Q399" t="str">
        <f>IFERROR(MATCH($A399,'Guest Log'!$L$4:$L$203,0)+3,"")</f>
        <v/>
      </c>
    </row>
    <row r="400" spans="1:17" ht="15" customHeight="1" x14ac:dyDescent="0.2">
      <c r="A400" s="12">
        <f>399</f>
        <v>399</v>
      </c>
      <c r="B400" s="12" t="str">
        <f>IF(C400="","",IF(C400="Match",INDEX('Match Log'!$A:$A,D400),IF(C400="Tournament",INDEX('Tournament Log'!$A:$A,E400),INDEX('Guest Log'!$A:$A,Q400))))</f>
        <v/>
      </c>
      <c r="C400" s="12" t="str">
        <f t="shared" si="30"/>
        <v/>
      </c>
      <c r="D400" s="31" t="str">
        <f>IFERROR(MATCH($A400,'Match Log'!$K$3:$K$501,0)+2,"")</f>
        <v/>
      </c>
      <c r="E400" s="31" t="str">
        <f>IFERROR(MATCH($A400,'Tournament Log'!$O$4:$O$203,0)+3,"")</f>
        <v/>
      </c>
      <c r="F400" s="12" t="str">
        <f>IF(C400="","",IF(C400="Match",INDEX('Match Log'!$B:$B,D400),IF(C400="Tournament",INDEX('Tournament Log'!$C:$C,E400),INDEX('Guest Log'!$B:$B,Q400))))</f>
        <v/>
      </c>
      <c r="G400" s="12" t="str">
        <f>IF(C400="","",IF(C400="Match",INDEX('Match Log'!$C:$C,D400),IF(C400="Tournament",INDEX('Tournament Log'!$B:$B,E400)&amp;" (Phantom)",INDEX('Guest Log'!$H:$H,Q400)&amp;" (Guest)")))</f>
        <v/>
      </c>
      <c r="H400" s="32" t="str">
        <f t="array" ref="H400">IF(C400="","",IFERROR(LOOKUP(2,1/(($F$1:F399=F400)+($G$1:G399=F400)),IF($F$1:F399=F400,$N$1:N399,$O$1:O399)),1000))</f>
        <v/>
      </c>
      <c r="I400" s="12" t="str">
        <f t="array" ref="I400">IF(C400="","",IF(C400="Tournament",INDEX('Tournament Log'!$J:$J,E400),IF(C400="Guest",IF(INDEX('Guest Log'!$I:$I,Q400)="",1000,INDEX('Guest Log'!$I:$I,Q400)),IFERROR(LOOKUP(2,1/(($F$1:F399=G400)+($G$1:G399=G400)),IF($F$1:F399=G400,$N$1:N399,$O$1:O399)),1000))))</f>
        <v/>
      </c>
      <c r="J400" s="12" t="str">
        <f t="shared" si="31"/>
        <v/>
      </c>
      <c r="K400" s="12" t="str">
        <f>IF(C400="","",IF(C400="Match",IF(INDEX('Match Log'!$D:$D,D400)="Win",1,IF(INDEX('Match Log'!$D:$D,D400)="Draw",0.5,0)),IF(C400="Tournament",INDEX('Tournament Log'!$K:$K,E400),IF(INDEX('Guest Log'!$C:$C,Q400)="Win",1,IF(INDEX('Guest Log'!$C:$C,Q400)="Draw",0.5,0)))))</f>
        <v/>
      </c>
      <c r="L400" s="12" t="str">
        <f>IF(C400="","",IF(C400="Match",32,IF(C400="Tournament",MIN(32*INDEX('Tournament Log'!$D:$D,E400),96),32)))</f>
        <v/>
      </c>
      <c r="M400" s="12" t="str">
        <f t="shared" si="32"/>
        <v/>
      </c>
      <c r="N400" s="12" t="str">
        <f t="shared" si="33"/>
        <v/>
      </c>
      <c r="O400" s="12" t="str">
        <f t="shared" si="34"/>
        <v/>
      </c>
      <c r="P400" s="12" t="str">
        <f>IF(C400="Tournament",INDEX('Tournament Log'!$B:$B,E400),IF(C400="Guest","Guest: "&amp;INDEX('Guest Log'!$H:$H,Q400),""))</f>
        <v/>
      </c>
      <c r="Q400" t="str">
        <f>IFERROR(MATCH($A400,'Guest Log'!$L$4:$L$203,0)+3,"")</f>
        <v/>
      </c>
    </row>
    <row r="401" spans="1:17" ht="15" customHeight="1" x14ac:dyDescent="0.2">
      <c r="A401" s="12">
        <f>400</f>
        <v>400</v>
      </c>
      <c r="B401" s="12" t="str">
        <f>IF(C401="","",IF(C401="Match",INDEX('Match Log'!$A:$A,D401),IF(C401="Tournament",INDEX('Tournament Log'!$A:$A,E401),INDEX('Guest Log'!$A:$A,Q401))))</f>
        <v/>
      </c>
      <c r="C401" s="12" t="str">
        <f t="shared" si="30"/>
        <v/>
      </c>
      <c r="D401" s="31" t="str">
        <f>IFERROR(MATCH($A401,'Match Log'!$K$3:$K$501,0)+2,"")</f>
        <v/>
      </c>
      <c r="E401" s="31" t="str">
        <f>IFERROR(MATCH($A401,'Tournament Log'!$O$4:$O$203,0)+3,"")</f>
        <v/>
      </c>
      <c r="F401" s="12" t="str">
        <f>IF(C401="","",IF(C401="Match",INDEX('Match Log'!$B:$B,D401),IF(C401="Tournament",INDEX('Tournament Log'!$C:$C,E401),INDEX('Guest Log'!$B:$B,Q401))))</f>
        <v/>
      </c>
      <c r="G401" s="12" t="str">
        <f>IF(C401="","",IF(C401="Match",INDEX('Match Log'!$C:$C,D401),IF(C401="Tournament",INDEX('Tournament Log'!$B:$B,E401)&amp;" (Phantom)",INDEX('Guest Log'!$H:$H,Q401)&amp;" (Guest)")))</f>
        <v/>
      </c>
      <c r="H401" s="32" t="str">
        <f t="array" ref="H401">IF(C401="","",IFERROR(LOOKUP(2,1/(($F$1:F400=F401)+($G$1:G400=F401)),IF($F$1:F400=F401,$N$1:N400,$O$1:O400)),1000))</f>
        <v/>
      </c>
      <c r="I401" s="12" t="str">
        <f t="array" ref="I401">IF(C401="","",IF(C401="Tournament",INDEX('Tournament Log'!$J:$J,E401),IF(C401="Guest",IF(INDEX('Guest Log'!$I:$I,Q401)="",1000,INDEX('Guest Log'!$I:$I,Q401)),IFERROR(LOOKUP(2,1/(($F$1:F400=G401)+($G$1:G400=G401)),IF($F$1:F400=G401,$N$1:N400,$O$1:O400)),1000))))</f>
        <v/>
      </c>
      <c r="J401" s="12" t="str">
        <f t="shared" si="31"/>
        <v/>
      </c>
      <c r="K401" s="12" t="str">
        <f>IF(C401="","",IF(C401="Match",IF(INDEX('Match Log'!$D:$D,D401)="Win",1,IF(INDEX('Match Log'!$D:$D,D401)="Draw",0.5,0)),IF(C401="Tournament",INDEX('Tournament Log'!$K:$K,E401),IF(INDEX('Guest Log'!$C:$C,Q401)="Win",1,IF(INDEX('Guest Log'!$C:$C,Q401)="Draw",0.5,0)))))</f>
        <v/>
      </c>
      <c r="L401" s="12" t="str">
        <f>IF(C401="","",IF(C401="Match",32,IF(C401="Tournament",MIN(32*INDEX('Tournament Log'!$D:$D,E401),96),32)))</f>
        <v/>
      </c>
      <c r="M401" s="12" t="str">
        <f t="shared" si="32"/>
        <v/>
      </c>
      <c r="N401" s="12" t="str">
        <f t="shared" si="33"/>
        <v/>
      </c>
      <c r="O401" s="12" t="str">
        <f t="shared" si="34"/>
        <v/>
      </c>
      <c r="P401" s="12" t="str">
        <f>IF(C401="Tournament",INDEX('Tournament Log'!$B:$B,E401),IF(C401="Guest","Guest: "&amp;INDEX('Guest Log'!$H:$H,Q401),""))</f>
        <v/>
      </c>
      <c r="Q401" t="str">
        <f>IFERROR(MATCH($A401,'Guest Log'!$L$4:$L$203,0)+3,"")</f>
        <v/>
      </c>
    </row>
    <row r="402" spans="1:17" ht="15" customHeight="1" x14ac:dyDescent="0.2">
      <c r="A402" s="12">
        <f>401</f>
        <v>401</v>
      </c>
      <c r="B402" s="12" t="str">
        <f>IF(C402="","",IF(C402="Match",INDEX('Match Log'!$A:$A,D402),IF(C402="Tournament",INDEX('Tournament Log'!$A:$A,E402),INDEX('Guest Log'!$A:$A,Q402))))</f>
        <v/>
      </c>
      <c r="C402" s="12" t="str">
        <f t="shared" si="30"/>
        <v/>
      </c>
      <c r="D402" s="31" t="str">
        <f>IFERROR(MATCH($A402,'Match Log'!$K$3:$K$501,0)+2,"")</f>
        <v/>
      </c>
      <c r="E402" s="31" t="str">
        <f>IFERROR(MATCH($A402,'Tournament Log'!$O$4:$O$203,0)+3,"")</f>
        <v/>
      </c>
      <c r="F402" s="12" t="str">
        <f>IF(C402="","",IF(C402="Match",INDEX('Match Log'!$B:$B,D402),IF(C402="Tournament",INDEX('Tournament Log'!$C:$C,E402),INDEX('Guest Log'!$B:$B,Q402))))</f>
        <v/>
      </c>
      <c r="G402" s="12" t="str">
        <f>IF(C402="","",IF(C402="Match",INDEX('Match Log'!$C:$C,D402),IF(C402="Tournament",INDEX('Tournament Log'!$B:$B,E402)&amp;" (Phantom)",INDEX('Guest Log'!$H:$H,Q402)&amp;" (Guest)")))</f>
        <v/>
      </c>
      <c r="H402" s="32" t="str">
        <f t="array" ref="H402">IF(C402="","",IFERROR(LOOKUP(2,1/(($F$1:F401=F402)+($G$1:G401=F402)),IF($F$1:F401=F402,$N$1:N401,$O$1:O401)),1000))</f>
        <v/>
      </c>
      <c r="I402" s="12" t="str">
        <f t="array" ref="I402">IF(C402="","",IF(C402="Tournament",INDEX('Tournament Log'!$J:$J,E402),IF(C402="Guest",IF(INDEX('Guest Log'!$I:$I,Q402)="",1000,INDEX('Guest Log'!$I:$I,Q402)),IFERROR(LOOKUP(2,1/(($F$1:F401=G402)+($G$1:G401=G402)),IF($F$1:F401=G402,$N$1:N401,$O$1:O401)),1000))))</f>
        <v/>
      </c>
      <c r="J402" s="12" t="str">
        <f t="shared" si="31"/>
        <v/>
      </c>
      <c r="K402" s="12" t="str">
        <f>IF(C402="","",IF(C402="Match",IF(INDEX('Match Log'!$D:$D,D402)="Win",1,IF(INDEX('Match Log'!$D:$D,D402)="Draw",0.5,0)),IF(C402="Tournament",INDEX('Tournament Log'!$K:$K,E402),IF(INDEX('Guest Log'!$C:$C,Q402)="Win",1,IF(INDEX('Guest Log'!$C:$C,Q402)="Draw",0.5,0)))))</f>
        <v/>
      </c>
      <c r="L402" s="12" t="str">
        <f>IF(C402="","",IF(C402="Match",32,IF(C402="Tournament",MIN(32*INDEX('Tournament Log'!$D:$D,E402),96),32)))</f>
        <v/>
      </c>
      <c r="M402" s="12" t="str">
        <f t="shared" si="32"/>
        <v/>
      </c>
      <c r="N402" s="12" t="str">
        <f t="shared" si="33"/>
        <v/>
      </c>
      <c r="O402" s="12" t="str">
        <f t="shared" si="34"/>
        <v/>
      </c>
      <c r="P402" s="12" t="str">
        <f>IF(C402="Tournament",INDEX('Tournament Log'!$B:$B,E402),IF(C402="Guest","Guest: "&amp;INDEX('Guest Log'!$H:$H,Q402),""))</f>
        <v/>
      </c>
      <c r="Q402" t="str">
        <f>IFERROR(MATCH($A402,'Guest Log'!$L$4:$L$203,0)+3,"")</f>
        <v/>
      </c>
    </row>
    <row r="403" spans="1:17" ht="15" customHeight="1" x14ac:dyDescent="0.2">
      <c r="A403" s="12">
        <f>402</f>
        <v>402</v>
      </c>
      <c r="B403" s="12" t="str">
        <f>IF(C403="","",IF(C403="Match",INDEX('Match Log'!$A:$A,D403),IF(C403="Tournament",INDEX('Tournament Log'!$A:$A,E403),INDEX('Guest Log'!$A:$A,Q403))))</f>
        <v/>
      </c>
      <c r="C403" s="12" t="str">
        <f t="shared" si="30"/>
        <v/>
      </c>
      <c r="D403" s="31" t="str">
        <f>IFERROR(MATCH($A403,'Match Log'!$K$3:$K$501,0)+2,"")</f>
        <v/>
      </c>
      <c r="E403" s="31" t="str">
        <f>IFERROR(MATCH($A403,'Tournament Log'!$O$4:$O$203,0)+3,"")</f>
        <v/>
      </c>
      <c r="F403" s="12" t="str">
        <f>IF(C403="","",IF(C403="Match",INDEX('Match Log'!$B:$B,D403),IF(C403="Tournament",INDEX('Tournament Log'!$C:$C,E403),INDEX('Guest Log'!$B:$B,Q403))))</f>
        <v/>
      </c>
      <c r="G403" s="12" t="str">
        <f>IF(C403="","",IF(C403="Match",INDEX('Match Log'!$C:$C,D403),IF(C403="Tournament",INDEX('Tournament Log'!$B:$B,E403)&amp;" (Phantom)",INDEX('Guest Log'!$H:$H,Q403)&amp;" (Guest)")))</f>
        <v/>
      </c>
      <c r="H403" s="32" t="str">
        <f t="array" ref="H403">IF(C403="","",IFERROR(LOOKUP(2,1/(($F$1:F402=F403)+($G$1:G402=F403)),IF($F$1:F402=F403,$N$1:N402,$O$1:O402)),1000))</f>
        <v/>
      </c>
      <c r="I403" s="12" t="str">
        <f t="array" ref="I403">IF(C403="","",IF(C403="Tournament",INDEX('Tournament Log'!$J:$J,E403),IF(C403="Guest",IF(INDEX('Guest Log'!$I:$I,Q403)="",1000,INDEX('Guest Log'!$I:$I,Q403)),IFERROR(LOOKUP(2,1/(($F$1:F402=G403)+($G$1:G402=G403)),IF($F$1:F402=G403,$N$1:N402,$O$1:O402)),1000))))</f>
        <v/>
      </c>
      <c r="J403" s="12" t="str">
        <f t="shared" si="31"/>
        <v/>
      </c>
      <c r="K403" s="12" t="str">
        <f>IF(C403="","",IF(C403="Match",IF(INDEX('Match Log'!$D:$D,D403)="Win",1,IF(INDEX('Match Log'!$D:$D,D403)="Draw",0.5,0)),IF(C403="Tournament",INDEX('Tournament Log'!$K:$K,E403),IF(INDEX('Guest Log'!$C:$C,Q403)="Win",1,IF(INDEX('Guest Log'!$C:$C,Q403)="Draw",0.5,0)))))</f>
        <v/>
      </c>
      <c r="L403" s="12" t="str">
        <f>IF(C403="","",IF(C403="Match",32,IF(C403="Tournament",MIN(32*INDEX('Tournament Log'!$D:$D,E403),96),32)))</f>
        <v/>
      </c>
      <c r="M403" s="12" t="str">
        <f t="shared" si="32"/>
        <v/>
      </c>
      <c r="N403" s="12" t="str">
        <f t="shared" si="33"/>
        <v/>
      </c>
      <c r="O403" s="12" t="str">
        <f t="shared" si="34"/>
        <v/>
      </c>
      <c r="P403" s="12" t="str">
        <f>IF(C403="Tournament",INDEX('Tournament Log'!$B:$B,E403),IF(C403="Guest","Guest: "&amp;INDEX('Guest Log'!$H:$H,Q403),""))</f>
        <v/>
      </c>
      <c r="Q403" t="str">
        <f>IFERROR(MATCH($A403,'Guest Log'!$L$4:$L$203,0)+3,"")</f>
        <v/>
      </c>
    </row>
    <row r="404" spans="1:17" ht="15" customHeight="1" x14ac:dyDescent="0.2">
      <c r="A404" s="12">
        <f>403</f>
        <v>403</v>
      </c>
      <c r="B404" s="12" t="str">
        <f>IF(C404="","",IF(C404="Match",INDEX('Match Log'!$A:$A,D404),IF(C404="Tournament",INDEX('Tournament Log'!$A:$A,E404),INDEX('Guest Log'!$A:$A,Q404))))</f>
        <v/>
      </c>
      <c r="C404" s="12" t="str">
        <f t="shared" si="30"/>
        <v/>
      </c>
      <c r="D404" s="31" t="str">
        <f>IFERROR(MATCH($A404,'Match Log'!$K$3:$K$501,0)+2,"")</f>
        <v/>
      </c>
      <c r="E404" s="31" t="str">
        <f>IFERROR(MATCH($A404,'Tournament Log'!$O$4:$O$203,0)+3,"")</f>
        <v/>
      </c>
      <c r="F404" s="12" t="str">
        <f>IF(C404="","",IF(C404="Match",INDEX('Match Log'!$B:$B,D404),IF(C404="Tournament",INDEX('Tournament Log'!$C:$C,E404),INDEX('Guest Log'!$B:$B,Q404))))</f>
        <v/>
      </c>
      <c r="G404" s="12" t="str">
        <f>IF(C404="","",IF(C404="Match",INDEX('Match Log'!$C:$C,D404),IF(C404="Tournament",INDEX('Tournament Log'!$B:$B,E404)&amp;" (Phantom)",INDEX('Guest Log'!$H:$H,Q404)&amp;" (Guest)")))</f>
        <v/>
      </c>
      <c r="H404" s="32" t="str">
        <f t="array" ref="H404">IF(C404="","",IFERROR(LOOKUP(2,1/(($F$1:F403=F404)+($G$1:G403=F404)),IF($F$1:F403=F404,$N$1:N403,$O$1:O403)),1000))</f>
        <v/>
      </c>
      <c r="I404" s="12" t="str">
        <f t="array" ref="I404">IF(C404="","",IF(C404="Tournament",INDEX('Tournament Log'!$J:$J,E404),IF(C404="Guest",IF(INDEX('Guest Log'!$I:$I,Q404)="",1000,INDEX('Guest Log'!$I:$I,Q404)),IFERROR(LOOKUP(2,1/(($F$1:F403=G404)+($G$1:G403=G404)),IF($F$1:F403=G404,$N$1:N403,$O$1:O403)),1000))))</f>
        <v/>
      </c>
      <c r="J404" s="12" t="str">
        <f t="shared" si="31"/>
        <v/>
      </c>
      <c r="K404" s="12" t="str">
        <f>IF(C404="","",IF(C404="Match",IF(INDEX('Match Log'!$D:$D,D404)="Win",1,IF(INDEX('Match Log'!$D:$D,D404)="Draw",0.5,0)),IF(C404="Tournament",INDEX('Tournament Log'!$K:$K,E404),IF(INDEX('Guest Log'!$C:$C,Q404)="Win",1,IF(INDEX('Guest Log'!$C:$C,Q404)="Draw",0.5,0)))))</f>
        <v/>
      </c>
      <c r="L404" s="12" t="str">
        <f>IF(C404="","",IF(C404="Match",32,IF(C404="Tournament",MIN(32*INDEX('Tournament Log'!$D:$D,E404),96),32)))</f>
        <v/>
      </c>
      <c r="M404" s="12" t="str">
        <f t="shared" si="32"/>
        <v/>
      </c>
      <c r="N404" s="12" t="str">
        <f t="shared" si="33"/>
        <v/>
      </c>
      <c r="O404" s="12" t="str">
        <f t="shared" si="34"/>
        <v/>
      </c>
      <c r="P404" s="12" t="str">
        <f>IF(C404="Tournament",INDEX('Tournament Log'!$B:$B,E404),IF(C404="Guest","Guest: "&amp;INDEX('Guest Log'!$H:$H,Q404),""))</f>
        <v/>
      </c>
      <c r="Q404" t="str">
        <f>IFERROR(MATCH($A404,'Guest Log'!$L$4:$L$203,0)+3,"")</f>
        <v/>
      </c>
    </row>
    <row r="405" spans="1:17" ht="15" customHeight="1" x14ac:dyDescent="0.2">
      <c r="A405" s="12">
        <f>404</f>
        <v>404</v>
      </c>
      <c r="B405" s="12" t="str">
        <f>IF(C405="","",IF(C405="Match",INDEX('Match Log'!$A:$A,D405),IF(C405="Tournament",INDEX('Tournament Log'!$A:$A,E405),INDEX('Guest Log'!$A:$A,Q405))))</f>
        <v/>
      </c>
      <c r="C405" s="12" t="str">
        <f t="shared" si="30"/>
        <v/>
      </c>
      <c r="D405" s="31" t="str">
        <f>IFERROR(MATCH($A405,'Match Log'!$K$3:$K$501,0)+2,"")</f>
        <v/>
      </c>
      <c r="E405" s="31" t="str">
        <f>IFERROR(MATCH($A405,'Tournament Log'!$O$4:$O$203,0)+3,"")</f>
        <v/>
      </c>
      <c r="F405" s="12" t="str">
        <f>IF(C405="","",IF(C405="Match",INDEX('Match Log'!$B:$B,D405),IF(C405="Tournament",INDEX('Tournament Log'!$C:$C,E405),INDEX('Guest Log'!$B:$B,Q405))))</f>
        <v/>
      </c>
      <c r="G405" s="12" t="str">
        <f>IF(C405="","",IF(C405="Match",INDEX('Match Log'!$C:$C,D405),IF(C405="Tournament",INDEX('Tournament Log'!$B:$B,E405)&amp;" (Phantom)",INDEX('Guest Log'!$H:$H,Q405)&amp;" (Guest)")))</f>
        <v/>
      </c>
      <c r="H405" s="32" t="str">
        <f t="array" ref="H405">IF(C405="","",IFERROR(LOOKUP(2,1/(($F$1:F404=F405)+($G$1:G404=F405)),IF($F$1:F404=F405,$N$1:N404,$O$1:O404)),1000))</f>
        <v/>
      </c>
      <c r="I405" s="12" t="str">
        <f t="array" ref="I405">IF(C405="","",IF(C405="Tournament",INDEX('Tournament Log'!$J:$J,E405),IF(C405="Guest",IF(INDEX('Guest Log'!$I:$I,Q405)="",1000,INDEX('Guest Log'!$I:$I,Q405)),IFERROR(LOOKUP(2,1/(($F$1:F404=G405)+($G$1:G404=G405)),IF($F$1:F404=G405,$N$1:N404,$O$1:O404)),1000))))</f>
        <v/>
      </c>
      <c r="J405" s="12" t="str">
        <f t="shared" si="31"/>
        <v/>
      </c>
      <c r="K405" s="12" t="str">
        <f>IF(C405="","",IF(C405="Match",IF(INDEX('Match Log'!$D:$D,D405)="Win",1,IF(INDEX('Match Log'!$D:$D,D405)="Draw",0.5,0)),IF(C405="Tournament",INDEX('Tournament Log'!$K:$K,E405),IF(INDEX('Guest Log'!$C:$C,Q405)="Win",1,IF(INDEX('Guest Log'!$C:$C,Q405)="Draw",0.5,0)))))</f>
        <v/>
      </c>
      <c r="L405" s="12" t="str">
        <f>IF(C405="","",IF(C405="Match",32,IF(C405="Tournament",MIN(32*INDEX('Tournament Log'!$D:$D,E405),96),32)))</f>
        <v/>
      </c>
      <c r="M405" s="12" t="str">
        <f t="shared" si="32"/>
        <v/>
      </c>
      <c r="N405" s="12" t="str">
        <f t="shared" si="33"/>
        <v/>
      </c>
      <c r="O405" s="12" t="str">
        <f t="shared" si="34"/>
        <v/>
      </c>
      <c r="P405" s="12" t="str">
        <f>IF(C405="Tournament",INDEX('Tournament Log'!$B:$B,E405),IF(C405="Guest","Guest: "&amp;INDEX('Guest Log'!$H:$H,Q405),""))</f>
        <v/>
      </c>
      <c r="Q405" t="str">
        <f>IFERROR(MATCH($A405,'Guest Log'!$L$4:$L$203,0)+3,"")</f>
        <v/>
      </c>
    </row>
    <row r="406" spans="1:17" ht="15" customHeight="1" x14ac:dyDescent="0.2">
      <c r="A406" s="12">
        <f>405</f>
        <v>405</v>
      </c>
      <c r="B406" s="12" t="str">
        <f>IF(C406="","",IF(C406="Match",INDEX('Match Log'!$A:$A,D406),IF(C406="Tournament",INDEX('Tournament Log'!$A:$A,E406),INDEX('Guest Log'!$A:$A,Q406))))</f>
        <v/>
      </c>
      <c r="C406" s="12" t="str">
        <f t="shared" si="30"/>
        <v/>
      </c>
      <c r="D406" s="31" t="str">
        <f>IFERROR(MATCH($A406,'Match Log'!$K$3:$K$501,0)+2,"")</f>
        <v/>
      </c>
      <c r="E406" s="31" t="str">
        <f>IFERROR(MATCH($A406,'Tournament Log'!$O$4:$O$203,0)+3,"")</f>
        <v/>
      </c>
      <c r="F406" s="12" t="str">
        <f>IF(C406="","",IF(C406="Match",INDEX('Match Log'!$B:$B,D406),IF(C406="Tournament",INDEX('Tournament Log'!$C:$C,E406),INDEX('Guest Log'!$B:$B,Q406))))</f>
        <v/>
      </c>
      <c r="G406" s="12" t="str">
        <f>IF(C406="","",IF(C406="Match",INDEX('Match Log'!$C:$C,D406),IF(C406="Tournament",INDEX('Tournament Log'!$B:$B,E406)&amp;" (Phantom)",INDEX('Guest Log'!$H:$H,Q406)&amp;" (Guest)")))</f>
        <v/>
      </c>
      <c r="H406" s="32" t="str">
        <f t="array" ref="H406">IF(C406="","",IFERROR(LOOKUP(2,1/(($F$1:F405=F406)+($G$1:G405=F406)),IF($F$1:F405=F406,$N$1:N405,$O$1:O405)),1000))</f>
        <v/>
      </c>
      <c r="I406" s="12" t="str">
        <f t="array" ref="I406">IF(C406="","",IF(C406="Tournament",INDEX('Tournament Log'!$J:$J,E406),IF(C406="Guest",IF(INDEX('Guest Log'!$I:$I,Q406)="",1000,INDEX('Guest Log'!$I:$I,Q406)),IFERROR(LOOKUP(2,1/(($F$1:F405=G406)+($G$1:G405=G406)),IF($F$1:F405=G406,$N$1:N405,$O$1:O405)),1000))))</f>
        <v/>
      </c>
      <c r="J406" s="12" t="str">
        <f t="shared" si="31"/>
        <v/>
      </c>
      <c r="K406" s="12" t="str">
        <f>IF(C406="","",IF(C406="Match",IF(INDEX('Match Log'!$D:$D,D406)="Win",1,IF(INDEX('Match Log'!$D:$D,D406)="Draw",0.5,0)),IF(C406="Tournament",INDEX('Tournament Log'!$K:$K,E406),IF(INDEX('Guest Log'!$C:$C,Q406)="Win",1,IF(INDEX('Guest Log'!$C:$C,Q406)="Draw",0.5,0)))))</f>
        <v/>
      </c>
      <c r="L406" s="12" t="str">
        <f>IF(C406="","",IF(C406="Match",32,IF(C406="Tournament",MIN(32*INDEX('Tournament Log'!$D:$D,E406),96),32)))</f>
        <v/>
      </c>
      <c r="M406" s="12" t="str">
        <f t="shared" si="32"/>
        <v/>
      </c>
      <c r="N406" s="12" t="str">
        <f t="shared" si="33"/>
        <v/>
      </c>
      <c r="O406" s="12" t="str">
        <f t="shared" si="34"/>
        <v/>
      </c>
      <c r="P406" s="12" t="str">
        <f>IF(C406="Tournament",INDEX('Tournament Log'!$B:$B,E406),IF(C406="Guest","Guest: "&amp;INDEX('Guest Log'!$H:$H,Q406),""))</f>
        <v/>
      </c>
      <c r="Q406" t="str">
        <f>IFERROR(MATCH($A406,'Guest Log'!$L$4:$L$203,0)+3,"")</f>
        <v/>
      </c>
    </row>
    <row r="407" spans="1:17" ht="15" customHeight="1" x14ac:dyDescent="0.2">
      <c r="A407" s="12">
        <f>406</f>
        <v>406</v>
      </c>
      <c r="B407" s="12" t="str">
        <f>IF(C407="","",IF(C407="Match",INDEX('Match Log'!$A:$A,D407),IF(C407="Tournament",INDEX('Tournament Log'!$A:$A,E407),INDEX('Guest Log'!$A:$A,Q407))))</f>
        <v/>
      </c>
      <c r="C407" s="12" t="str">
        <f t="shared" si="30"/>
        <v/>
      </c>
      <c r="D407" s="31" t="str">
        <f>IFERROR(MATCH($A407,'Match Log'!$K$3:$K$501,0)+2,"")</f>
        <v/>
      </c>
      <c r="E407" s="31" t="str">
        <f>IFERROR(MATCH($A407,'Tournament Log'!$O$4:$O$203,0)+3,"")</f>
        <v/>
      </c>
      <c r="F407" s="12" t="str">
        <f>IF(C407="","",IF(C407="Match",INDEX('Match Log'!$B:$B,D407),IF(C407="Tournament",INDEX('Tournament Log'!$C:$C,E407),INDEX('Guest Log'!$B:$B,Q407))))</f>
        <v/>
      </c>
      <c r="G407" s="12" t="str">
        <f>IF(C407="","",IF(C407="Match",INDEX('Match Log'!$C:$C,D407),IF(C407="Tournament",INDEX('Tournament Log'!$B:$B,E407)&amp;" (Phantom)",INDEX('Guest Log'!$H:$H,Q407)&amp;" (Guest)")))</f>
        <v/>
      </c>
      <c r="H407" s="32" t="str">
        <f t="array" ref="H407">IF(C407="","",IFERROR(LOOKUP(2,1/(($F$1:F406=F407)+($G$1:G406=F407)),IF($F$1:F406=F407,$N$1:N406,$O$1:O406)),1000))</f>
        <v/>
      </c>
      <c r="I407" s="12" t="str">
        <f t="array" ref="I407">IF(C407="","",IF(C407="Tournament",INDEX('Tournament Log'!$J:$J,E407),IF(C407="Guest",IF(INDEX('Guest Log'!$I:$I,Q407)="",1000,INDEX('Guest Log'!$I:$I,Q407)),IFERROR(LOOKUP(2,1/(($F$1:F406=G407)+($G$1:G406=G407)),IF($F$1:F406=G407,$N$1:N406,$O$1:O406)),1000))))</f>
        <v/>
      </c>
      <c r="J407" s="12" t="str">
        <f t="shared" si="31"/>
        <v/>
      </c>
      <c r="K407" s="12" t="str">
        <f>IF(C407="","",IF(C407="Match",IF(INDEX('Match Log'!$D:$D,D407)="Win",1,IF(INDEX('Match Log'!$D:$D,D407)="Draw",0.5,0)),IF(C407="Tournament",INDEX('Tournament Log'!$K:$K,E407),IF(INDEX('Guest Log'!$C:$C,Q407)="Win",1,IF(INDEX('Guest Log'!$C:$C,Q407)="Draw",0.5,0)))))</f>
        <v/>
      </c>
      <c r="L407" s="12" t="str">
        <f>IF(C407="","",IF(C407="Match",32,IF(C407="Tournament",MIN(32*INDEX('Tournament Log'!$D:$D,E407),96),32)))</f>
        <v/>
      </c>
      <c r="M407" s="12" t="str">
        <f t="shared" si="32"/>
        <v/>
      </c>
      <c r="N407" s="12" t="str">
        <f t="shared" si="33"/>
        <v/>
      </c>
      <c r="O407" s="12" t="str">
        <f t="shared" si="34"/>
        <v/>
      </c>
      <c r="P407" s="12" t="str">
        <f>IF(C407="Tournament",INDEX('Tournament Log'!$B:$B,E407),IF(C407="Guest","Guest: "&amp;INDEX('Guest Log'!$H:$H,Q407),""))</f>
        <v/>
      </c>
      <c r="Q407" t="str">
        <f>IFERROR(MATCH($A407,'Guest Log'!$L$4:$L$203,0)+3,"")</f>
        <v/>
      </c>
    </row>
    <row r="408" spans="1:17" ht="15" customHeight="1" x14ac:dyDescent="0.2">
      <c r="A408" s="12">
        <f>407</f>
        <v>407</v>
      </c>
      <c r="B408" s="12" t="str">
        <f>IF(C408="","",IF(C408="Match",INDEX('Match Log'!$A:$A,D408),IF(C408="Tournament",INDEX('Tournament Log'!$A:$A,E408),INDEX('Guest Log'!$A:$A,Q408))))</f>
        <v/>
      </c>
      <c r="C408" s="12" t="str">
        <f t="shared" si="30"/>
        <v/>
      </c>
      <c r="D408" s="31" t="str">
        <f>IFERROR(MATCH($A408,'Match Log'!$K$3:$K$501,0)+2,"")</f>
        <v/>
      </c>
      <c r="E408" s="31" t="str">
        <f>IFERROR(MATCH($A408,'Tournament Log'!$O$4:$O$203,0)+3,"")</f>
        <v/>
      </c>
      <c r="F408" s="12" t="str">
        <f>IF(C408="","",IF(C408="Match",INDEX('Match Log'!$B:$B,D408),IF(C408="Tournament",INDEX('Tournament Log'!$C:$C,E408),INDEX('Guest Log'!$B:$B,Q408))))</f>
        <v/>
      </c>
      <c r="G408" s="12" t="str">
        <f>IF(C408="","",IF(C408="Match",INDEX('Match Log'!$C:$C,D408),IF(C408="Tournament",INDEX('Tournament Log'!$B:$B,E408)&amp;" (Phantom)",INDEX('Guest Log'!$H:$H,Q408)&amp;" (Guest)")))</f>
        <v/>
      </c>
      <c r="H408" s="32" t="str">
        <f t="array" ref="H408">IF(C408="","",IFERROR(LOOKUP(2,1/(($F$1:F407=F408)+($G$1:G407=F408)),IF($F$1:F407=F408,$N$1:N407,$O$1:O407)),1000))</f>
        <v/>
      </c>
      <c r="I408" s="12" t="str">
        <f t="array" ref="I408">IF(C408="","",IF(C408="Tournament",INDEX('Tournament Log'!$J:$J,E408),IF(C408="Guest",IF(INDEX('Guest Log'!$I:$I,Q408)="",1000,INDEX('Guest Log'!$I:$I,Q408)),IFERROR(LOOKUP(2,1/(($F$1:F407=G408)+($G$1:G407=G408)),IF($F$1:F407=G408,$N$1:N407,$O$1:O407)),1000))))</f>
        <v/>
      </c>
      <c r="J408" s="12" t="str">
        <f t="shared" si="31"/>
        <v/>
      </c>
      <c r="K408" s="12" t="str">
        <f>IF(C408="","",IF(C408="Match",IF(INDEX('Match Log'!$D:$D,D408)="Win",1,IF(INDEX('Match Log'!$D:$D,D408)="Draw",0.5,0)),IF(C408="Tournament",INDEX('Tournament Log'!$K:$K,E408),IF(INDEX('Guest Log'!$C:$C,Q408)="Win",1,IF(INDEX('Guest Log'!$C:$C,Q408)="Draw",0.5,0)))))</f>
        <v/>
      </c>
      <c r="L408" s="12" t="str">
        <f>IF(C408="","",IF(C408="Match",32,IF(C408="Tournament",MIN(32*INDEX('Tournament Log'!$D:$D,E408),96),32)))</f>
        <v/>
      </c>
      <c r="M408" s="12" t="str">
        <f t="shared" si="32"/>
        <v/>
      </c>
      <c r="N408" s="12" t="str">
        <f t="shared" si="33"/>
        <v/>
      </c>
      <c r="O408" s="12" t="str">
        <f t="shared" si="34"/>
        <v/>
      </c>
      <c r="P408" s="12" t="str">
        <f>IF(C408="Tournament",INDEX('Tournament Log'!$B:$B,E408),IF(C408="Guest","Guest: "&amp;INDEX('Guest Log'!$H:$H,Q408),""))</f>
        <v/>
      </c>
      <c r="Q408" t="str">
        <f>IFERROR(MATCH($A408,'Guest Log'!$L$4:$L$203,0)+3,"")</f>
        <v/>
      </c>
    </row>
    <row r="409" spans="1:17" ht="15" customHeight="1" x14ac:dyDescent="0.2">
      <c r="A409" s="12">
        <f>408</f>
        <v>408</v>
      </c>
      <c r="B409" s="12" t="str">
        <f>IF(C409="","",IF(C409="Match",INDEX('Match Log'!$A:$A,D409),IF(C409="Tournament",INDEX('Tournament Log'!$A:$A,E409),INDEX('Guest Log'!$A:$A,Q409))))</f>
        <v/>
      </c>
      <c r="C409" s="12" t="str">
        <f t="shared" si="30"/>
        <v/>
      </c>
      <c r="D409" s="31" t="str">
        <f>IFERROR(MATCH($A409,'Match Log'!$K$3:$K$501,0)+2,"")</f>
        <v/>
      </c>
      <c r="E409" s="31" t="str">
        <f>IFERROR(MATCH($A409,'Tournament Log'!$O$4:$O$203,0)+3,"")</f>
        <v/>
      </c>
      <c r="F409" s="12" t="str">
        <f>IF(C409="","",IF(C409="Match",INDEX('Match Log'!$B:$B,D409),IF(C409="Tournament",INDEX('Tournament Log'!$C:$C,E409),INDEX('Guest Log'!$B:$B,Q409))))</f>
        <v/>
      </c>
      <c r="G409" s="12" t="str">
        <f>IF(C409="","",IF(C409="Match",INDEX('Match Log'!$C:$C,D409),IF(C409="Tournament",INDEX('Tournament Log'!$B:$B,E409)&amp;" (Phantom)",INDEX('Guest Log'!$H:$H,Q409)&amp;" (Guest)")))</f>
        <v/>
      </c>
      <c r="H409" s="32" t="str">
        <f t="array" ref="H409">IF(C409="","",IFERROR(LOOKUP(2,1/(($F$1:F408=F409)+($G$1:G408=F409)),IF($F$1:F408=F409,$N$1:N408,$O$1:O408)),1000))</f>
        <v/>
      </c>
      <c r="I409" s="12" t="str">
        <f t="array" ref="I409">IF(C409="","",IF(C409="Tournament",INDEX('Tournament Log'!$J:$J,E409),IF(C409="Guest",IF(INDEX('Guest Log'!$I:$I,Q409)="",1000,INDEX('Guest Log'!$I:$I,Q409)),IFERROR(LOOKUP(2,1/(($F$1:F408=G409)+($G$1:G408=G409)),IF($F$1:F408=G409,$N$1:N408,$O$1:O408)),1000))))</f>
        <v/>
      </c>
      <c r="J409" s="12" t="str">
        <f t="shared" si="31"/>
        <v/>
      </c>
      <c r="K409" s="12" t="str">
        <f>IF(C409="","",IF(C409="Match",IF(INDEX('Match Log'!$D:$D,D409)="Win",1,IF(INDEX('Match Log'!$D:$D,D409)="Draw",0.5,0)),IF(C409="Tournament",INDEX('Tournament Log'!$K:$K,E409),IF(INDEX('Guest Log'!$C:$C,Q409)="Win",1,IF(INDEX('Guest Log'!$C:$C,Q409)="Draw",0.5,0)))))</f>
        <v/>
      </c>
      <c r="L409" s="12" t="str">
        <f>IF(C409="","",IF(C409="Match",32,IF(C409="Tournament",MIN(32*INDEX('Tournament Log'!$D:$D,E409),96),32)))</f>
        <v/>
      </c>
      <c r="M409" s="12" t="str">
        <f t="shared" si="32"/>
        <v/>
      </c>
      <c r="N409" s="12" t="str">
        <f t="shared" si="33"/>
        <v/>
      </c>
      <c r="O409" s="12" t="str">
        <f t="shared" si="34"/>
        <v/>
      </c>
      <c r="P409" s="12" t="str">
        <f>IF(C409="Tournament",INDEX('Tournament Log'!$B:$B,E409),IF(C409="Guest","Guest: "&amp;INDEX('Guest Log'!$H:$H,Q409),""))</f>
        <v/>
      </c>
      <c r="Q409" t="str">
        <f>IFERROR(MATCH($A409,'Guest Log'!$L$4:$L$203,0)+3,"")</f>
        <v/>
      </c>
    </row>
    <row r="410" spans="1:17" ht="15" customHeight="1" x14ac:dyDescent="0.2">
      <c r="A410" s="12">
        <f>409</f>
        <v>409</v>
      </c>
      <c r="B410" s="12" t="str">
        <f>IF(C410="","",IF(C410="Match",INDEX('Match Log'!$A:$A,D410),IF(C410="Tournament",INDEX('Tournament Log'!$A:$A,E410),INDEX('Guest Log'!$A:$A,Q410))))</f>
        <v/>
      </c>
      <c r="C410" s="12" t="str">
        <f t="shared" si="30"/>
        <v/>
      </c>
      <c r="D410" s="31" t="str">
        <f>IFERROR(MATCH($A410,'Match Log'!$K$3:$K$501,0)+2,"")</f>
        <v/>
      </c>
      <c r="E410" s="31" t="str">
        <f>IFERROR(MATCH($A410,'Tournament Log'!$O$4:$O$203,0)+3,"")</f>
        <v/>
      </c>
      <c r="F410" s="12" t="str">
        <f>IF(C410="","",IF(C410="Match",INDEX('Match Log'!$B:$B,D410),IF(C410="Tournament",INDEX('Tournament Log'!$C:$C,E410),INDEX('Guest Log'!$B:$B,Q410))))</f>
        <v/>
      </c>
      <c r="G410" s="12" t="str">
        <f>IF(C410="","",IF(C410="Match",INDEX('Match Log'!$C:$C,D410),IF(C410="Tournament",INDEX('Tournament Log'!$B:$B,E410)&amp;" (Phantom)",INDEX('Guest Log'!$H:$H,Q410)&amp;" (Guest)")))</f>
        <v/>
      </c>
      <c r="H410" s="32" t="str">
        <f t="array" ref="H410">IF(C410="","",IFERROR(LOOKUP(2,1/(($F$1:F409=F410)+($G$1:G409=F410)),IF($F$1:F409=F410,$N$1:N409,$O$1:O409)),1000))</f>
        <v/>
      </c>
      <c r="I410" s="12" t="str">
        <f t="array" ref="I410">IF(C410="","",IF(C410="Tournament",INDEX('Tournament Log'!$J:$J,E410),IF(C410="Guest",IF(INDEX('Guest Log'!$I:$I,Q410)="",1000,INDEX('Guest Log'!$I:$I,Q410)),IFERROR(LOOKUP(2,1/(($F$1:F409=G410)+($G$1:G409=G410)),IF($F$1:F409=G410,$N$1:N409,$O$1:O409)),1000))))</f>
        <v/>
      </c>
      <c r="J410" s="12" t="str">
        <f t="shared" si="31"/>
        <v/>
      </c>
      <c r="K410" s="12" t="str">
        <f>IF(C410="","",IF(C410="Match",IF(INDEX('Match Log'!$D:$D,D410)="Win",1,IF(INDEX('Match Log'!$D:$D,D410)="Draw",0.5,0)),IF(C410="Tournament",INDEX('Tournament Log'!$K:$K,E410),IF(INDEX('Guest Log'!$C:$C,Q410)="Win",1,IF(INDEX('Guest Log'!$C:$C,Q410)="Draw",0.5,0)))))</f>
        <v/>
      </c>
      <c r="L410" s="12" t="str">
        <f>IF(C410="","",IF(C410="Match",32,IF(C410="Tournament",MIN(32*INDEX('Tournament Log'!$D:$D,E410),96),32)))</f>
        <v/>
      </c>
      <c r="M410" s="12" t="str">
        <f t="shared" si="32"/>
        <v/>
      </c>
      <c r="N410" s="12" t="str">
        <f t="shared" si="33"/>
        <v/>
      </c>
      <c r="O410" s="12" t="str">
        <f t="shared" si="34"/>
        <v/>
      </c>
      <c r="P410" s="12" t="str">
        <f>IF(C410="Tournament",INDEX('Tournament Log'!$B:$B,E410),IF(C410="Guest","Guest: "&amp;INDEX('Guest Log'!$H:$H,Q410),""))</f>
        <v/>
      </c>
      <c r="Q410" t="str">
        <f>IFERROR(MATCH($A410,'Guest Log'!$L$4:$L$203,0)+3,"")</f>
        <v/>
      </c>
    </row>
    <row r="411" spans="1:17" ht="15" customHeight="1" x14ac:dyDescent="0.2">
      <c r="A411" s="12">
        <f>410</f>
        <v>410</v>
      </c>
      <c r="B411" s="12" t="str">
        <f>IF(C411="","",IF(C411="Match",INDEX('Match Log'!$A:$A,D411),IF(C411="Tournament",INDEX('Tournament Log'!$A:$A,E411),INDEX('Guest Log'!$A:$A,Q411))))</f>
        <v/>
      </c>
      <c r="C411" s="12" t="str">
        <f t="shared" si="30"/>
        <v/>
      </c>
      <c r="D411" s="31" t="str">
        <f>IFERROR(MATCH($A411,'Match Log'!$K$3:$K$501,0)+2,"")</f>
        <v/>
      </c>
      <c r="E411" s="31" t="str">
        <f>IFERROR(MATCH($A411,'Tournament Log'!$O$4:$O$203,0)+3,"")</f>
        <v/>
      </c>
      <c r="F411" s="12" t="str">
        <f>IF(C411="","",IF(C411="Match",INDEX('Match Log'!$B:$B,D411),IF(C411="Tournament",INDEX('Tournament Log'!$C:$C,E411),INDEX('Guest Log'!$B:$B,Q411))))</f>
        <v/>
      </c>
      <c r="G411" s="12" t="str">
        <f>IF(C411="","",IF(C411="Match",INDEX('Match Log'!$C:$C,D411),IF(C411="Tournament",INDEX('Tournament Log'!$B:$B,E411)&amp;" (Phantom)",INDEX('Guest Log'!$H:$H,Q411)&amp;" (Guest)")))</f>
        <v/>
      </c>
      <c r="H411" s="32" t="str">
        <f t="array" ref="H411">IF(C411="","",IFERROR(LOOKUP(2,1/(($F$1:F410=F411)+($G$1:G410=F411)),IF($F$1:F410=F411,$N$1:N410,$O$1:O410)),1000))</f>
        <v/>
      </c>
      <c r="I411" s="12" t="str">
        <f t="array" ref="I411">IF(C411="","",IF(C411="Tournament",INDEX('Tournament Log'!$J:$J,E411),IF(C411="Guest",IF(INDEX('Guest Log'!$I:$I,Q411)="",1000,INDEX('Guest Log'!$I:$I,Q411)),IFERROR(LOOKUP(2,1/(($F$1:F410=G411)+($G$1:G410=G411)),IF($F$1:F410=G411,$N$1:N410,$O$1:O410)),1000))))</f>
        <v/>
      </c>
      <c r="J411" s="12" t="str">
        <f t="shared" si="31"/>
        <v/>
      </c>
      <c r="K411" s="12" t="str">
        <f>IF(C411="","",IF(C411="Match",IF(INDEX('Match Log'!$D:$D,D411)="Win",1,IF(INDEX('Match Log'!$D:$D,D411)="Draw",0.5,0)),IF(C411="Tournament",INDEX('Tournament Log'!$K:$K,E411),IF(INDEX('Guest Log'!$C:$C,Q411)="Win",1,IF(INDEX('Guest Log'!$C:$C,Q411)="Draw",0.5,0)))))</f>
        <v/>
      </c>
      <c r="L411" s="12" t="str">
        <f>IF(C411="","",IF(C411="Match",32,IF(C411="Tournament",MIN(32*INDEX('Tournament Log'!$D:$D,E411),96),32)))</f>
        <v/>
      </c>
      <c r="M411" s="12" t="str">
        <f t="shared" si="32"/>
        <v/>
      </c>
      <c r="N411" s="12" t="str">
        <f t="shared" si="33"/>
        <v/>
      </c>
      <c r="O411" s="12" t="str">
        <f t="shared" si="34"/>
        <v/>
      </c>
      <c r="P411" s="12" t="str">
        <f>IF(C411="Tournament",INDEX('Tournament Log'!$B:$B,E411),IF(C411="Guest","Guest: "&amp;INDEX('Guest Log'!$H:$H,Q411),""))</f>
        <v/>
      </c>
      <c r="Q411" t="str">
        <f>IFERROR(MATCH($A411,'Guest Log'!$L$4:$L$203,0)+3,"")</f>
        <v/>
      </c>
    </row>
    <row r="412" spans="1:17" ht="15" customHeight="1" x14ac:dyDescent="0.2">
      <c r="A412" s="12">
        <f>411</f>
        <v>411</v>
      </c>
      <c r="B412" s="12" t="str">
        <f>IF(C412="","",IF(C412="Match",INDEX('Match Log'!$A:$A,D412),IF(C412="Tournament",INDEX('Tournament Log'!$A:$A,E412),INDEX('Guest Log'!$A:$A,Q412))))</f>
        <v/>
      </c>
      <c r="C412" s="12" t="str">
        <f t="shared" si="30"/>
        <v/>
      </c>
      <c r="D412" s="31" t="str">
        <f>IFERROR(MATCH($A412,'Match Log'!$K$3:$K$501,0)+2,"")</f>
        <v/>
      </c>
      <c r="E412" s="31" t="str">
        <f>IFERROR(MATCH($A412,'Tournament Log'!$O$4:$O$203,0)+3,"")</f>
        <v/>
      </c>
      <c r="F412" s="12" t="str">
        <f>IF(C412="","",IF(C412="Match",INDEX('Match Log'!$B:$B,D412),IF(C412="Tournament",INDEX('Tournament Log'!$C:$C,E412),INDEX('Guest Log'!$B:$B,Q412))))</f>
        <v/>
      </c>
      <c r="G412" s="12" t="str">
        <f>IF(C412="","",IF(C412="Match",INDEX('Match Log'!$C:$C,D412),IF(C412="Tournament",INDEX('Tournament Log'!$B:$B,E412)&amp;" (Phantom)",INDEX('Guest Log'!$H:$H,Q412)&amp;" (Guest)")))</f>
        <v/>
      </c>
      <c r="H412" s="32" t="str">
        <f t="array" ref="H412">IF(C412="","",IFERROR(LOOKUP(2,1/(($F$1:F411=F412)+($G$1:G411=F412)),IF($F$1:F411=F412,$N$1:N411,$O$1:O411)),1000))</f>
        <v/>
      </c>
      <c r="I412" s="12" t="str">
        <f t="array" ref="I412">IF(C412="","",IF(C412="Tournament",INDEX('Tournament Log'!$J:$J,E412),IF(C412="Guest",IF(INDEX('Guest Log'!$I:$I,Q412)="",1000,INDEX('Guest Log'!$I:$I,Q412)),IFERROR(LOOKUP(2,1/(($F$1:F411=G412)+($G$1:G411=G412)),IF($F$1:F411=G412,$N$1:N411,$O$1:O411)),1000))))</f>
        <v/>
      </c>
      <c r="J412" s="12" t="str">
        <f t="shared" si="31"/>
        <v/>
      </c>
      <c r="K412" s="12" t="str">
        <f>IF(C412="","",IF(C412="Match",IF(INDEX('Match Log'!$D:$D,D412)="Win",1,IF(INDEX('Match Log'!$D:$D,D412)="Draw",0.5,0)),IF(C412="Tournament",INDEX('Tournament Log'!$K:$K,E412),IF(INDEX('Guest Log'!$C:$C,Q412)="Win",1,IF(INDEX('Guest Log'!$C:$C,Q412)="Draw",0.5,0)))))</f>
        <v/>
      </c>
      <c r="L412" s="12" t="str">
        <f>IF(C412="","",IF(C412="Match",32,IF(C412="Tournament",MIN(32*INDEX('Tournament Log'!$D:$D,E412),96),32)))</f>
        <v/>
      </c>
      <c r="M412" s="12" t="str">
        <f t="shared" si="32"/>
        <v/>
      </c>
      <c r="N412" s="12" t="str">
        <f t="shared" si="33"/>
        <v/>
      </c>
      <c r="O412" s="12" t="str">
        <f t="shared" si="34"/>
        <v/>
      </c>
      <c r="P412" s="12" t="str">
        <f>IF(C412="Tournament",INDEX('Tournament Log'!$B:$B,E412),IF(C412="Guest","Guest: "&amp;INDEX('Guest Log'!$H:$H,Q412),""))</f>
        <v/>
      </c>
      <c r="Q412" t="str">
        <f>IFERROR(MATCH($A412,'Guest Log'!$L$4:$L$203,0)+3,"")</f>
        <v/>
      </c>
    </row>
    <row r="413" spans="1:17" ht="15" customHeight="1" x14ac:dyDescent="0.2">
      <c r="A413" s="12">
        <f>412</f>
        <v>412</v>
      </c>
      <c r="B413" s="12" t="str">
        <f>IF(C413="","",IF(C413="Match",INDEX('Match Log'!$A:$A,D413),IF(C413="Tournament",INDEX('Tournament Log'!$A:$A,E413),INDEX('Guest Log'!$A:$A,Q413))))</f>
        <v/>
      </c>
      <c r="C413" s="12" t="str">
        <f t="shared" si="30"/>
        <v/>
      </c>
      <c r="D413" s="31" t="str">
        <f>IFERROR(MATCH($A413,'Match Log'!$K$3:$K$501,0)+2,"")</f>
        <v/>
      </c>
      <c r="E413" s="31" t="str">
        <f>IFERROR(MATCH($A413,'Tournament Log'!$O$4:$O$203,0)+3,"")</f>
        <v/>
      </c>
      <c r="F413" s="12" t="str">
        <f>IF(C413="","",IF(C413="Match",INDEX('Match Log'!$B:$B,D413),IF(C413="Tournament",INDEX('Tournament Log'!$C:$C,E413),INDEX('Guest Log'!$B:$B,Q413))))</f>
        <v/>
      </c>
      <c r="G413" s="12" t="str">
        <f>IF(C413="","",IF(C413="Match",INDEX('Match Log'!$C:$C,D413),IF(C413="Tournament",INDEX('Tournament Log'!$B:$B,E413)&amp;" (Phantom)",INDEX('Guest Log'!$H:$H,Q413)&amp;" (Guest)")))</f>
        <v/>
      </c>
      <c r="H413" s="32" t="str">
        <f t="array" ref="H413">IF(C413="","",IFERROR(LOOKUP(2,1/(($F$1:F412=F413)+($G$1:G412=F413)),IF($F$1:F412=F413,$N$1:N412,$O$1:O412)),1000))</f>
        <v/>
      </c>
      <c r="I413" s="12" t="str">
        <f t="array" ref="I413">IF(C413="","",IF(C413="Tournament",INDEX('Tournament Log'!$J:$J,E413),IF(C413="Guest",IF(INDEX('Guest Log'!$I:$I,Q413)="",1000,INDEX('Guest Log'!$I:$I,Q413)),IFERROR(LOOKUP(2,1/(($F$1:F412=G413)+($G$1:G412=G413)),IF($F$1:F412=G413,$N$1:N412,$O$1:O412)),1000))))</f>
        <v/>
      </c>
      <c r="J413" s="12" t="str">
        <f t="shared" si="31"/>
        <v/>
      </c>
      <c r="K413" s="12" t="str">
        <f>IF(C413="","",IF(C413="Match",IF(INDEX('Match Log'!$D:$D,D413)="Win",1,IF(INDEX('Match Log'!$D:$D,D413)="Draw",0.5,0)),IF(C413="Tournament",INDEX('Tournament Log'!$K:$K,E413),IF(INDEX('Guest Log'!$C:$C,Q413)="Win",1,IF(INDEX('Guest Log'!$C:$C,Q413)="Draw",0.5,0)))))</f>
        <v/>
      </c>
      <c r="L413" s="12" t="str">
        <f>IF(C413="","",IF(C413="Match",32,IF(C413="Tournament",MIN(32*INDEX('Tournament Log'!$D:$D,E413),96),32)))</f>
        <v/>
      </c>
      <c r="M413" s="12" t="str">
        <f t="shared" si="32"/>
        <v/>
      </c>
      <c r="N413" s="12" t="str">
        <f t="shared" si="33"/>
        <v/>
      </c>
      <c r="O413" s="12" t="str">
        <f t="shared" si="34"/>
        <v/>
      </c>
      <c r="P413" s="12" t="str">
        <f>IF(C413="Tournament",INDEX('Tournament Log'!$B:$B,E413),IF(C413="Guest","Guest: "&amp;INDEX('Guest Log'!$H:$H,Q413),""))</f>
        <v/>
      </c>
      <c r="Q413" t="str">
        <f>IFERROR(MATCH($A413,'Guest Log'!$L$4:$L$203,0)+3,"")</f>
        <v/>
      </c>
    </row>
    <row r="414" spans="1:17" ht="15" customHeight="1" x14ac:dyDescent="0.2">
      <c r="A414" s="12">
        <f>413</f>
        <v>413</v>
      </c>
      <c r="B414" s="12" t="str">
        <f>IF(C414="","",IF(C414="Match",INDEX('Match Log'!$A:$A,D414),IF(C414="Tournament",INDEX('Tournament Log'!$A:$A,E414),INDEX('Guest Log'!$A:$A,Q414))))</f>
        <v/>
      </c>
      <c r="C414" s="12" t="str">
        <f t="shared" si="30"/>
        <v/>
      </c>
      <c r="D414" s="31" t="str">
        <f>IFERROR(MATCH($A414,'Match Log'!$K$3:$K$501,0)+2,"")</f>
        <v/>
      </c>
      <c r="E414" s="31" t="str">
        <f>IFERROR(MATCH($A414,'Tournament Log'!$O$4:$O$203,0)+3,"")</f>
        <v/>
      </c>
      <c r="F414" s="12" t="str">
        <f>IF(C414="","",IF(C414="Match",INDEX('Match Log'!$B:$B,D414),IF(C414="Tournament",INDEX('Tournament Log'!$C:$C,E414),INDEX('Guest Log'!$B:$B,Q414))))</f>
        <v/>
      </c>
      <c r="G414" s="12" t="str">
        <f>IF(C414="","",IF(C414="Match",INDEX('Match Log'!$C:$C,D414),IF(C414="Tournament",INDEX('Tournament Log'!$B:$B,E414)&amp;" (Phantom)",INDEX('Guest Log'!$H:$H,Q414)&amp;" (Guest)")))</f>
        <v/>
      </c>
      <c r="H414" s="32" t="str">
        <f t="array" ref="H414">IF(C414="","",IFERROR(LOOKUP(2,1/(($F$1:F413=F414)+($G$1:G413=F414)),IF($F$1:F413=F414,$N$1:N413,$O$1:O413)),1000))</f>
        <v/>
      </c>
      <c r="I414" s="12" t="str">
        <f t="array" ref="I414">IF(C414="","",IF(C414="Tournament",INDEX('Tournament Log'!$J:$J,E414),IF(C414="Guest",IF(INDEX('Guest Log'!$I:$I,Q414)="",1000,INDEX('Guest Log'!$I:$I,Q414)),IFERROR(LOOKUP(2,1/(($F$1:F413=G414)+($G$1:G413=G414)),IF($F$1:F413=G414,$N$1:N413,$O$1:O413)),1000))))</f>
        <v/>
      </c>
      <c r="J414" s="12" t="str">
        <f t="shared" si="31"/>
        <v/>
      </c>
      <c r="K414" s="12" t="str">
        <f>IF(C414="","",IF(C414="Match",IF(INDEX('Match Log'!$D:$D,D414)="Win",1,IF(INDEX('Match Log'!$D:$D,D414)="Draw",0.5,0)),IF(C414="Tournament",INDEX('Tournament Log'!$K:$K,E414),IF(INDEX('Guest Log'!$C:$C,Q414)="Win",1,IF(INDEX('Guest Log'!$C:$C,Q414)="Draw",0.5,0)))))</f>
        <v/>
      </c>
      <c r="L414" s="12" t="str">
        <f>IF(C414="","",IF(C414="Match",32,IF(C414="Tournament",MIN(32*INDEX('Tournament Log'!$D:$D,E414),96),32)))</f>
        <v/>
      </c>
      <c r="M414" s="12" t="str">
        <f t="shared" si="32"/>
        <v/>
      </c>
      <c r="N414" s="12" t="str">
        <f t="shared" si="33"/>
        <v/>
      </c>
      <c r="O414" s="12" t="str">
        <f t="shared" si="34"/>
        <v/>
      </c>
      <c r="P414" s="12" t="str">
        <f>IF(C414="Tournament",INDEX('Tournament Log'!$B:$B,E414),IF(C414="Guest","Guest: "&amp;INDEX('Guest Log'!$H:$H,Q414),""))</f>
        <v/>
      </c>
      <c r="Q414" t="str">
        <f>IFERROR(MATCH($A414,'Guest Log'!$L$4:$L$203,0)+3,"")</f>
        <v/>
      </c>
    </row>
    <row r="415" spans="1:17" ht="15" customHeight="1" x14ac:dyDescent="0.2">
      <c r="A415" s="12">
        <f>414</f>
        <v>414</v>
      </c>
      <c r="B415" s="12" t="str">
        <f>IF(C415="","",IF(C415="Match",INDEX('Match Log'!$A:$A,D415),IF(C415="Tournament",INDEX('Tournament Log'!$A:$A,E415),INDEX('Guest Log'!$A:$A,Q415))))</f>
        <v/>
      </c>
      <c r="C415" s="12" t="str">
        <f t="shared" si="30"/>
        <v/>
      </c>
      <c r="D415" s="31" t="str">
        <f>IFERROR(MATCH($A415,'Match Log'!$K$3:$K$501,0)+2,"")</f>
        <v/>
      </c>
      <c r="E415" s="31" t="str">
        <f>IFERROR(MATCH($A415,'Tournament Log'!$O$4:$O$203,0)+3,"")</f>
        <v/>
      </c>
      <c r="F415" s="12" t="str">
        <f>IF(C415="","",IF(C415="Match",INDEX('Match Log'!$B:$B,D415),IF(C415="Tournament",INDEX('Tournament Log'!$C:$C,E415),INDEX('Guest Log'!$B:$B,Q415))))</f>
        <v/>
      </c>
      <c r="G415" s="12" t="str">
        <f>IF(C415="","",IF(C415="Match",INDEX('Match Log'!$C:$C,D415),IF(C415="Tournament",INDEX('Tournament Log'!$B:$B,E415)&amp;" (Phantom)",INDEX('Guest Log'!$H:$H,Q415)&amp;" (Guest)")))</f>
        <v/>
      </c>
      <c r="H415" s="32" t="str">
        <f t="array" ref="H415">IF(C415="","",IFERROR(LOOKUP(2,1/(($F$1:F414=F415)+($G$1:G414=F415)),IF($F$1:F414=F415,$N$1:N414,$O$1:O414)),1000))</f>
        <v/>
      </c>
      <c r="I415" s="12" t="str">
        <f t="array" ref="I415">IF(C415="","",IF(C415="Tournament",INDEX('Tournament Log'!$J:$J,E415),IF(C415="Guest",IF(INDEX('Guest Log'!$I:$I,Q415)="",1000,INDEX('Guest Log'!$I:$I,Q415)),IFERROR(LOOKUP(2,1/(($F$1:F414=G415)+($G$1:G414=G415)),IF($F$1:F414=G415,$N$1:N414,$O$1:O414)),1000))))</f>
        <v/>
      </c>
      <c r="J415" s="12" t="str">
        <f t="shared" si="31"/>
        <v/>
      </c>
      <c r="K415" s="12" t="str">
        <f>IF(C415="","",IF(C415="Match",IF(INDEX('Match Log'!$D:$D,D415)="Win",1,IF(INDEX('Match Log'!$D:$D,D415)="Draw",0.5,0)),IF(C415="Tournament",INDEX('Tournament Log'!$K:$K,E415),IF(INDEX('Guest Log'!$C:$C,Q415)="Win",1,IF(INDEX('Guest Log'!$C:$C,Q415)="Draw",0.5,0)))))</f>
        <v/>
      </c>
      <c r="L415" s="12" t="str">
        <f>IF(C415="","",IF(C415="Match",32,IF(C415="Tournament",MIN(32*INDEX('Tournament Log'!$D:$D,E415),96),32)))</f>
        <v/>
      </c>
      <c r="M415" s="12" t="str">
        <f t="shared" si="32"/>
        <v/>
      </c>
      <c r="N415" s="12" t="str">
        <f t="shared" si="33"/>
        <v/>
      </c>
      <c r="O415" s="12" t="str">
        <f t="shared" si="34"/>
        <v/>
      </c>
      <c r="P415" s="12" t="str">
        <f>IF(C415="Tournament",INDEX('Tournament Log'!$B:$B,E415),IF(C415="Guest","Guest: "&amp;INDEX('Guest Log'!$H:$H,Q415),""))</f>
        <v/>
      </c>
      <c r="Q415" t="str">
        <f>IFERROR(MATCH($A415,'Guest Log'!$L$4:$L$203,0)+3,"")</f>
        <v/>
      </c>
    </row>
    <row r="416" spans="1:17" ht="15" customHeight="1" x14ac:dyDescent="0.2">
      <c r="A416" s="12">
        <f>415</f>
        <v>415</v>
      </c>
      <c r="B416" s="12" t="str">
        <f>IF(C416="","",IF(C416="Match",INDEX('Match Log'!$A:$A,D416),IF(C416="Tournament",INDEX('Tournament Log'!$A:$A,E416),INDEX('Guest Log'!$A:$A,Q416))))</f>
        <v/>
      </c>
      <c r="C416" s="12" t="str">
        <f t="shared" si="30"/>
        <v/>
      </c>
      <c r="D416" s="31" t="str">
        <f>IFERROR(MATCH($A416,'Match Log'!$K$3:$K$501,0)+2,"")</f>
        <v/>
      </c>
      <c r="E416" s="31" t="str">
        <f>IFERROR(MATCH($A416,'Tournament Log'!$O$4:$O$203,0)+3,"")</f>
        <v/>
      </c>
      <c r="F416" s="12" t="str">
        <f>IF(C416="","",IF(C416="Match",INDEX('Match Log'!$B:$B,D416),IF(C416="Tournament",INDEX('Tournament Log'!$C:$C,E416),INDEX('Guest Log'!$B:$B,Q416))))</f>
        <v/>
      </c>
      <c r="G416" s="12" t="str">
        <f>IF(C416="","",IF(C416="Match",INDEX('Match Log'!$C:$C,D416),IF(C416="Tournament",INDEX('Tournament Log'!$B:$B,E416)&amp;" (Phantom)",INDEX('Guest Log'!$H:$H,Q416)&amp;" (Guest)")))</f>
        <v/>
      </c>
      <c r="H416" s="32" t="str">
        <f t="array" ref="H416">IF(C416="","",IFERROR(LOOKUP(2,1/(($F$1:F415=F416)+($G$1:G415=F416)),IF($F$1:F415=F416,$N$1:N415,$O$1:O415)),1000))</f>
        <v/>
      </c>
      <c r="I416" s="12" t="str">
        <f t="array" ref="I416">IF(C416="","",IF(C416="Tournament",INDEX('Tournament Log'!$J:$J,E416),IF(C416="Guest",IF(INDEX('Guest Log'!$I:$I,Q416)="",1000,INDEX('Guest Log'!$I:$I,Q416)),IFERROR(LOOKUP(2,1/(($F$1:F415=G416)+($G$1:G415=G416)),IF($F$1:F415=G416,$N$1:N415,$O$1:O415)),1000))))</f>
        <v/>
      </c>
      <c r="J416" s="12" t="str">
        <f t="shared" si="31"/>
        <v/>
      </c>
      <c r="K416" s="12" t="str">
        <f>IF(C416="","",IF(C416="Match",IF(INDEX('Match Log'!$D:$D,D416)="Win",1,IF(INDEX('Match Log'!$D:$D,D416)="Draw",0.5,0)),IF(C416="Tournament",INDEX('Tournament Log'!$K:$K,E416),IF(INDEX('Guest Log'!$C:$C,Q416)="Win",1,IF(INDEX('Guest Log'!$C:$C,Q416)="Draw",0.5,0)))))</f>
        <v/>
      </c>
      <c r="L416" s="12" t="str">
        <f>IF(C416="","",IF(C416="Match",32,IF(C416="Tournament",MIN(32*INDEX('Tournament Log'!$D:$D,E416),96),32)))</f>
        <v/>
      </c>
      <c r="M416" s="12" t="str">
        <f t="shared" si="32"/>
        <v/>
      </c>
      <c r="N416" s="12" t="str">
        <f t="shared" si="33"/>
        <v/>
      </c>
      <c r="O416" s="12" t="str">
        <f t="shared" si="34"/>
        <v/>
      </c>
      <c r="P416" s="12" t="str">
        <f>IF(C416="Tournament",INDEX('Tournament Log'!$B:$B,E416),IF(C416="Guest","Guest: "&amp;INDEX('Guest Log'!$H:$H,Q416),""))</f>
        <v/>
      </c>
      <c r="Q416" t="str">
        <f>IFERROR(MATCH($A416,'Guest Log'!$L$4:$L$203,0)+3,"")</f>
        <v/>
      </c>
    </row>
    <row r="417" spans="1:17" ht="15" customHeight="1" x14ac:dyDescent="0.2">
      <c r="A417" s="12">
        <f>416</f>
        <v>416</v>
      </c>
      <c r="B417" s="12" t="str">
        <f>IF(C417="","",IF(C417="Match",INDEX('Match Log'!$A:$A,D417),IF(C417="Tournament",INDEX('Tournament Log'!$A:$A,E417),INDEX('Guest Log'!$A:$A,Q417))))</f>
        <v/>
      </c>
      <c r="C417" s="12" t="str">
        <f t="shared" si="30"/>
        <v/>
      </c>
      <c r="D417" s="31" t="str">
        <f>IFERROR(MATCH($A417,'Match Log'!$K$3:$K$501,0)+2,"")</f>
        <v/>
      </c>
      <c r="E417" s="31" t="str">
        <f>IFERROR(MATCH($A417,'Tournament Log'!$O$4:$O$203,0)+3,"")</f>
        <v/>
      </c>
      <c r="F417" s="12" t="str">
        <f>IF(C417="","",IF(C417="Match",INDEX('Match Log'!$B:$B,D417),IF(C417="Tournament",INDEX('Tournament Log'!$C:$C,E417),INDEX('Guest Log'!$B:$B,Q417))))</f>
        <v/>
      </c>
      <c r="G417" s="12" t="str">
        <f>IF(C417="","",IF(C417="Match",INDEX('Match Log'!$C:$C,D417),IF(C417="Tournament",INDEX('Tournament Log'!$B:$B,E417)&amp;" (Phantom)",INDEX('Guest Log'!$H:$H,Q417)&amp;" (Guest)")))</f>
        <v/>
      </c>
      <c r="H417" s="32" t="str">
        <f t="array" ref="H417">IF(C417="","",IFERROR(LOOKUP(2,1/(($F$1:F416=F417)+($G$1:G416=F417)),IF($F$1:F416=F417,$N$1:N416,$O$1:O416)),1000))</f>
        <v/>
      </c>
      <c r="I417" s="12" t="str">
        <f t="array" ref="I417">IF(C417="","",IF(C417="Tournament",INDEX('Tournament Log'!$J:$J,E417),IF(C417="Guest",IF(INDEX('Guest Log'!$I:$I,Q417)="",1000,INDEX('Guest Log'!$I:$I,Q417)),IFERROR(LOOKUP(2,1/(($F$1:F416=G417)+($G$1:G416=G417)),IF($F$1:F416=G417,$N$1:N416,$O$1:O416)),1000))))</f>
        <v/>
      </c>
      <c r="J417" s="12" t="str">
        <f t="shared" si="31"/>
        <v/>
      </c>
      <c r="K417" s="12" t="str">
        <f>IF(C417="","",IF(C417="Match",IF(INDEX('Match Log'!$D:$D,D417)="Win",1,IF(INDEX('Match Log'!$D:$D,D417)="Draw",0.5,0)),IF(C417="Tournament",INDEX('Tournament Log'!$K:$K,E417),IF(INDEX('Guest Log'!$C:$C,Q417)="Win",1,IF(INDEX('Guest Log'!$C:$C,Q417)="Draw",0.5,0)))))</f>
        <v/>
      </c>
      <c r="L417" s="12" t="str">
        <f>IF(C417="","",IF(C417="Match",32,IF(C417="Tournament",MIN(32*INDEX('Tournament Log'!$D:$D,E417),96),32)))</f>
        <v/>
      </c>
      <c r="M417" s="12" t="str">
        <f t="shared" si="32"/>
        <v/>
      </c>
      <c r="N417" s="12" t="str">
        <f t="shared" si="33"/>
        <v/>
      </c>
      <c r="O417" s="12" t="str">
        <f t="shared" si="34"/>
        <v/>
      </c>
      <c r="P417" s="12" t="str">
        <f>IF(C417="Tournament",INDEX('Tournament Log'!$B:$B,E417),IF(C417="Guest","Guest: "&amp;INDEX('Guest Log'!$H:$H,Q417),""))</f>
        <v/>
      </c>
      <c r="Q417" t="str">
        <f>IFERROR(MATCH($A417,'Guest Log'!$L$4:$L$203,0)+3,"")</f>
        <v/>
      </c>
    </row>
    <row r="418" spans="1:17" ht="15" customHeight="1" x14ac:dyDescent="0.2">
      <c r="A418" s="12">
        <f>417</f>
        <v>417</v>
      </c>
      <c r="B418" s="12" t="str">
        <f>IF(C418="","",IF(C418="Match",INDEX('Match Log'!$A:$A,D418),IF(C418="Tournament",INDEX('Tournament Log'!$A:$A,E418),INDEX('Guest Log'!$A:$A,Q418))))</f>
        <v/>
      </c>
      <c r="C418" s="12" t="str">
        <f t="shared" si="30"/>
        <v/>
      </c>
      <c r="D418" s="31" t="str">
        <f>IFERROR(MATCH($A418,'Match Log'!$K$3:$K$501,0)+2,"")</f>
        <v/>
      </c>
      <c r="E418" s="31" t="str">
        <f>IFERROR(MATCH($A418,'Tournament Log'!$O$4:$O$203,0)+3,"")</f>
        <v/>
      </c>
      <c r="F418" s="12" t="str">
        <f>IF(C418="","",IF(C418="Match",INDEX('Match Log'!$B:$B,D418),IF(C418="Tournament",INDEX('Tournament Log'!$C:$C,E418),INDEX('Guest Log'!$B:$B,Q418))))</f>
        <v/>
      </c>
      <c r="G418" s="12" t="str">
        <f>IF(C418="","",IF(C418="Match",INDEX('Match Log'!$C:$C,D418),IF(C418="Tournament",INDEX('Tournament Log'!$B:$B,E418)&amp;" (Phantom)",INDEX('Guest Log'!$H:$H,Q418)&amp;" (Guest)")))</f>
        <v/>
      </c>
      <c r="H418" s="32" t="str">
        <f t="array" ref="H418">IF(C418="","",IFERROR(LOOKUP(2,1/(($F$1:F417=F418)+($G$1:G417=F418)),IF($F$1:F417=F418,$N$1:N417,$O$1:O417)),1000))</f>
        <v/>
      </c>
      <c r="I418" s="12" t="str">
        <f t="array" ref="I418">IF(C418="","",IF(C418="Tournament",INDEX('Tournament Log'!$J:$J,E418),IF(C418="Guest",IF(INDEX('Guest Log'!$I:$I,Q418)="",1000,INDEX('Guest Log'!$I:$I,Q418)),IFERROR(LOOKUP(2,1/(($F$1:F417=G418)+($G$1:G417=G418)),IF($F$1:F417=G418,$N$1:N417,$O$1:O417)),1000))))</f>
        <v/>
      </c>
      <c r="J418" s="12" t="str">
        <f t="shared" si="31"/>
        <v/>
      </c>
      <c r="K418" s="12" t="str">
        <f>IF(C418="","",IF(C418="Match",IF(INDEX('Match Log'!$D:$D,D418)="Win",1,IF(INDEX('Match Log'!$D:$D,D418)="Draw",0.5,0)),IF(C418="Tournament",INDEX('Tournament Log'!$K:$K,E418),IF(INDEX('Guest Log'!$C:$C,Q418)="Win",1,IF(INDEX('Guest Log'!$C:$C,Q418)="Draw",0.5,0)))))</f>
        <v/>
      </c>
      <c r="L418" s="12" t="str">
        <f>IF(C418="","",IF(C418="Match",32,IF(C418="Tournament",MIN(32*INDEX('Tournament Log'!$D:$D,E418),96),32)))</f>
        <v/>
      </c>
      <c r="M418" s="12" t="str">
        <f t="shared" si="32"/>
        <v/>
      </c>
      <c r="N418" s="12" t="str">
        <f t="shared" si="33"/>
        <v/>
      </c>
      <c r="O418" s="12" t="str">
        <f t="shared" si="34"/>
        <v/>
      </c>
      <c r="P418" s="12" t="str">
        <f>IF(C418="Tournament",INDEX('Tournament Log'!$B:$B,E418),IF(C418="Guest","Guest: "&amp;INDEX('Guest Log'!$H:$H,Q418),""))</f>
        <v/>
      </c>
      <c r="Q418" t="str">
        <f>IFERROR(MATCH($A418,'Guest Log'!$L$4:$L$203,0)+3,"")</f>
        <v/>
      </c>
    </row>
    <row r="419" spans="1:17" ht="15" customHeight="1" x14ac:dyDescent="0.2">
      <c r="A419" s="12">
        <f>418</f>
        <v>418</v>
      </c>
      <c r="B419" s="12" t="str">
        <f>IF(C419="","",IF(C419="Match",INDEX('Match Log'!$A:$A,D419),IF(C419="Tournament",INDEX('Tournament Log'!$A:$A,E419),INDEX('Guest Log'!$A:$A,Q419))))</f>
        <v/>
      </c>
      <c r="C419" s="12" t="str">
        <f t="shared" si="30"/>
        <v/>
      </c>
      <c r="D419" s="31" t="str">
        <f>IFERROR(MATCH($A419,'Match Log'!$K$3:$K$501,0)+2,"")</f>
        <v/>
      </c>
      <c r="E419" s="31" t="str">
        <f>IFERROR(MATCH($A419,'Tournament Log'!$O$4:$O$203,0)+3,"")</f>
        <v/>
      </c>
      <c r="F419" s="12" t="str">
        <f>IF(C419="","",IF(C419="Match",INDEX('Match Log'!$B:$B,D419),IF(C419="Tournament",INDEX('Tournament Log'!$C:$C,E419),INDEX('Guest Log'!$B:$B,Q419))))</f>
        <v/>
      </c>
      <c r="G419" s="12" t="str">
        <f>IF(C419="","",IF(C419="Match",INDEX('Match Log'!$C:$C,D419),IF(C419="Tournament",INDEX('Tournament Log'!$B:$B,E419)&amp;" (Phantom)",INDEX('Guest Log'!$H:$H,Q419)&amp;" (Guest)")))</f>
        <v/>
      </c>
      <c r="H419" s="32" t="str">
        <f t="array" ref="H419">IF(C419="","",IFERROR(LOOKUP(2,1/(($F$1:F418=F419)+($G$1:G418=F419)),IF($F$1:F418=F419,$N$1:N418,$O$1:O418)),1000))</f>
        <v/>
      </c>
      <c r="I419" s="12" t="str">
        <f t="array" ref="I419">IF(C419="","",IF(C419="Tournament",INDEX('Tournament Log'!$J:$J,E419),IF(C419="Guest",IF(INDEX('Guest Log'!$I:$I,Q419)="",1000,INDEX('Guest Log'!$I:$I,Q419)),IFERROR(LOOKUP(2,1/(($F$1:F418=G419)+($G$1:G418=G419)),IF($F$1:F418=G419,$N$1:N418,$O$1:O418)),1000))))</f>
        <v/>
      </c>
      <c r="J419" s="12" t="str">
        <f t="shared" si="31"/>
        <v/>
      </c>
      <c r="K419" s="12" t="str">
        <f>IF(C419="","",IF(C419="Match",IF(INDEX('Match Log'!$D:$D,D419)="Win",1,IF(INDEX('Match Log'!$D:$D,D419)="Draw",0.5,0)),IF(C419="Tournament",INDEX('Tournament Log'!$K:$K,E419),IF(INDEX('Guest Log'!$C:$C,Q419)="Win",1,IF(INDEX('Guest Log'!$C:$C,Q419)="Draw",0.5,0)))))</f>
        <v/>
      </c>
      <c r="L419" s="12" t="str">
        <f>IF(C419="","",IF(C419="Match",32,IF(C419="Tournament",MIN(32*INDEX('Tournament Log'!$D:$D,E419),96),32)))</f>
        <v/>
      </c>
      <c r="M419" s="12" t="str">
        <f t="shared" si="32"/>
        <v/>
      </c>
      <c r="N419" s="12" t="str">
        <f t="shared" si="33"/>
        <v/>
      </c>
      <c r="O419" s="12" t="str">
        <f t="shared" si="34"/>
        <v/>
      </c>
      <c r="P419" s="12" t="str">
        <f>IF(C419="Tournament",INDEX('Tournament Log'!$B:$B,E419),IF(C419="Guest","Guest: "&amp;INDEX('Guest Log'!$H:$H,Q419),""))</f>
        <v/>
      </c>
      <c r="Q419" t="str">
        <f>IFERROR(MATCH($A419,'Guest Log'!$L$4:$L$203,0)+3,"")</f>
        <v/>
      </c>
    </row>
    <row r="420" spans="1:17" ht="15" customHeight="1" x14ac:dyDescent="0.2">
      <c r="A420" s="12">
        <f>419</f>
        <v>419</v>
      </c>
      <c r="B420" s="12" t="str">
        <f>IF(C420="","",IF(C420="Match",INDEX('Match Log'!$A:$A,D420),IF(C420="Tournament",INDEX('Tournament Log'!$A:$A,E420),INDEX('Guest Log'!$A:$A,Q420))))</f>
        <v/>
      </c>
      <c r="C420" s="12" t="str">
        <f t="shared" si="30"/>
        <v/>
      </c>
      <c r="D420" s="31" t="str">
        <f>IFERROR(MATCH($A420,'Match Log'!$K$3:$K$501,0)+2,"")</f>
        <v/>
      </c>
      <c r="E420" s="31" t="str">
        <f>IFERROR(MATCH($A420,'Tournament Log'!$O$4:$O$203,0)+3,"")</f>
        <v/>
      </c>
      <c r="F420" s="12" t="str">
        <f>IF(C420="","",IF(C420="Match",INDEX('Match Log'!$B:$B,D420),IF(C420="Tournament",INDEX('Tournament Log'!$C:$C,E420),INDEX('Guest Log'!$B:$B,Q420))))</f>
        <v/>
      </c>
      <c r="G420" s="12" t="str">
        <f>IF(C420="","",IF(C420="Match",INDEX('Match Log'!$C:$C,D420),IF(C420="Tournament",INDEX('Tournament Log'!$B:$B,E420)&amp;" (Phantom)",INDEX('Guest Log'!$H:$H,Q420)&amp;" (Guest)")))</f>
        <v/>
      </c>
      <c r="H420" s="32" t="str">
        <f t="array" ref="H420">IF(C420="","",IFERROR(LOOKUP(2,1/(($F$1:F419=F420)+($G$1:G419=F420)),IF($F$1:F419=F420,$N$1:N419,$O$1:O419)),1000))</f>
        <v/>
      </c>
      <c r="I420" s="12" t="str">
        <f t="array" ref="I420">IF(C420="","",IF(C420="Tournament",INDEX('Tournament Log'!$J:$J,E420),IF(C420="Guest",IF(INDEX('Guest Log'!$I:$I,Q420)="",1000,INDEX('Guest Log'!$I:$I,Q420)),IFERROR(LOOKUP(2,1/(($F$1:F419=G420)+($G$1:G419=G420)),IF($F$1:F419=G420,$N$1:N419,$O$1:O419)),1000))))</f>
        <v/>
      </c>
      <c r="J420" s="12" t="str">
        <f t="shared" si="31"/>
        <v/>
      </c>
      <c r="K420" s="12" t="str">
        <f>IF(C420="","",IF(C420="Match",IF(INDEX('Match Log'!$D:$D,D420)="Win",1,IF(INDEX('Match Log'!$D:$D,D420)="Draw",0.5,0)),IF(C420="Tournament",INDEX('Tournament Log'!$K:$K,E420),IF(INDEX('Guest Log'!$C:$C,Q420)="Win",1,IF(INDEX('Guest Log'!$C:$C,Q420)="Draw",0.5,0)))))</f>
        <v/>
      </c>
      <c r="L420" s="12" t="str">
        <f>IF(C420="","",IF(C420="Match",32,IF(C420="Tournament",MIN(32*INDEX('Tournament Log'!$D:$D,E420),96),32)))</f>
        <v/>
      </c>
      <c r="M420" s="12" t="str">
        <f t="shared" si="32"/>
        <v/>
      </c>
      <c r="N420" s="12" t="str">
        <f t="shared" si="33"/>
        <v/>
      </c>
      <c r="O420" s="12" t="str">
        <f t="shared" si="34"/>
        <v/>
      </c>
      <c r="P420" s="12" t="str">
        <f>IF(C420="Tournament",INDEX('Tournament Log'!$B:$B,E420),IF(C420="Guest","Guest: "&amp;INDEX('Guest Log'!$H:$H,Q420),""))</f>
        <v/>
      </c>
      <c r="Q420" t="str">
        <f>IFERROR(MATCH($A420,'Guest Log'!$L$4:$L$203,0)+3,"")</f>
        <v/>
      </c>
    </row>
    <row r="421" spans="1:17" ht="15" customHeight="1" x14ac:dyDescent="0.2">
      <c r="A421" s="12">
        <f>420</f>
        <v>420</v>
      </c>
      <c r="B421" s="12" t="str">
        <f>IF(C421="","",IF(C421="Match",INDEX('Match Log'!$A:$A,D421),IF(C421="Tournament",INDEX('Tournament Log'!$A:$A,E421),INDEX('Guest Log'!$A:$A,Q421))))</f>
        <v/>
      </c>
      <c r="C421" s="12" t="str">
        <f t="shared" si="30"/>
        <v/>
      </c>
      <c r="D421" s="31" t="str">
        <f>IFERROR(MATCH($A421,'Match Log'!$K$3:$K$501,0)+2,"")</f>
        <v/>
      </c>
      <c r="E421" s="31" t="str">
        <f>IFERROR(MATCH($A421,'Tournament Log'!$O$4:$O$203,0)+3,"")</f>
        <v/>
      </c>
      <c r="F421" s="12" t="str">
        <f>IF(C421="","",IF(C421="Match",INDEX('Match Log'!$B:$B,D421),IF(C421="Tournament",INDEX('Tournament Log'!$C:$C,E421),INDEX('Guest Log'!$B:$B,Q421))))</f>
        <v/>
      </c>
      <c r="G421" s="12" t="str">
        <f>IF(C421="","",IF(C421="Match",INDEX('Match Log'!$C:$C,D421),IF(C421="Tournament",INDEX('Tournament Log'!$B:$B,E421)&amp;" (Phantom)",INDEX('Guest Log'!$H:$H,Q421)&amp;" (Guest)")))</f>
        <v/>
      </c>
      <c r="H421" s="32" t="str">
        <f t="array" ref="H421">IF(C421="","",IFERROR(LOOKUP(2,1/(($F$1:F420=F421)+($G$1:G420=F421)),IF($F$1:F420=F421,$N$1:N420,$O$1:O420)),1000))</f>
        <v/>
      </c>
      <c r="I421" s="12" t="str">
        <f t="array" ref="I421">IF(C421="","",IF(C421="Tournament",INDEX('Tournament Log'!$J:$J,E421),IF(C421="Guest",IF(INDEX('Guest Log'!$I:$I,Q421)="",1000,INDEX('Guest Log'!$I:$I,Q421)),IFERROR(LOOKUP(2,1/(($F$1:F420=G421)+($G$1:G420=G421)),IF($F$1:F420=G421,$N$1:N420,$O$1:O420)),1000))))</f>
        <v/>
      </c>
      <c r="J421" s="12" t="str">
        <f t="shared" si="31"/>
        <v/>
      </c>
      <c r="K421" s="12" t="str">
        <f>IF(C421="","",IF(C421="Match",IF(INDEX('Match Log'!$D:$D,D421)="Win",1,IF(INDEX('Match Log'!$D:$D,D421)="Draw",0.5,0)),IF(C421="Tournament",INDEX('Tournament Log'!$K:$K,E421),IF(INDEX('Guest Log'!$C:$C,Q421)="Win",1,IF(INDEX('Guest Log'!$C:$C,Q421)="Draw",0.5,0)))))</f>
        <v/>
      </c>
      <c r="L421" s="12" t="str">
        <f>IF(C421="","",IF(C421="Match",32,IF(C421="Tournament",MIN(32*INDEX('Tournament Log'!$D:$D,E421),96),32)))</f>
        <v/>
      </c>
      <c r="M421" s="12" t="str">
        <f t="shared" si="32"/>
        <v/>
      </c>
      <c r="N421" s="12" t="str">
        <f t="shared" si="33"/>
        <v/>
      </c>
      <c r="O421" s="12" t="str">
        <f t="shared" si="34"/>
        <v/>
      </c>
      <c r="P421" s="12" t="str">
        <f>IF(C421="Tournament",INDEX('Tournament Log'!$B:$B,E421),IF(C421="Guest","Guest: "&amp;INDEX('Guest Log'!$H:$H,Q421),""))</f>
        <v/>
      </c>
      <c r="Q421" t="str">
        <f>IFERROR(MATCH($A421,'Guest Log'!$L$4:$L$203,0)+3,"")</f>
        <v/>
      </c>
    </row>
    <row r="422" spans="1:17" ht="15" customHeight="1" x14ac:dyDescent="0.2">
      <c r="A422" s="12">
        <f>421</f>
        <v>421</v>
      </c>
      <c r="B422" s="12" t="str">
        <f>IF(C422="","",IF(C422="Match",INDEX('Match Log'!$A:$A,D422),IF(C422="Tournament",INDEX('Tournament Log'!$A:$A,E422),INDEX('Guest Log'!$A:$A,Q422))))</f>
        <v/>
      </c>
      <c r="C422" s="12" t="str">
        <f t="shared" si="30"/>
        <v/>
      </c>
      <c r="D422" s="31" t="str">
        <f>IFERROR(MATCH($A422,'Match Log'!$K$3:$K$501,0)+2,"")</f>
        <v/>
      </c>
      <c r="E422" s="31" t="str">
        <f>IFERROR(MATCH($A422,'Tournament Log'!$O$4:$O$203,0)+3,"")</f>
        <v/>
      </c>
      <c r="F422" s="12" t="str">
        <f>IF(C422="","",IF(C422="Match",INDEX('Match Log'!$B:$B,D422),IF(C422="Tournament",INDEX('Tournament Log'!$C:$C,E422),INDEX('Guest Log'!$B:$B,Q422))))</f>
        <v/>
      </c>
      <c r="G422" s="12" t="str">
        <f>IF(C422="","",IF(C422="Match",INDEX('Match Log'!$C:$C,D422),IF(C422="Tournament",INDEX('Tournament Log'!$B:$B,E422)&amp;" (Phantom)",INDEX('Guest Log'!$H:$H,Q422)&amp;" (Guest)")))</f>
        <v/>
      </c>
      <c r="H422" s="32" t="str">
        <f t="array" ref="H422">IF(C422="","",IFERROR(LOOKUP(2,1/(($F$1:F421=F422)+($G$1:G421=F422)),IF($F$1:F421=F422,$N$1:N421,$O$1:O421)),1000))</f>
        <v/>
      </c>
      <c r="I422" s="12" t="str">
        <f t="array" ref="I422">IF(C422="","",IF(C422="Tournament",INDEX('Tournament Log'!$J:$J,E422),IF(C422="Guest",IF(INDEX('Guest Log'!$I:$I,Q422)="",1000,INDEX('Guest Log'!$I:$I,Q422)),IFERROR(LOOKUP(2,1/(($F$1:F421=G422)+($G$1:G421=G422)),IF($F$1:F421=G422,$N$1:N421,$O$1:O421)),1000))))</f>
        <v/>
      </c>
      <c r="J422" s="12" t="str">
        <f t="shared" si="31"/>
        <v/>
      </c>
      <c r="K422" s="12" t="str">
        <f>IF(C422="","",IF(C422="Match",IF(INDEX('Match Log'!$D:$D,D422)="Win",1,IF(INDEX('Match Log'!$D:$D,D422)="Draw",0.5,0)),IF(C422="Tournament",INDEX('Tournament Log'!$K:$K,E422),IF(INDEX('Guest Log'!$C:$C,Q422)="Win",1,IF(INDEX('Guest Log'!$C:$C,Q422)="Draw",0.5,0)))))</f>
        <v/>
      </c>
      <c r="L422" s="12" t="str">
        <f>IF(C422="","",IF(C422="Match",32,IF(C422="Tournament",MIN(32*INDEX('Tournament Log'!$D:$D,E422),96),32)))</f>
        <v/>
      </c>
      <c r="M422" s="12" t="str">
        <f t="shared" si="32"/>
        <v/>
      </c>
      <c r="N422" s="12" t="str">
        <f t="shared" si="33"/>
        <v/>
      </c>
      <c r="O422" s="12" t="str">
        <f t="shared" si="34"/>
        <v/>
      </c>
      <c r="P422" s="12" t="str">
        <f>IF(C422="Tournament",INDEX('Tournament Log'!$B:$B,E422),IF(C422="Guest","Guest: "&amp;INDEX('Guest Log'!$H:$H,Q422),""))</f>
        <v/>
      </c>
      <c r="Q422" t="str">
        <f>IFERROR(MATCH($A422,'Guest Log'!$L$4:$L$203,0)+3,"")</f>
        <v/>
      </c>
    </row>
    <row r="423" spans="1:17" ht="15" customHeight="1" x14ac:dyDescent="0.2">
      <c r="A423" s="12">
        <f>422</f>
        <v>422</v>
      </c>
      <c r="B423" s="12" t="str">
        <f>IF(C423="","",IF(C423="Match",INDEX('Match Log'!$A:$A,D423),IF(C423="Tournament",INDEX('Tournament Log'!$A:$A,E423),INDEX('Guest Log'!$A:$A,Q423))))</f>
        <v/>
      </c>
      <c r="C423" s="12" t="str">
        <f t="shared" si="30"/>
        <v/>
      </c>
      <c r="D423" s="31" t="str">
        <f>IFERROR(MATCH($A423,'Match Log'!$K$3:$K$501,0)+2,"")</f>
        <v/>
      </c>
      <c r="E423" s="31" t="str">
        <f>IFERROR(MATCH($A423,'Tournament Log'!$O$4:$O$203,0)+3,"")</f>
        <v/>
      </c>
      <c r="F423" s="12" t="str">
        <f>IF(C423="","",IF(C423="Match",INDEX('Match Log'!$B:$B,D423),IF(C423="Tournament",INDEX('Tournament Log'!$C:$C,E423),INDEX('Guest Log'!$B:$B,Q423))))</f>
        <v/>
      </c>
      <c r="G423" s="12" t="str">
        <f>IF(C423="","",IF(C423="Match",INDEX('Match Log'!$C:$C,D423),IF(C423="Tournament",INDEX('Tournament Log'!$B:$B,E423)&amp;" (Phantom)",INDEX('Guest Log'!$H:$H,Q423)&amp;" (Guest)")))</f>
        <v/>
      </c>
      <c r="H423" s="32" t="str">
        <f t="array" ref="H423">IF(C423="","",IFERROR(LOOKUP(2,1/(($F$1:F422=F423)+($G$1:G422=F423)),IF($F$1:F422=F423,$N$1:N422,$O$1:O422)),1000))</f>
        <v/>
      </c>
      <c r="I423" s="12" t="str">
        <f t="array" ref="I423">IF(C423="","",IF(C423="Tournament",INDEX('Tournament Log'!$J:$J,E423),IF(C423="Guest",IF(INDEX('Guest Log'!$I:$I,Q423)="",1000,INDEX('Guest Log'!$I:$I,Q423)),IFERROR(LOOKUP(2,1/(($F$1:F422=G423)+($G$1:G422=G423)),IF($F$1:F422=G423,$N$1:N422,$O$1:O422)),1000))))</f>
        <v/>
      </c>
      <c r="J423" s="12" t="str">
        <f t="shared" si="31"/>
        <v/>
      </c>
      <c r="K423" s="12" t="str">
        <f>IF(C423="","",IF(C423="Match",IF(INDEX('Match Log'!$D:$D,D423)="Win",1,IF(INDEX('Match Log'!$D:$D,D423)="Draw",0.5,0)),IF(C423="Tournament",INDEX('Tournament Log'!$K:$K,E423),IF(INDEX('Guest Log'!$C:$C,Q423)="Win",1,IF(INDEX('Guest Log'!$C:$C,Q423)="Draw",0.5,0)))))</f>
        <v/>
      </c>
      <c r="L423" s="12" t="str">
        <f>IF(C423="","",IF(C423="Match",32,IF(C423="Tournament",MIN(32*INDEX('Tournament Log'!$D:$D,E423),96),32)))</f>
        <v/>
      </c>
      <c r="M423" s="12" t="str">
        <f t="shared" si="32"/>
        <v/>
      </c>
      <c r="N423" s="12" t="str">
        <f t="shared" si="33"/>
        <v/>
      </c>
      <c r="O423" s="12" t="str">
        <f t="shared" si="34"/>
        <v/>
      </c>
      <c r="P423" s="12" t="str">
        <f>IF(C423="Tournament",INDEX('Tournament Log'!$B:$B,E423),IF(C423="Guest","Guest: "&amp;INDEX('Guest Log'!$H:$H,Q423),""))</f>
        <v/>
      </c>
      <c r="Q423" t="str">
        <f>IFERROR(MATCH($A423,'Guest Log'!$L$4:$L$203,0)+3,"")</f>
        <v/>
      </c>
    </row>
    <row r="424" spans="1:17" ht="15" customHeight="1" x14ac:dyDescent="0.2">
      <c r="A424" s="12">
        <f>423</f>
        <v>423</v>
      </c>
      <c r="B424" s="12" t="str">
        <f>IF(C424="","",IF(C424="Match",INDEX('Match Log'!$A:$A,D424),IF(C424="Tournament",INDEX('Tournament Log'!$A:$A,E424),INDEX('Guest Log'!$A:$A,Q424))))</f>
        <v/>
      </c>
      <c r="C424" s="12" t="str">
        <f t="shared" si="30"/>
        <v/>
      </c>
      <c r="D424" s="31" t="str">
        <f>IFERROR(MATCH($A424,'Match Log'!$K$3:$K$501,0)+2,"")</f>
        <v/>
      </c>
      <c r="E424" s="31" t="str">
        <f>IFERROR(MATCH($A424,'Tournament Log'!$O$4:$O$203,0)+3,"")</f>
        <v/>
      </c>
      <c r="F424" s="12" t="str">
        <f>IF(C424="","",IF(C424="Match",INDEX('Match Log'!$B:$B,D424),IF(C424="Tournament",INDEX('Tournament Log'!$C:$C,E424),INDEX('Guest Log'!$B:$B,Q424))))</f>
        <v/>
      </c>
      <c r="G424" s="12" t="str">
        <f>IF(C424="","",IF(C424="Match",INDEX('Match Log'!$C:$C,D424),IF(C424="Tournament",INDEX('Tournament Log'!$B:$B,E424)&amp;" (Phantom)",INDEX('Guest Log'!$H:$H,Q424)&amp;" (Guest)")))</f>
        <v/>
      </c>
      <c r="H424" s="32" t="str">
        <f t="array" ref="H424">IF(C424="","",IFERROR(LOOKUP(2,1/(($F$1:F423=F424)+($G$1:G423=F424)),IF($F$1:F423=F424,$N$1:N423,$O$1:O423)),1000))</f>
        <v/>
      </c>
      <c r="I424" s="12" t="str">
        <f t="array" ref="I424">IF(C424="","",IF(C424="Tournament",INDEX('Tournament Log'!$J:$J,E424),IF(C424="Guest",IF(INDEX('Guest Log'!$I:$I,Q424)="",1000,INDEX('Guest Log'!$I:$I,Q424)),IFERROR(LOOKUP(2,1/(($F$1:F423=G424)+($G$1:G423=G424)),IF($F$1:F423=G424,$N$1:N423,$O$1:O423)),1000))))</f>
        <v/>
      </c>
      <c r="J424" s="12" t="str">
        <f t="shared" si="31"/>
        <v/>
      </c>
      <c r="K424" s="12" t="str">
        <f>IF(C424="","",IF(C424="Match",IF(INDEX('Match Log'!$D:$D,D424)="Win",1,IF(INDEX('Match Log'!$D:$D,D424)="Draw",0.5,0)),IF(C424="Tournament",INDEX('Tournament Log'!$K:$K,E424),IF(INDEX('Guest Log'!$C:$C,Q424)="Win",1,IF(INDEX('Guest Log'!$C:$C,Q424)="Draw",0.5,0)))))</f>
        <v/>
      </c>
      <c r="L424" s="12" t="str">
        <f>IF(C424="","",IF(C424="Match",32,IF(C424="Tournament",MIN(32*INDEX('Tournament Log'!$D:$D,E424),96),32)))</f>
        <v/>
      </c>
      <c r="M424" s="12" t="str">
        <f t="shared" si="32"/>
        <v/>
      </c>
      <c r="N424" s="12" t="str">
        <f t="shared" si="33"/>
        <v/>
      </c>
      <c r="O424" s="12" t="str">
        <f t="shared" si="34"/>
        <v/>
      </c>
      <c r="P424" s="12" t="str">
        <f>IF(C424="Tournament",INDEX('Tournament Log'!$B:$B,E424),IF(C424="Guest","Guest: "&amp;INDEX('Guest Log'!$H:$H,Q424),""))</f>
        <v/>
      </c>
      <c r="Q424" t="str">
        <f>IFERROR(MATCH($A424,'Guest Log'!$L$4:$L$203,0)+3,"")</f>
        <v/>
      </c>
    </row>
    <row r="425" spans="1:17" ht="15" customHeight="1" x14ac:dyDescent="0.2">
      <c r="A425" s="12">
        <f>424</f>
        <v>424</v>
      </c>
      <c r="B425" s="12" t="str">
        <f>IF(C425="","",IF(C425="Match",INDEX('Match Log'!$A:$A,D425),IF(C425="Tournament",INDEX('Tournament Log'!$A:$A,E425),INDEX('Guest Log'!$A:$A,Q425))))</f>
        <v/>
      </c>
      <c r="C425" s="12" t="str">
        <f t="shared" si="30"/>
        <v/>
      </c>
      <c r="D425" s="31" t="str">
        <f>IFERROR(MATCH($A425,'Match Log'!$K$3:$K$501,0)+2,"")</f>
        <v/>
      </c>
      <c r="E425" s="31" t="str">
        <f>IFERROR(MATCH($A425,'Tournament Log'!$O$4:$O$203,0)+3,"")</f>
        <v/>
      </c>
      <c r="F425" s="12" t="str">
        <f>IF(C425="","",IF(C425="Match",INDEX('Match Log'!$B:$B,D425),IF(C425="Tournament",INDEX('Tournament Log'!$C:$C,E425),INDEX('Guest Log'!$B:$B,Q425))))</f>
        <v/>
      </c>
      <c r="G425" s="12" t="str">
        <f>IF(C425="","",IF(C425="Match",INDEX('Match Log'!$C:$C,D425),IF(C425="Tournament",INDEX('Tournament Log'!$B:$B,E425)&amp;" (Phantom)",INDEX('Guest Log'!$H:$H,Q425)&amp;" (Guest)")))</f>
        <v/>
      </c>
      <c r="H425" s="32" t="str">
        <f t="array" ref="H425">IF(C425="","",IFERROR(LOOKUP(2,1/(($F$1:F424=F425)+($G$1:G424=F425)),IF($F$1:F424=F425,$N$1:N424,$O$1:O424)),1000))</f>
        <v/>
      </c>
      <c r="I425" s="12" t="str">
        <f t="array" ref="I425">IF(C425="","",IF(C425="Tournament",INDEX('Tournament Log'!$J:$J,E425),IF(C425="Guest",IF(INDEX('Guest Log'!$I:$I,Q425)="",1000,INDEX('Guest Log'!$I:$I,Q425)),IFERROR(LOOKUP(2,1/(($F$1:F424=G425)+($G$1:G424=G425)),IF($F$1:F424=G425,$N$1:N424,$O$1:O424)),1000))))</f>
        <v/>
      </c>
      <c r="J425" s="12" t="str">
        <f t="shared" si="31"/>
        <v/>
      </c>
      <c r="K425" s="12" t="str">
        <f>IF(C425="","",IF(C425="Match",IF(INDEX('Match Log'!$D:$D,D425)="Win",1,IF(INDEX('Match Log'!$D:$D,D425)="Draw",0.5,0)),IF(C425="Tournament",INDEX('Tournament Log'!$K:$K,E425),IF(INDEX('Guest Log'!$C:$C,Q425)="Win",1,IF(INDEX('Guest Log'!$C:$C,Q425)="Draw",0.5,0)))))</f>
        <v/>
      </c>
      <c r="L425" s="12" t="str">
        <f>IF(C425="","",IF(C425="Match",32,IF(C425="Tournament",MIN(32*INDEX('Tournament Log'!$D:$D,E425),96),32)))</f>
        <v/>
      </c>
      <c r="M425" s="12" t="str">
        <f t="shared" si="32"/>
        <v/>
      </c>
      <c r="N425" s="12" t="str">
        <f t="shared" si="33"/>
        <v/>
      </c>
      <c r="O425" s="12" t="str">
        <f t="shared" si="34"/>
        <v/>
      </c>
      <c r="P425" s="12" t="str">
        <f>IF(C425="Tournament",INDEX('Tournament Log'!$B:$B,E425),IF(C425="Guest","Guest: "&amp;INDEX('Guest Log'!$H:$H,Q425),""))</f>
        <v/>
      </c>
      <c r="Q425" t="str">
        <f>IFERROR(MATCH($A425,'Guest Log'!$L$4:$L$203,0)+3,"")</f>
        <v/>
      </c>
    </row>
    <row r="426" spans="1:17" ht="15" customHeight="1" x14ac:dyDescent="0.2">
      <c r="A426" s="12">
        <f>425</f>
        <v>425</v>
      </c>
      <c r="B426" s="12" t="str">
        <f>IF(C426="","",IF(C426="Match",INDEX('Match Log'!$A:$A,D426),IF(C426="Tournament",INDEX('Tournament Log'!$A:$A,E426),INDEX('Guest Log'!$A:$A,Q426))))</f>
        <v/>
      </c>
      <c r="C426" s="12" t="str">
        <f t="shared" si="30"/>
        <v/>
      </c>
      <c r="D426" s="31" t="str">
        <f>IFERROR(MATCH($A426,'Match Log'!$K$3:$K$501,0)+2,"")</f>
        <v/>
      </c>
      <c r="E426" s="31" t="str">
        <f>IFERROR(MATCH($A426,'Tournament Log'!$O$4:$O$203,0)+3,"")</f>
        <v/>
      </c>
      <c r="F426" s="12" t="str">
        <f>IF(C426="","",IF(C426="Match",INDEX('Match Log'!$B:$B,D426),IF(C426="Tournament",INDEX('Tournament Log'!$C:$C,E426),INDEX('Guest Log'!$B:$B,Q426))))</f>
        <v/>
      </c>
      <c r="G426" s="12" t="str">
        <f>IF(C426="","",IF(C426="Match",INDEX('Match Log'!$C:$C,D426),IF(C426="Tournament",INDEX('Tournament Log'!$B:$B,E426)&amp;" (Phantom)",INDEX('Guest Log'!$H:$H,Q426)&amp;" (Guest)")))</f>
        <v/>
      </c>
      <c r="H426" s="32" t="str">
        <f t="array" ref="H426">IF(C426="","",IFERROR(LOOKUP(2,1/(($F$1:F425=F426)+($G$1:G425=F426)),IF($F$1:F425=F426,$N$1:N425,$O$1:O425)),1000))</f>
        <v/>
      </c>
      <c r="I426" s="12" t="str">
        <f t="array" ref="I426">IF(C426="","",IF(C426="Tournament",INDEX('Tournament Log'!$J:$J,E426),IF(C426="Guest",IF(INDEX('Guest Log'!$I:$I,Q426)="",1000,INDEX('Guest Log'!$I:$I,Q426)),IFERROR(LOOKUP(2,1/(($F$1:F425=G426)+($G$1:G425=G426)),IF($F$1:F425=G426,$N$1:N425,$O$1:O425)),1000))))</f>
        <v/>
      </c>
      <c r="J426" s="12" t="str">
        <f t="shared" si="31"/>
        <v/>
      </c>
      <c r="K426" s="12" t="str">
        <f>IF(C426="","",IF(C426="Match",IF(INDEX('Match Log'!$D:$D,D426)="Win",1,IF(INDEX('Match Log'!$D:$D,D426)="Draw",0.5,0)),IF(C426="Tournament",INDEX('Tournament Log'!$K:$K,E426),IF(INDEX('Guest Log'!$C:$C,Q426)="Win",1,IF(INDEX('Guest Log'!$C:$C,Q426)="Draw",0.5,0)))))</f>
        <v/>
      </c>
      <c r="L426" s="12" t="str">
        <f>IF(C426="","",IF(C426="Match",32,IF(C426="Tournament",MIN(32*INDEX('Tournament Log'!$D:$D,E426),96),32)))</f>
        <v/>
      </c>
      <c r="M426" s="12" t="str">
        <f t="shared" si="32"/>
        <v/>
      </c>
      <c r="N426" s="12" t="str">
        <f t="shared" si="33"/>
        <v/>
      </c>
      <c r="O426" s="12" t="str">
        <f t="shared" si="34"/>
        <v/>
      </c>
      <c r="P426" s="12" t="str">
        <f>IF(C426="Tournament",INDEX('Tournament Log'!$B:$B,E426),IF(C426="Guest","Guest: "&amp;INDEX('Guest Log'!$H:$H,Q426),""))</f>
        <v/>
      </c>
      <c r="Q426" t="str">
        <f>IFERROR(MATCH($A426,'Guest Log'!$L$4:$L$203,0)+3,"")</f>
        <v/>
      </c>
    </row>
    <row r="427" spans="1:17" ht="15" customHeight="1" x14ac:dyDescent="0.2">
      <c r="A427" s="12">
        <f>426</f>
        <v>426</v>
      </c>
      <c r="B427" s="12" t="str">
        <f>IF(C427="","",IF(C427="Match",INDEX('Match Log'!$A:$A,D427),IF(C427="Tournament",INDEX('Tournament Log'!$A:$A,E427),INDEX('Guest Log'!$A:$A,Q427))))</f>
        <v/>
      </c>
      <c r="C427" s="12" t="str">
        <f t="shared" si="30"/>
        <v/>
      </c>
      <c r="D427" s="31" t="str">
        <f>IFERROR(MATCH($A427,'Match Log'!$K$3:$K$501,0)+2,"")</f>
        <v/>
      </c>
      <c r="E427" s="31" t="str">
        <f>IFERROR(MATCH($A427,'Tournament Log'!$O$4:$O$203,0)+3,"")</f>
        <v/>
      </c>
      <c r="F427" s="12" t="str">
        <f>IF(C427="","",IF(C427="Match",INDEX('Match Log'!$B:$B,D427),IF(C427="Tournament",INDEX('Tournament Log'!$C:$C,E427),INDEX('Guest Log'!$B:$B,Q427))))</f>
        <v/>
      </c>
      <c r="G427" s="12" t="str">
        <f>IF(C427="","",IF(C427="Match",INDEX('Match Log'!$C:$C,D427),IF(C427="Tournament",INDEX('Tournament Log'!$B:$B,E427)&amp;" (Phantom)",INDEX('Guest Log'!$H:$H,Q427)&amp;" (Guest)")))</f>
        <v/>
      </c>
      <c r="H427" s="32" t="str">
        <f t="array" ref="H427">IF(C427="","",IFERROR(LOOKUP(2,1/(($F$1:F426=F427)+($G$1:G426=F427)),IF($F$1:F426=F427,$N$1:N426,$O$1:O426)),1000))</f>
        <v/>
      </c>
      <c r="I427" s="12" t="str">
        <f t="array" ref="I427">IF(C427="","",IF(C427="Tournament",INDEX('Tournament Log'!$J:$J,E427),IF(C427="Guest",IF(INDEX('Guest Log'!$I:$I,Q427)="",1000,INDEX('Guest Log'!$I:$I,Q427)),IFERROR(LOOKUP(2,1/(($F$1:F426=G427)+($G$1:G426=G427)),IF($F$1:F426=G427,$N$1:N426,$O$1:O426)),1000))))</f>
        <v/>
      </c>
      <c r="J427" s="12" t="str">
        <f t="shared" si="31"/>
        <v/>
      </c>
      <c r="K427" s="12" t="str">
        <f>IF(C427="","",IF(C427="Match",IF(INDEX('Match Log'!$D:$D,D427)="Win",1,IF(INDEX('Match Log'!$D:$D,D427)="Draw",0.5,0)),IF(C427="Tournament",INDEX('Tournament Log'!$K:$K,E427),IF(INDEX('Guest Log'!$C:$C,Q427)="Win",1,IF(INDEX('Guest Log'!$C:$C,Q427)="Draw",0.5,0)))))</f>
        <v/>
      </c>
      <c r="L427" s="12" t="str">
        <f>IF(C427="","",IF(C427="Match",32,IF(C427="Tournament",MIN(32*INDEX('Tournament Log'!$D:$D,E427),96),32)))</f>
        <v/>
      </c>
      <c r="M427" s="12" t="str">
        <f t="shared" si="32"/>
        <v/>
      </c>
      <c r="N427" s="12" t="str">
        <f t="shared" si="33"/>
        <v/>
      </c>
      <c r="O427" s="12" t="str">
        <f t="shared" si="34"/>
        <v/>
      </c>
      <c r="P427" s="12" t="str">
        <f>IF(C427="Tournament",INDEX('Tournament Log'!$B:$B,E427),IF(C427="Guest","Guest: "&amp;INDEX('Guest Log'!$H:$H,Q427),""))</f>
        <v/>
      </c>
      <c r="Q427" t="str">
        <f>IFERROR(MATCH($A427,'Guest Log'!$L$4:$L$203,0)+3,"")</f>
        <v/>
      </c>
    </row>
    <row r="428" spans="1:17" ht="15" customHeight="1" x14ac:dyDescent="0.2">
      <c r="A428" s="12">
        <f>427</f>
        <v>427</v>
      </c>
      <c r="B428" s="12" t="str">
        <f>IF(C428="","",IF(C428="Match",INDEX('Match Log'!$A:$A,D428),IF(C428="Tournament",INDEX('Tournament Log'!$A:$A,E428),INDEX('Guest Log'!$A:$A,Q428))))</f>
        <v/>
      </c>
      <c r="C428" s="12" t="str">
        <f t="shared" si="30"/>
        <v/>
      </c>
      <c r="D428" s="31" t="str">
        <f>IFERROR(MATCH($A428,'Match Log'!$K$3:$K$501,0)+2,"")</f>
        <v/>
      </c>
      <c r="E428" s="31" t="str">
        <f>IFERROR(MATCH($A428,'Tournament Log'!$O$4:$O$203,0)+3,"")</f>
        <v/>
      </c>
      <c r="F428" s="12" t="str">
        <f>IF(C428="","",IF(C428="Match",INDEX('Match Log'!$B:$B,D428),IF(C428="Tournament",INDEX('Tournament Log'!$C:$C,E428),INDEX('Guest Log'!$B:$B,Q428))))</f>
        <v/>
      </c>
      <c r="G428" s="12" t="str">
        <f>IF(C428="","",IF(C428="Match",INDEX('Match Log'!$C:$C,D428),IF(C428="Tournament",INDEX('Tournament Log'!$B:$B,E428)&amp;" (Phantom)",INDEX('Guest Log'!$H:$H,Q428)&amp;" (Guest)")))</f>
        <v/>
      </c>
      <c r="H428" s="32" t="str">
        <f t="array" ref="H428">IF(C428="","",IFERROR(LOOKUP(2,1/(($F$1:F427=F428)+($G$1:G427=F428)),IF($F$1:F427=F428,$N$1:N427,$O$1:O427)),1000))</f>
        <v/>
      </c>
      <c r="I428" s="12" t="str">
        <f t="array" ref="I428">IF(C428="","",IF(C428="Tournament",INDEX('Tournament Log'!$J:$J,E428),IF(C428="Guest",IF(INDEX('Guest Log'!$I:$I,Q428)="",1000,INDEX('Guest Log'!$I:$I,Q428)),IFERROR(LOOKUP(2,1/(($F$1:F427=G428)+($G$1:G427=G428)),IF($F$1:F427=G428,$N$1:N427,$O$1:O427)),1000))))</f>
        <v/>
      </c>
      <c r="J428" s="12" t="str">
        <f t="shared" si="31"/>
        <v/>
      </c>
      <c r="K428" s="12" t="str">
        <f>IF(C428="","",IF(C428="Match",IF(INDEX('Match Log'!$D:$D,D428)="Win",1,IF(INDEX('Match Log'!$D:$D,D428)="Draw",0.5,0)),IF(C428="Tournament",INDEX('Tournament Log'!$K:$K,E428),IF(INDEX('Guest Log'!$C:$C,Q428)="Win",1,IF(INDEX('Guest Log'!$C:$C,Q428)="Draw",0.5,0)))))</f>
        <v/>
      </c>
      <c r="L428" s="12" t="str">
        <f>IF(C428="","",IF(C428="Match",32,IF(C428="Tournament",MIN(32*INDEX('Tournament Log'!$D:$D,E428),96),32)))</f>
        <v/>
      </c>
      <c r="M428" s="12" t="str">
        <f t="shared" si="32"/>
        <v/>
      </c>
      <c r="N428" s="12" t="str">
        <f t="shared" si="33"/>
        <v/>
      </c>
      <c r="O428" s="12" t="str">
        <f t="shared" si="34"/>
        <v/>
      </c>
      <c r="P428" s="12" t="str">
        <f>IF(C428="Tournament",INDEX('Tournament Log'!$B:$B,E428),IF(C428="Guest","Guest: "&amp;INDEX('Guest Log'!$H:$H,Q428),""))</f>
        <v/>
      </c>
      <c r="Q428" t="str">
        <f>IFERROR(MATCH($A428,'Guest Log'!$L$4:$L$203,0)+3,"")</f>
        <v/>
      </c>
    </row>
    <row r="429" spans="1:17" ht="15" customHeight="1" x14ac:dyDescent="0.2">
      <c r="A429" s="12">
        <f>428</f>
        <v>428</v>
      </c>
      <c r="B429" s="12" t="str">
        <f>IF(C429="","",IF(C429="Match",INDEX('Match Log'!$A:$A,D429),IF(C429="Tournament",INDEX('Tournament Log'!$A:$A,E429),INDEX('Guest Log'!$A:$A,Q429))))</f>
        <v/>
      </c>
      <c r="C429" s="12" t="str">
        <f t="shared" si="30"/>
        <v/>
      </c>
      <c r="D429" s="31" t="str">
        <f>IFERROR(MATCH($A429,'Match Log'!$K$3:$K$501,0)+2,"")</f>
        <v/>
      </c>
      <c r="E429" s="31" t="str">
        <f>IFERROR(MATCH($A429,'Tournament Log'!$O$4:$O$203,0)+3,"")</f>
        <v/>
      </c>
      <c r="F429" s="12" t="str">
        <f>IF(C429="","",IF(C429="Match",INDEX('Match Log'!$B:$B,D429),IF(C429="Tournament",INDEX('Tournament Log'!$C:$C,E429),INDEX('Guest Log'!$B:$B,Q429))))</f>
        <v/>
      </c>
      <c r="G429" s="12" t="str">
        <f>IF(C429="","",IF(C429="Match",INDEX('Match Log'!$C:$C,D429),IF(C429="Tournament",INDEX('Tournament Log'!$B:$B,E429)&amp;" (Phantom)",INDEX('Guest Log'!$H:$H,Q429)&amp;" (Guest)")))</f>
        <v/>
      </c>
      <c r="H429" s="32" t="str">
        <f t="array" ref="H429">IF(C429="","",IFERROR(LOOKUP(2,1/(($F$1:F428=F429)+($G$1:G428=F429)),IF($F$1:F428=F429,$N$1:N428,$O$1:O428)),1000))</f>
        <v/>
      </c>
      <c r="I429" s="12" t="str">
        <f t="array" ref="I429">IF(C429="","",IF(C429="Tournament",INDEX('Tournament Log'!$J:$J,E429),IF(C429="Guest",IF(INDEX('Guest Log'!$I:$I,Q429)="",1000,INDEX('Guest Log'!$I:$I,Q429)),IFERROR(LOOKUP(2,1/(($F$1:F428=G429)+($G$1:G428=G429)),IF($F$1:F428=G429,$N$1:N428,$O$1:O428)),1000))))</f>
        <v/>
      </c>
      <c r="J429" s="12" t="str">
        <f t="shared" si="31"/>
        <v/>
      </c>
      <c r="K429" s="12" t="str">
        <f>IF(C429="","",IF(C429="Match",IF(INDEX('Match Log'!$D:$D,D429)="Win",1,IF(INDEX('Match Log'!$D:$D,D429)="Draw",0.5,0)),IF(C429="Tournament",INDEX('Tournament Log'!$K:$K,E429),IF(INDEX('Guest Log'!$C:$C,Q429)="Win",1,IF(INDEX('Guest Log'!$C:$C,Q429)="Draw",0.5,0)))))</f>
        <v/>
      </c>
      <c r="L429" s="12" t="str">
        <f>IF(C429="","",IF(C429="Match",32,IF(C429="Tournament",MIN(32*INDEX('Tournament Log'!$D:$D,E429),96),32)))</f>
        <v/>
      </c>
      <c r="M429" s="12" t="str">
        <f t="shared" si="32"/>
        <v/>
      </c>
      <c r="N429" s="12" t="str">
        <f t="shared" si="33"/>
        <v/>
      </c>
      <c r="O429" s="12" t="str">
        <f t="shared" si="34"/>
        <v/>
      </c>
      <c r="P429" s="12" t="str">
        <f>IF(C429="Tournament",INDEX('Tournament Log'!$B:$B,E429),IF(C429="Guest","Guest: "&amp;INDEX('Guest Log'!$H:$H,Q429),""))</f>
        <v/>
      </c>
      <c r="Q429" t="str">
        <f>IFERROR(MATCH($A429,'Guest Log'!$L$4:$L$203,0)+3,"")</f>
        <v/>
      </c>
    </row>
    <row r="430" spans="1:17" ht="15" customHeight="1" x14ac:dyDescent="0.2">
      <c r="A430" s="12">
        <f>429</f>
        <v>429</v>
      </c>
      <c r="B430" s="12" t="str">
        <f>IF(C430="","",IF(C430="Match",INDEX('Match Log'!$A:$A,D430),IF(C430="Tournament",INDEX('Tournament Log'!$A:$A,E430),INDEX('Guest Log'!$A:$A,Q430))))</f>
        <v/>
      </c>
      <c r="C430" s="12" t="str">
        <f t="shared" si="30"/>
        <v/>
      </c>
      <c r="D430" s="31" t="str">
        <f>IFERROR(MATCH($A430,'Match Log'!$K$3:$K$501,0)+2,"")</f>
        <v/>
      </c>
      <c r="E430" s="31" t="str">
        <f>IFERROR(MATCH($A430,'Tournament Log'!$O$4:$O$203,0)+3,"")</f>
        <v/>
      </c>
      <c r="F430" s="12" t="str">
        <f>IF(C430="","",IF(C430="Match",INDEX('Match Log'!$B:$B,D430),IF(C430="Tournament",INDEX('Tournament Log'!$C:$C,E430),INDEX('Guest Log'!$B:$B,Q430))))</f>
        <v/>
      </c>
      <c r="G430" s="12" t="str">
        <f>IF(C430="","",IF(C430="Match",INDEX('Match Log'!$C:$C,D430),IF(C430="Tournament",INDEX('Tournament Log'!$B:$B,E430)&amp;" (Phantom)",INDEX('Guest Log'!$H:$H,Q430)&amp;" (Guest)")))</f>
        <v/>
      </c>
      <c r="H430" s="32" t="str">
        <f t="array" ref="H430">IF(C430="","",IFERROR(LOOKUP(2,1/(($F$1:F429=F430)+($G$1:G429=F430)),IF($F$1:F429=F430,$N$1:N429,$O$1:O429)),1000))</f>
        <v/>
      </c>
      <c r="I430" s="12" t="str">
        <f t="array" ref="I430">IF(C430="","",IF(C430="Tournament",INDEX('Tournament Log'!$J:$J,E430),IF(C430="Guest",IF(INDEX('Guest Log'!$I:$I,Q430)="",1000,INDEX('Guest Log'!$I:$I,Q430)),IFERROR(LOOKUP(2,1/(($F$1:F429=G430)+($G$1:G429=G430)),IF($F$1:F429=G430,$N$1:N429,$O$1:O429)),1000))))</f>
        <v/>
      </c>
      <c r="J430" s="12" t="str">
        <f t="shared" si="31"/>
        <v/>
      </c>
      <c r="K430" s="12" t="str">
        <f>IF(C430="","",IF(C430="Match",IF(INDEX('Match Log'!$D:$D,D430)="Win",1,IF(INDEX('Match Log'!$D:$D,D430)="Draw",0.5,0)),IF(C430="Tournament",INDEX('Tournament Log'!$K:$K,E430),IF(INDEX('Guest Log'!$C:$C,Q430)="Win",1,IF(INDEX('Guest Log'!$C:$C,Q430)="Draw",0.5,0)))))</f>
        <v/>
      </c>
      <c r="L430" s="12" t="str">
        <f>IF(C430="","",IF(C430="Match",32,IF(C430="Tournament",MIN(32*INDEX('Tournament Log'!$D:$D,E430),96),32)))</f>
        <v/>
      </c>
      <c r="M430" s="12" t="str">
        <f t="shared" si="32"/>
        <v/>
      </c>
      <c r="N430" s="12" t="str">
        <f t="shared" si="33"/>
        <v/>
      </c>
      <c r="O430" s="12" t="str">
        <f t="shared" si="34"/>
        <v/>
      </c>
      <c r="P430" s="12" t="str">
        <f>IF(C430="Tournament",INDEX('Tournament Log'!$B:$B,E430),IF(C430="Guest","Guest: "&amp;INDEX('Guest Log'!$H:$H,Q430),""))</f>
        <v/>
      </c>
      <c r="Q430" t="str">
        <f>IFERROR(MATCH($A430,'Guest Log'!$L$4:$L$203,0)+3,"")</f>
        <v/>
      </c>
    </row>
    <row r="431" spans="1:17" ht="15" customHeight="1" x14ac:dyDescent="0.2">
      <c r="A431" s="12">
        <f>430</f>
        <v>430</v>
      </c>
      <c r="B431" s="12" t="str">
        <f>IF(C431="","",IF(C431="Match",INDEX('Match Log'!$A:$A,D431),IF(C431="Tournament",INDEX('Tournament Log'!$A:$A,E431),INDEX('Guest Log'!$A:$A,Q431))))</f>
        <v/>
      </c>
      <c r="C431" s="12" t="str">
        <f t="shared" si="30"/>
        <v/>
      </c>
      <c r="D431" s="31" t="str">
        <f>IFERROR(MATCH($A431,'Match Log'!$K$3:$K$501,0)+2,"")</f>
        <v/>
      </c>
      <c r="E431" s="31" t="str">
        <f>IFERROR(MATCH($A431,'Tournament Log'!$O$4:$O$203,0)+3,"")</f>
        <v/>
      </c>
      <c r="F431" s="12" t="str">
        <f>IF(C431="","",IF(C431="Match",INDEX('Match Log'!$B:$B,D431),IF(C431="Tournament",INDEX('Tournament Log'!$C:$C,E431),INDEX('Guest Log'!$B:$B,Q431))))</f>
        <v/>
      </c>
      <c r="G431" s="12" t="str">
        <f>IF(C431="","",IF(C431="Match",INDEX('Match Log'!$C:$C,D431),IF(C431="Tournament",INDEX('Tournament Log'!$B:$B,E431)&amp;" (Phantom)",INDEX('Guest Log'!$H:$H,Q431)&amp;" (Guest)")))</f>
        <v/>
      </c>
      <c r="H431" s="32" t="str">
        <f t="array" ref="H431">IF(C431="","",IFERROR(LOOKUP(2,1/(($F$1:F430=F431)+($G$1:G430=F431)),IF($F$1:F430=F431,$N$1:N430,$O$1:O430)),1000))</f>
        <v/>
      </c>
      <c r="I431" s="12" t="str">
        <f t="array" ref="I431">IF(C431="","",IF(C431="Tournament",INDEX('Tournament Log'!$J:$J,E431),IF(C431="Guest",IF(INDEX('Guest Log'!$I:$I,Q431)="",1000,INDEX('Guest Log'!$I:$I,Q431)),IFERROR(LOOKUP(2,1/(($F$1:F430=G431)+($G$1:G430=G431)),IF($F$1:F430=G431,$N$1:N430,$O$1:O430)),1000))))</f>
        <v/>
      </c>
      <c r="J431" s="12" t="str">
        <f t="shared" si="31"/>
        <v/>
      </c>
      <c r="K431" s="12" t="str">
        <f>IF(C431="","",IF(C431="Match",IF(INDEX('Match Log'!$D:$D,D431)="Win",1,IF(INDEX('Match Log'!$D:$D,D431)="Draw",0.5,0)),IF(C431="Tournament",INDEX('Tournament Log'!$K:$K,E431),IF(INDEX('Guest Log'!$C:$C,Q431)="Win",1,IF(INDEX('Guest Log'!$C:$C,Q431)="Draw",0.5,0)))))</f>
        <v/>
      </c>
      <c r="L431" s="12" t="str">
        <f>IF(C431="","",IF(C431="Match",32,IF(C431="Tournament",MIN(32*INDEX('Tournament Log'!$D:$D,E431),96),32)))</f>
        <v/>
      </c>
      <c r="M431" s="12" t="str">
        <f t="shared" si="32"/>
        <v/>
      </c>
      <c r="N431" s="12" t="str">
        <f t="shared" si="33"/>
        <v/>
      </c>
      <c r="O431" s="12" t="str">
        <f t="shared" si="34"/>
        <v/>
      </c>
      <c r="P431" s="12" t="str">
        <f>IF(C431="Tournament",INDEX('Tournament Log'!$B:$B,E431),IF(C431="Guest","Guest: "&amp;INDEX('Guest Log'!$H:$H,Q431),""))</f>
        <v/>
      </c>
      <c r="Q431" t="str">
        <f>IFERROR(MATCH($A431,'Guest Log'!$L$4:$L$203,0)+3,"")</f>
        <v/>
      </c>
    </row>
    <row r="432" spans="1:17" ht="15" customHeight="1" x14ac:dyDescent="0.2">
      <c r="A432" s="12">
        <f>431</f>
        <v>431</v>
      </c>
      <c r="B432" s="12" t="str">
        <f>IF(C432="","",IF(C432="Match",INDEX('Match Log'!$A:$A,D432),IF(C432="Tournament",INDEX('Tournament Log'!$A:$A,E432),INDEX('Guest Log'!$A:$A,Q432))))</f>
        <v/>
      </c>
      <c r="C432" s="12" t="str">
        <f t="shared" si="30"/>
        <v/>
      </c>
      <c r="D432" s="31" t="str">
        <f>IFERROR(MATCH($A432,'Match Log'!$K$3:$K$501,0)+2,"")</f>
        <v/>
      </c>
      <c r="E432" s="31" t="str">
        <f>IFERROR(MATCH($A432,'Tournament Log'!$O$4:$O$203,0)+3,"")</f>
        <v/>
      </c>
      <c r="F432" s="12" t="str">
        <f>IF(C432="","",IF(C432="Match",INDEX('Match Log'!$B:$B,D432),IF(C432="Tournament",INDEX('Tournament Log'!$C:$C,E432),INDEX('Guest Log'!$B:$B,Q432))))</f>
        <v/>
      </c>
      <c r="G432" s="12" t="str">
        <f>IF(C432="","",IF(C432="Match",INDEX('Match Log'!$C:$C,D432),IF(C432="Tournament",INDEX('Tournament Log'!$B:$B,E432)&amp;" (Phantom)",INDEX('Guest Log'!$H:$H,Q432)&amp;" (Guest)")))</f>
        <v/>
      </c>
      <c r="H432" s="32" t="str">
        <f t="array" ref="H432">IF(C432="","",IFERROR(LOOKUP(2,1/(($F$1:F431=F432)+($G$1:G431=F432)),IF($F$1:F431=F432,$N$1:N431,$O$1:O431)),1000))</f>
        <v/>
      </c>
      <c r="I432" s="12" t="str">
        <f t="array" ref="I432">IF(C432="","",IF(C432="Tournament",INDEX('Tournament Log'!$J:$J,E432),IF(C432="Guest",IF(INDEX('Guest Log'!$I:$I,Q432)="",1000,INDEX('Guest Log'!$I:$I,Q432)),IFERROR(LOOKUP(2,1/(($F$1:F431=G432)+($G$1:G431=G432)),IF($F$1:F431=G432,$N$1:N431,$O$1:O431)),1000))))</f>
        <v/>
      </c>
      <c r="J432" s="12" t="str">
        <f t="shared" si="31"/>
        <v/>
      </c>
      <c r="K432" s="12" t="str">
        <f>IF(C432="","",IF(C432="Match",IF(INDEX('Match Log'!$D:$D,D432)="Win",1,IF(INDEX('Match Log'!$D:$D,D432)="Draw",0.5,0)),IF(C432="Tournament",INDEX('Tournament Log'!$K:$K,E432),IF(INDEX('Guest Log'!$C:$C,Q432)="Win",1,IF(INDEX('Guest Log'!$C:$C,Q432)="Draw",0.5,0)))))</f>
        <v/>
      </c>
      <c r="L432" s="12" t="str">
        <f>IF(C432="","",IF(C432="Match",32,IF(C432="Tournament",MIN(32*INDEX('Tournament Log'!$D:$D,E432),96),32)))</f>
        <v/>
      </c>
      <c r="M432" s="12" t="str">
        <f t="shared" si="32"/>
        <v/>
      </c>
      <c r="N432" s="12" t="str">
        <f t="shared" si="33"/>
        <v/>
      </c>
      <c r="O432" s="12" t="str">
        <f t="shared" si="34"/>
        <v/>
      </c>
      <c r="P432" s="12" t="str">
        <f>IF(C432="Tournament",INDEX('Tournament Log'!$B:$B,E432),IF(C432="Guest","Guest: "&amp;INDEX('Guest Log'!$H:$H,Q432),""))</f>
        <v/>
      </c>
      <c r="Q432" t="str">
        <f>IFERROR(MATCH($A432,'Guest Log'!$L$4:$L$203,0)+3,"")</f>
        <v/>
      </c>
    </row>
    <row r="433" spans="1:17" ht="15" customHeight="1" x14ac:dyDescent="0.2">
      <c r="A433" s="12">
        <f>432</f>
        <v>432</v>
      </c>
      <c r="B433" s="12" t="str">
        <f>IF(C433="","",IF(C433="Match",INDEX('Match Log'!$A:$A,D433),IF(C433="Tournament",INDEX('Tournament Log'!$A:$A,E433),INDEX('Guest Log'!$A:$A,Q433))))</f>
        <v/>
      </c>
      <c r="C433" s="12" t="str">
        <f t="shared" si="30"/>
        <v/>
      </c>
      <c r="D433" s="31" t="str">
        <f>IFERROR(MATCH($A433,'Match Log'!$K$3:$K$501,0)+2,"")</f>
        <v/>
      </c>
      <c r="E433" s="31" t="str">
        <f>IFERROR(MATCH($A433,'Tournament Log'!$O$4:$O$203,0)+3,"")</f>
        <v/>
      </c>
      <c r="F433" s="12" t="str">
        <f>IF(C433="","",IF(C433="Match",INDEX('Match Log'!$B:$B,D433),IF(C433="Tournament",INDEX('Tournament Log'!$C:$C,E433),INDEX('Guest Log'!$B:$B,Q433))))</f>
        <v/>
      </c>
      <c r="G433" s="12" t="str">
        <f>IF(C433="","",IF(C433="Match",INDEX('Match Log'!$C:$C,D433),IF(C433="Tournament",INDEX('Tournament Log'!$B:$B,E433)&amp;" (Phantom)",INDEX('Guest Log'!$H:$H,Q433)&amp;" (Guest)")))</f>
        <v/>
      </c>
      <c r="H433" s="32" t="str">
        <f t="array" ref="H433">IF(C433="","",IFERROR(LOOKUP(2,1/(($F$1:F432=F433)+($G$1:G432=F433)),IF($F$1:F432=F433,$N$1:N432,$O$1:O432)),1000))</f>
        <v/>
      </c>
      <c r="I433" s="12" t="str">
        <f t="array" ref="I433">IF(C433="","",IF(C433="Tournament",INDEX('Tournament Log'!$J:$J,E433),IF(C433="Guest",IF(INDEX('Guest Log'!$I:$I,Q433)="",1000,INDEX('Guest Log'!$I:$I,Q433)),IFERROR(LOOKUP(2,1/(($F$1:F432=G433)+($G$1:G432=G433)),IF($F$1:F432=G433,$N$1:N432,$O$1:O432)),1000))))</f>
        <v/>
      </c>
      <c r="J433" s="12" t="str">
        <f t="shared" si="31"/>
        <v/>
      </c>
      <c r="K433" s="12" t="str">
        <f>IF(C433="","",IF(C433="Match",IF(INDEX('Match Log'!$D:$D,D433)="Win",1,IF(INDEX('Match Log'!$D:$D,D433)="Draw",0.5,0)),IF(C433="Tournament",INDEX('Tournament Log'!$K:$K,E433),IF(INDEX('Guest Log'!$C:$C,Q433)="Win",1,IF(INDEX('Guest Log'!$C:$C,Q433)="Draw",0.5,0)))))</f>
        <v/>
      </c>
      <c r="L433" s="12" t="str">
        <f>IF(C433="","",IF(C433="Match",32,IF(C433="Tournament",MIN(32*INDEX('Tournament Log'!$D:$D,E433),96),32)))</f>
        <v/>
      </c>
      <c r="M433" s="12" t="str">
        <f t="shared" si="32"/>
        <v/>
      </c>
      <c r="N433" s="12" t="str">
        <f t="shared" si="33"/>
        <v/>
      </c>
      <c r="O433" s="12" t="str">
        <f t="shared" si="34"/>
        <v/>
      </c>
      <c r="P433" s="12" t="str">
        <f>IF(C433="Tournament",INDEX('Tournament Log'!$B:$B,E433),IF(C433="Guest","Guest: "&amp;INDEX('Guest Log'!$H:$H,Q433),""))</f>
        <v/>
      </c>
      <c r="Q433" t="str">
        <f>IFERROR(MATCH($A433,'Guest Log'!$L$4:$L$203,0)+3,"")</f>
        <v/>
      </c>
    </row>
    <row r="434" spans="1:17" ht="15" customHeight="1" x14ac:dyDescent="0.2">
      <c r="A434" s="12">
        <f>433</f>
        <v>433</v>
      </c>
      <c r="B434" s="12" t="str">
        <f>IF(C434="","",IF(C434="Match",INDEX('Match Log'!$A:$A,D434),IF(C434="Tournament",INDEX('Tournament Log'!$A:$A,E434),INDEX('Guest Log'!$A:$A,Q434))))</f>
        <v/>
      </c>
      <c r="C434" s="12" t="str">
        <f t="shared" si="30"/>
        <v/>
      </c>
      <c r="D434" s="31" t="str">
        <f>IFERROR(MATCH($A434,'Match Log'!$K$3:$K$501,0)+2,"")</f>
        <v/>
      </c>
      <c r="E434" s="31" t="str">
        <f>IFERROR(MATCH($A434,'Tournament Log'!$O$4:$O$203,0)+3,"")</f>
        <v/>
      </c>
      <c r="F434" s="12" t="str">
        <f>IF(C434="","",IF(C434="Match",INDEX('Match Log'!$B:$B,D434),IF(C434="Tournament",INDEX('Tournament Log'!$C:$C,E434),INDEX('Guest Log'!$B:$B,Q434))))</f>
        <v/>
      </c>
      <c r="G434" s="12" t="str">
        <f>IF(C434="","",IF(C434="Match",INDEX('Match Log'!$C:$C,D434),IF(C434="Tournament",INDEX('Tournament Log'!$B:$B,E434)&amp;" (Phantom)",INDEX('Guest Log'!$H:$H,Q434)&amp;" (Guest)")))</f>
        <v/>
      </c>
      <c r="H434" s="32" t="str">
        <f t="array" ref="H434">IF(C434="","",IFERROR(LOOKUP(2,1/(($F$1:F433=F434)+($G$1:G433=F434)),IF($F$1:F433=F434,$N$1:N433,$O$1:O433)),1000))</f>
        <v/>
      </c>
      <c r="I434" s="12" t="str">
        <f t="array" ref="I434">IF(C434="","",IF(C434="Tournament",INDEX('Tournament Log'!$J:$J,E434),IF(C434="Guest",IF(INDEX('Guest Log'!$I:$I,Q434)="",1000,INDEX('Guest Log'!$I:$I,Q434)),IFERROR(LOOKUP(2,1/(($F$1:F433=G434)+($G$1:G433=G434)),IF($F$1:F433=G434,$N$1:N433,$O$1:O433)),1000))))</f>
        <v/>
      </c>
      <c r="J434" s="12" t="str">
        <f t="shared" si="31"/>
        <v/>
      </c>
      <c r="K434" s="12" t="str">
        <f>IF(C434="","",IF(C434="Match",IF(INDEX('Match Log'!$D:$D,D434)="Win",1,IF(INDEX('Match Log'!$D:$D,D434)="Draw",0.5,0)),IF(C434="Tournament",INDEX('Tournament Log'!$K:$K,E434),IF(INDEX('Guest Log'!$C:$C,Q434)="Win",1,IF(INDEX('Guest Log'!$C:$C,Q434)="Draw",0.5,0)))))</f>
        <v/>
      </c>
      <c r="L434" s="12" t="str">
        <f>IF(C434="","",IF(C434="Match",32,IF(C434="Tournament",MIN(32*INDEX('Tournament Log'!$D:$D,E434),96),32)))</f>
        <v/>
      </c>
      <c r="M434" s="12" t="str">
        <f t="shared" si="32"/>
        <v/>
      </c>
      <c r="N434" s="12" t="str">
        <f t="shared" si="33"/>
        <v/>
      </c>
      <c r="O434" s="12" t="str">
        <f t="shared" si="34"/>
        <v/>
      </c>
      <c r="P434" s="12" t="str">
        <f>IF(C434="Tournament",INDEX('Tournament Log'!$B:$B,E434),IF(C434="Guest","Guest: "&amp;INDEX('Guest Log'!$H:$H,Q434),""))</f>
        <v/>
      </c>
      <c r="Q434" t="str">
        <f>IFERROR(MATCH($A434,'Guest Log'!$L$4:$L$203,0)+3,"")</f>
        <v/>
      </c>
    </row>
    <row r="435" spans="1:17" ht="15" customHeight="1" x14ac:dyDescent="0.2">
      <c r="A435" s="12">
        <f>434</f>
        <v>434</v>
      </c>
      <c r="B435" s="12" t="str">
        <f>IF(C435="","",IF(C435="Match",INDEX('Match Log'!$A:$A,D435),IF(C435="Tournament",INDEX('Tournament Log'!$A:$A,E435),INDEX('Guest Log'!$A:$A,Q435))))</f>
        <v/>
      </c>
      <c r="C435" s="12" t="str">
        <f t="shared" si="30"/>
        <v/>
      </c>
      <c r="D435" s="31" t="str">
        <f>IFERROR(MATCH($A435,'Match Log'!$K$3:$K$501,0)+2,"")</f>
        <v/>
      </c>
      <c r="E435" s="31" t="str">
        <f>IFERROR(MATCH($A435,'Tournament Log'!$O$4:$O$203,0)+3,"")</f>
        <v/>
      </c>
      <c r="F435" s="12" t="str">
        <f>IF(C435="","",IF(C435="Match",INDEX('Match Log'!$B:$B,D435),IF(C435="Tournament",INDEX('Tournament Log'!$C:$C,E435),INDEX('Guest Log'!$B:$B,Q435))))</f>
        <v/>
      </c>
      <c r="G435" s="12" t="str">
        <f>IF(C435="","",IF(C435="Match",INDEX('Match Log'!$C:$C,D435),IF(C435="Tournament",INDEX('Tournament Log'!$B:$B,E435)&amp;" (Phantom)",INDEX('Guest Log'!$H:$H,Q435)&amp;" (Guest)")))</f>
        <v/>
      </c>
      <c r="H435" s="32" t="str">
        <f t="array" ref="H435">IF(C435="","",IFERROR(LOOKUP(2,1/(($F$1:F434=F435)+($G$1:G434=F435)),IF($F$1:F434=F435,$N$1:N434,$O$1:O434)),1000))</f>
        <v/>
      </c>
      <c r="I435" s="12" t="str">
        <f t="array" ref="I435">IF(C435="","",IF(C435="Tournament",INDEX('Tournament Log'!$J:$J,E435),IF(C435="Guest",IF(INDEX('Guest Log'!$I:$I,Q435)="",1000,INDEX('Guest Log'!$I:$I,Q435)),IFERROR(LOOKUP(2,1/(($F$1:F434=G435)+($G$1:G434=G435)),IF($F$1:F434=G435,$N$1:N434,$O$1:O434)),1000))))</f>
        <v/>
      </c>
      <c r="J435" s="12" t="str">
        <f t="shared" si="31"/>
        <v/>
      </c>
      <c r="K435" s="12" t="str">
        <f>IF(C435="","",IF(C435="Match",IF(INDEX('Match Log'!$D:$D,D435)="Win",1,IF(INDEX('Match Log'!$D:$D,D435)="Draw",0.5,0)),IF(C435="Tournament",INDEX('Tournament Log'!$K:$K,E435),IF(INDEX('Guest Log'!$C:$C,Q435)="Win",1,IF(INDEX('Guest Log'!$C:$C,Q435)="Draw",0.5,0)))))</f>
        <v/>
      </c>
      <c r="L435" s="12" t="str">
        <f>IF(C435="","",IF(C435="Match",32,IF(C435="Tournament",MIN(32*INDEX('Tournament Log'!$D:$D,E435),96),32)))</f>
        <v/>
      </c>
      <c r="M435" s="12" t="str">
        <f t="shared" si="32"/>
        <v/>
      </c>
      <c r="N435" s="12" t="str">
        <f t="shared" si="33"/>
        <v/>
      </c>
      <c r="O435" s="12" t="str">
        <f t="shared" si="34"/>
        <v/>
      </c>
      <c r="P435" s="12" t="str">
        <f>IF(C435="Tournament",INDEX('Tournament Log'!$B:$B,E435),IF(C435="Guest","Guest: "&amp;INDEX('Guest Log'!$H:$H,Q435),""))</f>
        <v/>
      </c>
      <c r="Q435" t="str">
        <f>IFERROR(MATCH($A435,'Guest Log'!$L$4:$L$203,0)+3,"")</f>
        <v/>
      </c>
    </row>
    <row r="436" spans="1:17" ht="15" customHeight="1" x14ac:dyDescent="0.2">
      <c r="A436" s="12">
        <f>435</f>
        <v>435</v>
      </c>
      <c r="B436" s="12" t="str">
        <f>IF(C436="","",IF(C436="Match",INDEX('Match Log'!$A:$A,D436),IF(C436="Tournament",INDEX('Tournament Log'!$A:$A,E436),INDEX('Guest Log'!$A:$A,Q436))))</f>
        <v/>
      </c>
      <c r="C436" s="12" t="str">
        <f t="shared" si="30"/>
        <v/>
      </c>
      <c r="D436" s="31" t="str">
        <f>IFERROR(MATCH($A436,'Match Log'!$K$3:$K$501,0)+2,"")</f>
        <v/>
      </c>
      <c r="E436" s="31" t="str">
        <f>IFERROR(MATCH($A436,'Tournament Log'!$O$4:$O$203,0)+3,"")</f>
        <v/>
      </c>
      <c r="F436" s="12" t="str">
        <f>IF(C436="","",IF(C436="Match",INDEX('Match Log'!$B:$B,D436),IF(C436="Tournament",INDEX('Tournament Log'!$C:$C,E436),INDEX('Guest Log'!$B:$B,Q436))))</f>
        <v/>
      </c>
      <c r="G436" s="12" t="str">
        <f>IF(C436="","",IF(C436="Match",INDEX('Match Log'!$C:$C,D436),IF(C436="Tournament",INDEX('Tournament Log'!$B:$B,E436)&amp;" (Phantom)",INDEX('Guest Log'!$H:$H,Q436)&amp;" (Guest)")))</f>
        <v/>
      </c>
      <c r="H436" s="32" t="str">
        <f t="array" ref="H436">IF(C436="","",IFERROR(LOOKUP(2,1/(($F$1:F435=F436)+($G$1:G435=F436)),IF($F$1:F435=F436,$N$1:N435,$O$1:O435)),1000))</f>
        <v/>
      </c>
      <c r="I436" s="12" t="str">
        <f t="array" ref="I436">IF(C436="","",IF(C436="Tournament",INDEX('Tournament Log'!$J:$J,E436),IF(C436="Guest",IF(INDEX('Guest Log'!$I:$I,Q436)="",1000,INDEX('Guest Log'!$I:$I,Q436)),IFERROR(LOOKUP(2,1/(($F$1:F435=G436)+($G$1:G435=G436)),IF($F$1:F435=G436,$N$1:N435,$O$1:O435)),1000))))</f>
        <v/>
      </c>
      <c r="J436" s="12" t="str">
        <f t="shared" si="31"/>
        <v/>
      </c>
      <c r="K436" s="12" t="str">
        <f>IF(C436="","",IF(C436="Match",IF(INDEX('Match Log'!$D:$D,D436)="Win",1,IF(INDEX('Match Log'!$D:$D,D436)="Draw",0.5,0)),IF(C436="Tournament",INDEX('Tournament Log'!$K:$K,E436),IF(INDEX('Guest Log'!$C:$C,Q436)="Win",1,IF(INDEX('Guest Log'!$C:$C,Q436)="Draw",0.5,0)))))</f>
        <v/>
      </c>
      <c r="L436" s="12" t="str">
        <f>IF(C436="","",IF(C436="Match",32,IF(C436="Tournament",MIN(32*INDEX('Tournament Log'!$D:$D,E436),96),32)))</f>
        <v/>
      </c>
      <c r="M436" s="12" t="str">
        <f t="shared" si="32"/>
        <v/>
      </c>
      <c r="N436" s="12" t="str">
        <f t="shared" si="33"/>
        <v/>
      </c>
      <c r="O436" s="12" t="str">
        <f t="shared" si="34"/>
        <v/>
      </c>
      <c r="P436" s="12" t="str">
        <f>IF(C436="Tournament",INDEX('Tournament Log'!$B:$B,E436),IF(C436="Guest","Guest: "&amp;INDEX('Guest Log'!$H:$H,Q436),""))</f>
        <v/>
      </c>
      <c r="Q436" t="str">
        <f>IFERROR(MATCH($A436,'Guest Log'!$L$4:$L$203,0)+3,"")</f>
        <v/>
      </c>
    </row>
    <row r="437" spans="1:17" ht="15" customHeight="1" x14ac:dyDescent="0.2">
      <c r="A437" s="12">
        <f>436</f>
        <v>436</v>
      </c>
      <c r="B437" s="12" t="str">
        <f>IF(C437="","",IF(C437="Match",INDEX('Match Log'!$A:$A,D437),IF(C437="Tournament",INDEX('Tournament Log'!$A:$A,E437),INDEX('Guest Log'!$A:$A,Q437))))</f>
        <v/>
      </c>
      <c r="C437" s="12" t="str">
        <f t="shared" si="30"/>
        <v/>
      </c>
      <c r="D437" s="31" t="str">
        <f>IFERROR(MATCH($A437,'Match Log'!$K$3:$K$501,0)+2,"")</f>
        <v/>
      </c>
      <c r="E437" s="31" t="str">
        <f>IFERROR(MATCH($A437,'Tournament Log'!$O$4:$O$203,0)+3,"")</f>
        <v/>
      </c>
      <c r="F437" s="12" t="str">
        <f>IF(C437="","",IF(C437="Match",INDEX('Match Log'!$B:$B,D437),IF(C437="Tournament",INDEX('Tournament Log'!$C:$C,E437),INDEX('Guest Log'!$B:$B,Q437))))</f>
        <v/>
      </c>
      <c r="G437" s="12" t="str">
        <f>IF(C437="","",IF(C437="Match",INDEX('Match Log'!$C:$C,D437),IF(C437="Tournament",INDEX('Tournament Log'!$B:$B,E437)&amp;" (Phantom)",INDEX('Guest Log'!$H:$H,Q437)&amp;" (Guest)")))</f>
        <v/>
      </c>
      <c r="H437" s="32" t="str">
        <f t="array" ref="H437">IF(C437="","",IFERROR(LOOKUP(2,1/(($F$1:F436=F437)+($G$1:G436=F437)),IF($F$1:F436=F437,$N$1:N436,$O$1:O436)),1000))</f>
        <v/>
      </c>
      <c r="I437" s="12" t="str">
        <f t="array" ref="I437">IF(C437="","",IF(C437="Tournament",INDEX('Tournament Log'!$J:$J,E437),IF(C437="Guest",IF(INDEX('Guest Log'!$I:$I,Q437)="",1000,INDEX('Guest Log'!$I:$I,Q437)),IFERROR(LOOKUP(2,1/(($F$1:F436=G437)+($G$1:G436=G437)),IF($F$1:F436=G437,$N$1:N436,$O$1:O436)),1000))))</f>
        <v/>
      </c>
      <c r="J437" s="12" t="str">
        <f t="shared" si="31"/>
        <v/>
      </c>
      <c r="K437" s="12" t="str">
        <f>IF(C437="","",IF(C437="Match",IF(INDEX('Match Log'!$D:$D,D437)="Win",1,IF(INDEX('Match Log'!$D:$D,D437)="Draw",0.5,0)),IF(C437="Tournament",INDEX('Tournament Log'!$K:$K,E437),IF(INDEX('Guest Log'!$C:$C,Q437)="Win",1,IF(INDEX('Guest Log'!$C:$C,Q437)="Draw",0.5,0)))))</f>
        <v/>
      </c>
      <c r="L437" s="12" t="str">
        <f>IF(C437="","",IF(C437="Match",32,IF(C437="Tournament",MIN(32*INDEX('Tournament Log'!$D:$D,E437),96),32)))</f>
        <v/>
      </c>
      <c r="M437" s="12" t="str">
        <f t="shared" si="32"/>
        <v/>
      </c>
      <c r="N437" s="12" t="str">
        <f t="shared" si="33"/>
        <v/>
      </c>
      <c r="O437" s="12" t="str">
        <f t="shared" si="34"/>
        <v/>
      </c>
      <c r="P437" s="12" t="str">
        <f>IF(C437="Tournament",INDEX('Tournament Log'!$B:$B,E437),IF(C437="Guest","Guest: "&amp;INDEX('Guest Log'!$H:$H,Q437),""))</f>
        <v/>
      </c>
      <c r="Q437" t="str">
        <f>IFERROR(MATCH($A437,'Guest Log'!$L$4:$L$203,0)+3,"")</f>
        <v/>
      </c>
    </row>
    <row r="438" spans="1:17" ht="15" customHeight="1" x14ac:dyDescent="0.2">
      <c r="A438" s="12">
        <f>437</f>
        <v>437</v>
      </c>
      <c r="B438" s="12" t="str">
        <f>IF(C438="","",IF(C438="Match",INDEX('Match Log'!$A:$A,D438),IF(C438="Tournament",INDEX('Tournament Log'!$A:$A,E438),INDEX('Guest Log'!$A:$A,Q438))))</f>
        <v/>
      </c>
      <c r="C438" s="12" t="str">
        <f t="shared" si="30"/>
        <v/>
      </c>
      <c r="D438" s="31" t="str">
        <f>IFERROR(MATCH($A438,'Match Log'!$K$3:$K$501,0)+2,"")</f>
        <v/>
      </c>
      <c r="E438" s="31" t="str">
        <f>IFERROR(MATCH($A438,'Tournament Log'!$O$4:$O$203,0)+3,"")</f>
        <v/>
      </c>
      <c r="F438" s="12" t="str">
        <f>IF(C438="","",IF(C438="Match",INDEX('Match Log'!$B:$B,D438),IF(C438="Tournament",INDEX('Tournament Log'!$C:$C,E438),INDEX('Guest Log'!$B:$B,Q438))))</f>
        <v/>
      </c>
      <c r="G438" s="12" t="str">
        <f>IF(C438="","",IF(C438="Match",INDEX('Match Log'!$C:$C,D438),IF(C438="Tournament",INDEX('Tournament Log'!$B:$B,E438)&amp;" (Phantom)",INDEX('Guest Log'!$H:$H,Q438)&amp;" (Guest)")))</f>
        <v/>
      </c>
      <c r="H438" s="32" t="str">
        <f t="array" ref="H438">IF(C438="","",IFERROR(LOOKUP(2,1/(($F$1:F437=F438)+($G$1:G437=F438)),IF($F$1:F437=F438,$N$1:N437,$O$1:O437)),1000))</f>
        <v/>
      </c>
      <c r="I438" s="12" t="str">
        <f t="array" ref="I438">IF(C438="","",IF(C438="Tournament",INDEX('Tournament Log'!$J:$J,E438),IF(C438="Guest",IF(INDEX('Guest Log'!$I:$I,Q438)="",1000,INDEX('Guest Log'!$I:$I,Q438)),IFERROR(LOOKUP(2,1/(($F$1:F437=G438)+($G$1:G437=G438)),IF($F$1:F437=G438,$N$1:N437,$O$1:O437)),1000))))</f>
        <v/>
      </c>
      <c r="J438" s="12" t="str">
        <f t="shared" si="31"/>
        <v/>
      </c>
      <c r="K438" s="12" t="str">
        <f>IF(C438="","",IF(C438="Match",IF(INDEX('Match Log'!$D:$D,D438)="Win",1,IF(INDEX('Match Log'!$D:$D,D438)="Draw",0.5,0)),IF(C438="Tournament",INDEX('Tournament Log'!$K:$K,E438),IF(INDEX('Guest Log'!$C:$C,Q438)="Win",1,IF(INDEX('Guest Log'!$C:$C,Q438)="Draw",0.5,0)))))</f>
        <v/>
      </c>
      <c r="L438" s="12" t="str">
        <f>IF(C438="","",IF(C438="Match",32,IF(C438="Tournament",MIN(32*INDEX('Tournament Log'!$D:$D,E438),96),32)))</f>
        <v/>
      </c>
      <c r="M438" s="12" t="str">
        <f t="shared" si="32"/>
        <v/>
      </c>
      <c r="N438" s="12" t="str">
        <f t="shared" si="33"/>
        <v/>
      </c>
      <c r="O438" s="12" t="str">
        <f t="shared" si="34"/>
        <v/>
      </c>
      <c r="P438" s="12" t="str">
        <f>IF(C438="Tournament",INDEX('Tournament Log'!$B:$B,E438),IF(C438="Guest","Guest: "&amp;INDEX('Guest Log'!$H:$H,Q438),""))</f>
        <v/>
      </c>
      <c r="Q438" t="str">
        <f>IFERROR(MATCH($A438,'Guest Log'!$L$4:$L$203,0)+3,"")</f>
        <v/>
      </c>
    </row>
    <row r="439" spans="1:17" ht="15" customHeight="1" x14ac:dyDescent="0.2">
      <c r="A439" s="12">
        <f>438</f>
        <v>438</v>
      </c>
      <c r="B439" s="12" t="str">
        <f>IF(C439="","",IF(C439="Match",INDEX('Match Log'!$A:$A,D439),IF(C439="Tournament",INDEX('Tournament Log'!$A:$A,E439),INDEX('Guest Log'!$A:$A,Q439))))</f>
        <v/>
      </c>
      <c r="C439" s="12" t="str">
        <f t="shared" si="30"/>
        <v/>
      </c>
      <c r="D439" s="31" t="str">
        <f>IFERROR(MATCH($A439,'Match Log'!$K$3:$K$501,0)+2,"")</f>
        <v/>
      </c>
      <c r="E439" s="31" t="str">
        <f>IFERROR(MATCH($A439,'Tournament Log'!$O$4:$O$203,0)+3,"")</f>
        <v/>
      </c>
      <c r="F439" s="12" t="str">
        <f>IF(C439="","",IF(C439="Match",INDEX('Match Log'!$B:$B,D439),IF(C439="Tournament",INDEX('Tournament Log'!$C:$C,E439),INDEX('Guest Log'!$B:$B,Q439))))</f>
        <v/>
      </c>
      <c r="G439" s="12" t="str">
        <f>IF(C439="","",IF(C439="Match",INDEX('Match Log'!$C:$C,D439),IF(C439="Tournament",INDEX('Tournament Log'!$B:$B,E439)&amp;" (Phantom)",INDEX('Guest Log'!$H:$H,Q439)&amp;" (Guest)")))</f>
        <v/>
      </c>
      <c r="H439" s="32" t="str">
        <f t="array" ref="H439">IF(C439="","",IFERROR(LOOKUP(2,1/(($F$1:F438=F439)+($G$1:G438=F439)),IF($F$1:F438=F439,$N$1:N438,$O$1:O438)),1000))</f>
        <v/>
      </c>
      <c r="I439" s="12" t="str">
        <f t="array" ref="I439">IF(C439="","",IF(C439="Tournament",INDEX('Tournament Log'!$J:$J,E439),IF(C439="Guest",IF(INDEX('Guest Log'!$I:$I,Q439)="",1000,INDEX('Guest Log'!$I:$I,Q439)),IFERROR(LOOKUP(2,1/(($F$1:F438=G439)+($G$1:G438=G439)),IF($F$1:F438=G439,$N$1:N438,$O$1:O438)),1000))))</f>
        <v/>
      </c>
      <c r="J439" s="12" t="str">
        <f t="shared" si="31"/>
        <v/>
      </c>
      <c r="K439" s="12" t="str">
        <f>IF(C439="","",IF(C439="Match",IF(INDEX('Match Log'!$D:$D,D439)="Win",1,IF(INDEX('Match Log'!$D:$D,D439)="Draw",0.5,0)),IF(C439="Tournament",INDEX('Tournament Log'!$K:$K,E439),IF(INDEX('Guest Log'!$C:$C,Q439)="Win",1,IF(INDEX('Guest Log'!$C:$C,Q439)="Draw",0.5,0)))))</f>
        <v/>
      </c>
      <c r="L439" s="12" t="str">
        <f>IF(C439="","",IF(C439="Match",32,IF(C439="Tournament",MIN(32*INDEX('Tournament Log'!$D:$D,E439),96),32)))</f>
        <v/>
      </c>
      <c r="M439" s="12" t="str">
        <f t="shared" si="32"/>
        <v/>
      </c>
      <c r="N439" s="12" t="str">
        <f t="shared" si="33"/>
        <v/>
      </c>
      <c r="O439" s="12" t="str">
        <f t="shared" si="34"/>
        <v/>
      </c>
      <c r="P439" s="12" t="str">
        <f>IF(C439="Tournament",INDEX('Tournament Log'!$B:$B,E439),IF(C439="Guest","Guest: "&amp;INDEX('Guest Log'!$H:$H,Q439),""))</f>
        <v/>
      </c>
      <c r="Q439" t="str">
        <f>IFERROR(MATCH($A439,'Guest Log'!$L$4:$L$203,0)+3,"")</f>
        <v/>
      </c>
    </row>
    <row r="440" spans="1:17" ht="15" customHeight="1" x14ac:dyDescent="0.2">
      <c r="A440" s="12">
        <f>439</f>
        <v>439</v>
      </c>
      <c r="B440" s="12" t="str">
        <f>IF(C440="","",IF(C440="Match",INDEX('Match Log'!$A:$A,D440),IF(C440="Tournament",INDEX('Tournament Log'!$A:$A,E440),INDEX('Guest Log'!$A:$A,Q440))))</f>
        <v/>
      </c>
      <c r="C440" s="12" t="str">
        <f t="shared" si="30"/>
        <v/>
      </c>
      <c r="D440" s="31" t="str">
        <f>IFERROR(MATCH($A440,'Match Log'!$K$3:$K$501,0)+2,"")</f>
        <v/>
      </c>
      <c r="E440" s="31" t="str">
        <f>IFERROR(MATCH($A440,'Tournament Log'!$O$4:$O$203,0)+3,"")</f>
        <v/>
      </c>
      <c r="F440" s="12" t="str">
        <f>IF(C440="","",IF(C440="Match",INDEX('Match Log'!$B:$B,D440),IF(C440="Tournament",INDEX('Tournament Log'!$C:$C,E440),INDEX('Guest Log'!$B:$B,Q440))))</f>
        <v/>
      </c>
      <c r="G440" s="12" t="str">
        <f>IF(C440="","",IF(C440="Match",INDEX('Match Log'!$C:$C,D440),IF(C440="Tournament",INDEX('Tournament Log'!$B:$B,E440)&amp;" (Phantom)",INDEX('Guest Log'!$H:$H,Q440)&amp;" (Guest)")))</f>
        <v/>
      </c>
      <c r="H440" s="32" t="str">
        <f t="array" ref="H440">IF(C440="","",IFERROR(LOOKUP(2,1/(($F$1:F439=F440)+($G$1:G439=F440)),IF($F$1:F439=F440,$N$1:N439,$O$1:O439)),1000))</f>
        <v/>
      </c>
      <c r="I440" s="12" t="str">
        <f t="array" ref="I440">IF(C440="","",IF(C440="Tournament",INDEX('Tournament Log'!$J:$J,E440),IF(C440="Guest",IF(INDEX('Guest Log'!$I:$I,Q440)="",1000,INDEX('Guest Log'!$I:$I,Q440)),IFERROR(LOOKUP(2,1/(($F$1:F439=G440)+($G$1:G439=G440)),IF($F$1:F439=G440,$N$1:N439,$O$1:O439)),1000))))</f>
        <v/>
      </c>
      <c r="J440" s="12" t="str">
        <f t="shared" si="31"/>
        <v/>
      </c>
      <c r="K440" s="12" t="str">
        <f>IF(C440="","",IF(C440="Match",IF(INDEX('Match Log'!$D:$D,D440)="Win",1,IF(INDEX('Match Log'!$D:$D,D440)="Draw",0.5,0)),IF(C440="Tournament",INDEX('Tournament Log'!$K:$K,E440),IF(INDEX('Guest Log'!$C:$C,Q440)="Win",1,IF(INDEX('Guest Log'!$C:$C,Q440)="Draw",0.5,0)))))</f>
        <v/>
      </c>
      <c r="L440" s="12" t="str">
        <f>IF(C440="","",IF(C440="Match",32,IF(C440="Tournament",MIN(32*INDEX('Tournament Log'!$D:$D,E440),96),32)))</f>
        <v/>
      </c>
      <c r="M440" s="12" t="str">
        <f t="shared" si="32"/>
        <v/>
      </c>
      <c r="N440" s="12" t="str">
        <f t="shared" si="33"/>
        <v/>
      </c>
      <c r="O440" s="12" t="str">
        <f t="shared" si="34"/>
        <v/>
      </c>
      <c r="P440" s="12" t="str">
        <f>IF(C440="Tournament",INDEX('Tournament Log'!$B:$B,E440),IF(C440="Guest","Guest: "&amp;INDEX('Guest Log'!$H:$H,Q440),""))</f>
        <v/>
      </c>
      <c r="Q440" t="str">
        <f>IFERROR(MATCH($A440,'Guest Log'!$L$4:$L$203,0)+3,"")</f>
        <v/>
      </c>
    </row>
    <row r="441" spans="1:17" ht="15" customHeight="1" x14ac:dyDescent="0.2">
      <c r="A441" s="12">
        <f>440</f>
        <v>440</v>
      </c>
      <c r="B441" s="12" t="str">
        <f>IF(C441="","",IF(C441="Match",INDEX('Match Log'!$A:$A,D441),IF(C441="Tournament",INDEX('Tournament Log'!$A:$A,E441),INDEX('Guest Log'!$A:$A,Q441))))</f>
        <v/>
      </c>
      <c r="C441" s="12" t="str">
        <f t="shared" si="30"/>
        <v/>
      </c>
      <c r="D441" s="31" t="str">
        <f>IFERROR(MATCH($A441,'Match Log'!$K$3:$K$501,0)+2,"")</f>
        <v/>
      </c>
      <c r="E441" s="31" t="str">
        <f>IFERROR(MATCH($A441,'Tournament Log'!$O$4:$O$203,0)+3,"")</f>
        <v/>
      </c>
      <c r="F441" s="12" t="str">
        <f>IF(C441="","",IF(C441="Match",INDEX('Match Log'!$B:$B,D441),IF(C441="Tournament",INDEX('Tournament Log'!$C:$C,E441),INDEX('Guest Log'!$B:$B,Q441))))</f>
        <v/>
      </c>
      <c r="G441" s="12" t="str">
        <f>IF(C441="","",IF(C441="Match",INDEX('Match Log'!$C:$C,D441),IF(C441="Tournament",INDEX('Tournament Log'!$B:$B,E441)&amp;" (Phantom)",INDEX('Guest Log'!$H:$H,Q441)&amp;" (Guest)")))</f>
        <v/>
      </c>
      <c r="H441" s="32" t="str">
        <f t="array" ref="H441">IF(C441="","",IFERROR(LOOKUP(2,1/(($F$1:F440=F441)+($G$1:G440=F441)),IF($F$1:F440=F441,$N$1:N440,$O$1:O440)),1000))</f>
        <v/>
      </c>
      <c r="I441" s="12" t="str">
        <f t="array" ref="I441">IF(C441="","",IF(C441="Tournament",INDEX('Tournament Log'!$J:$J,E441),IF(C441="Guest",IF(INDEX('Guest Log'!$I:$I,Q441)="",1000,INDEX('Guest Log'!$I:$I,Q441)),IFERROR(LOOKUP(2,1/(($F$1:F440=G441)+($G$1:G440=G441)),IF($F$1:F440=G441,$N$1:N440,$O$1:O440)),1000))))</f>
        <v/>
      </c>
      <c r="J441" s="12" t="str">
        <f t="shared" si="31"/>
        <v/>
      </c>
      <c r="K441" s="12" t="str">
        <f>IF(C441="","",IF(C441="Match",IF(INDEX('Match Log'!$D:$D,D441)="Win",1,IF(INDEX('Match Log'!$D:$D,D441)="Draw",0.5,0)),IF(C441="Tournament",INDEX('Tournament Log'!$K:$K,E441),IF(INDEX('Guest Log'!$C:$C,Q441)="Win",1,IF(INDEX('Guest Log'!$C:$C,Q441)="Draw",0.5,0)))))</f>
        <v/>
      </c>
      <c r="L441" s="12" t="str">
        <f>IF(C441="","",IF(C441="Match",32,IF(C441="Tournament",MIN(32*INDEX('Tournament Log'!$D:$D,E441),96),32)))</f>
        <v/>
      </c>
      <c r="M441" s="12" t="str">
        <f t="shared" si="32"/>
        <v/>
      </c>
      <c r="N441" s="12" t="str">
        <f t="shared" si="33"/>
        <v/>
      </c>
      <c r="O441" s="12" t="str">
        <f t="shared" si="34"/>
        <v/>
      </c>
      <c r="P441" s="12" t="str">
        <f>IF(C441="Tournament",INDEX('Tournament Log'!$B:$B,E441),IF(C441="Guest","Guest: "&amp;INDEX('Guest Log'!$H:$H,Q441),""))</f>
        <v/>
      </c>
      <c r="Q441" t="str">
        <f>IFERROR(MATCH($A441,'Guest Log'!$L$4:$L$203,0)+3,"")</f>
        <v/>
      </c>
    </row>
    <row r="442" spans="1:17" ht="15" customHeight="1" x14ac:dyDescent="0.2">
      <c r="A442" s="12">
        <f>441</f>
        <v>441</v>
      </c>
      <c r="B442" s="12" t="str">
        <f>IF(C442="","",IF(C442="Match",INDEX('Match Log'!$A:$A,D442),IF(C442="Tournament",INDEX('Tournament Log'!$A:$A,E442),INDEX('Guest Log'!$A:$A,Q442))))</f>
        <v/>
      </c>
      <c r="C442" s="12" t="str">
        <f t="shared" si="30"/>
        <v/>
      </c>
      <c r="D442" s="31" t="str">
        <f>IFERROR(MATCH($A442,'Match Log'!$K$3:$K$501,0)+2,"")</f>
        <v/>
      </c>
      <c r="E442" s="31" t="str">
        <f>IFERROR(MATCH($A442,'Tournament Log'!$O$4:$O$203,0)+3,"")</f>
        <v/>
      </c>
      <c r="F442" s="12" t="str">
        <f>IF(C442="","",IF(C442="Match",INDEX('Match Log'!$B:$B,D442),IF(C442="Tournament",INDEX('Tournament Log'!$C:$C,E442),INDEX('Guest Log'!$B:$B,Q442))))</f>
        <v/>
      </c>
      <c r="G442" s="12" t="str">
        <f>IF(C442="","",IF(C442="Match",INDEX('Match Log'!$C:$C,D442),IF(C442="Tournament",INDEX('Tournament Log'!$B:$B,E442)&amp;" (Phantom)",INDEX('Guest Log'!$H:$H,Q442)&amp;" (Guest)")))</f>
        <v/>
      </c>
      <c r="H442" s="32" t="str">
        <f t="array" ref="H442">IF(C442="","",IFERROR(LOOKUP(2,1/(($F$1:F441=F442)+($G$1:G441=F442)),IF($F$1:F441=F442,$N$1:N441,$O$1:O441)),1000))</f>
        <v/>
      </c>
      <c r="I442" s="12" t="str">
        <f t="array" ref="I442">IF(C442="","",IF(C442="Tournament",INDEX('Tournament Log'!$J:$J,E442),IF(C442="Guest",IF(INDEX('Guest Log'!$I:$I,Q442)="",1000,INDEX('Guest Log'!$I:$I,Q442)),IFERROR(LOOKUP(2,1/(($F$1:F441=G442)+($G$1:G441=G442)),IF($F$1:F441=G442,$N$1:N441,$O$1:O441)),1000))))</f>
        <v/>
      </c>
      <c r="J442" s="12" t="str">
        <f t="shared" si="31"/>
        <v/>
      </c>
      <c r="K442" s="12" t="str">
        <f>IF(C442="","",IF(C442="Match",IF(INDEX('Match Log'!$D:$D,D442)="Win",1,IF(INDEX('Match Log'!$D:$D,D442)="Draw",0.5,0)),IF(C442="Tournament",INDEX('Tournament Log'!$K:$K,E442),IF(INDEX('Guest Log'!$C:$C,Q442)="Win",1,IF(INDEX('Guest Log'!$C:$C,Q442)="Draw",0.5,0)))))</f>
        <v/>
      </c>
      <c r="L442" s="12" t="str">
        <f>IF(C442="","",IF(C442="Match",32,IF(C442="Tournament",MIN(32*INDEX('Tournament Log'!$D:$D,E442),96),32)))</f>
        <v/>
      </c>
      <c r="M442" s="12" t="str">
        <f t="shared" si="32"/>
        <v/>
      </c>
      <c r="N442" s="12" t="str">
        <f t="shared" si="33"/>
        <v/>
      </c>
      <c r="O442" s="12" t="str">
        <f t="shared" si="34"/>
        <v/>
      </c>
      <c r="P442" s="12" t="str">
        <f>IF(C442="Tournament",INDEX('Tournament Log'!$B:$B,E442),IF(C442="Guest","Guest: "&amp;INDEX('Guest Log'!$H:$H,Q442),""))</f>
        <v/>
      </c>
      <c r="Q442" t="str">
        <f>IFERROR(MATCH($A442,'Guest Log'!$L$4:$L$203,0)+3,"")</f>
        <v/>
      </c>
    </row>
    <row r="443" spans="1:17" ht="15" customHeight="1" x14ac:dyDescent="0.2">
      <c r="A443" s="12">
        <f>442</f>
        <v>442</v>
      </c>
      <c r="B443" s="12" t="str">
        <f>IF(C443="","",IF(C443="Match",INDEX('Match Log'!$A:$A,D443),IF(C443="Tournament",INDEX('Tournament Log'!$A:$A,E443),INDEX('Guest Log'!$A:$A,Q443))))</f>
        <v/>
      </c>
      <c r="C443" s="12" t="str">
        <f t="shared" si="30"/>
        <v/>
      </c>
      <c r="D443" s="31" t="str">
        <f>IFERROR(MATCH($A443,'Match Log'!$K$3:$K$501,0)+2,"")</f>
        <v/>
      </c>
      <c r="E443" s="31" t="str">
        <f>IFERROR(MATCH($A443,'Tournament Log'!$O$4:$O$203,0)+3,"")</f>
        <v/>
      </c>
      <c r="F443" s="12" t="str">
        <f>IF(C443="","",IF(C443="Match",INDEX('Match Log'!$B:$B,D443),IF(C443="Tournament",INDEX('Tournament Log'!$C:$C,E443),INDEX('Guest Log'!$B:$B,Q443))))</f>
        <v/>
      </c>
      <c r="G443" s="12" t="str">
        <f>IF(C443="","",IF(C443="Match",INDEX('Match Log'!$C:$C,D443),IF(C443="Tournament",INDEX('Tournament Log'!$B:$B,E443)&amp;" (Phantom)",INDEX('Guest Log'!$H:$H,Q443)&amp;" (Guest)")))</f>
        <v/>
      </c>
      <c r="H443" s="32" t="str">
        <f t="array" ref="H443">IF(C443="","",IFERROR(LOOKUP(2,1/(($F$1:F442=F443)+($G$1:G442=F443)),IF($F$1:F442=F443,$N$1:N442,$O$1:O442)),1000))</f>
        <v/>
      </c>
      <c r="I443" s="12" t="str">
        <f t="array" ref="I443">IF(C443="","",IF(C443="Tournament",INDEX('Tournament Log'!$J:$J,E443),IF(C443="Guest",IF(INDEX('Guest Log'!$I:$I,Q443)="",1000,INDEX('Guest Log'!$I:$I,Q443)),IFERROR(LOOKUP(2,1/(($F$1:F442=G443)+($G$1:G442=G443)),IF($F$1:F442=G443,$N$1:N442,$O$1:O442)),1000))))</f>
        <v/>
      </c>
      <c r="J443" s="12" t="str">
        <f t="shared" si="31"/>
        <v/>
      </c>
      <c r="K443" s="12" t="str">
        <f>IF(C443="","",IF(C443="Match",IF(INDEX('Match Log'!$D:$D,D443)="Win",1,IF(INDEX('Match Log'!$D:$D,D443)="Draw",0.5,0)),IF(C443="Tournament",INDEX('Tournament Log'!$K:$K,E443),IF(INDEX('Guest Log'!$C:$C,Q443)="Win",1,IF(INDEX('Guest Log'!$C:$C,Q443)="Draw",0.5,0)))))</f>
        <v/>
      </c>
      <c r="L443" s="12" t="str">
        <f>IF(C443="","",IF(C443="Match",32,IF(C443="Tournament",MIN(32*INDEX('Tournament Log'!$D:$D,E443),96),32)))</f>
        <v/>
      </c>
      <c r="M443" s="12" t="str">
        <f t="shared" si="32"/>
        <v/>
      </c>
      <c r="N443" s="12" t="str">
        <f t="shared" si="33"/>
        <v/>
      </c>
      <c r="O443" s="12" t="str">
        <f t="shared" si="34"/>
        <v/>
      </c>
      <c r="P443" s="12" t="str">
        <f>IF(C443="Tournament",INDEX('Tournament Log'!$B:$B,E443),IF(C443="Guest","Guest: "&amp;INDEX('Guest Log'!$H:$H,Q443),""))</f>
        <v/>
      </c>
      <c r="Q443" t="str">
        <f>IFERROR(MATCH($A443,'Guest Log'!$L$4:$L$203,0)+3,"")</f>
        <v/>
      </c>
    </row>
    <row r="444" spans="1:17" ht="15" customHeight="1" x14ac:dyDescent="0.2">
      <c r="A444" s="12">
        <f>443</f>
        <v>443</v>
      </c>
      <c r="B444" s="12" t="str">
        <f>IF(C444="","",IF(C444="Match",INDEX('Match Log'!$A:$A,D444),IF(C444="Tournament",INDEX('Tournament Log'!$A:$A,E444),INDEX('Guest Log'!$A:$A,Q444))))</f>
        <v/>
      </c>
      <c r="C444" s="12" t="str">
        <f t="shared" si="30"/>
        <v/>
      </c>
      <c r="D444" s="31" t="str">
        <f>IFERROR(MATCH($A444,'Match Log'!$K$3:$K$501,0)+2,"")</f>
        <v/>
      </c>
      <c r="E444" s="31" t="str">
        <f>IFERROR(MATCH($A444,'Tournament Log'!$O$4:$O$203,0)+3,"")</f>
        <v/>
      </c>
      <c r="F444" s="12" t="str">
        <f>IF(C444="","",IF(C444="Match",INDEX('Match Log'!$B:$B,D444),IF(C444="Tournament",INDEX('Tournament Log'!$C:$C,E444),INDEX('Guest Log'!$B:$B,Q444))))</f>
        <v/>
      </c>
      <c r="G444" s="12" t="str">
        <f>IF(C444="","",IF(C444="Match",INDEX('Match Log'!$C:$C,D444),IF(C444="Tournament",INDEX('Tournament Log'!$B:$B,E444)&amp;" (Phantom)",INDEX('Guest Log'!$H:$H,Q444)&amp;" (Guest)")))</f>
        <v/>
      </c>
      <c r="H444" s="32" t="str">
        <f t="array" ref="H444">IF(C444="","",IFERROR(LOOKUP(2,1/(($F$1:F443=F444)+($G$1:G443=F444)),IF($F$1:F443=F444,$N$1:N443,$O$1:O443)),1000))</f>
        <v/>
      </c>
      <c r="I444" s="12" t="str">
        <f t="array" ref="I444">IF(C444="","",IF(C444="Tournament",INDEX('Tournament Log'!$J:$J,E444),IF(C444="Guest",IF(INDEX('Guest Log'!$I:$I,Q444)="",1000,INDEX('Guest Log'!$I:$I,Q444)),IFERROR(LOOKUP(2,1/(($F$1:F443=G444)+($G$1:G443=G444)),IF($F$1:F443=G444,$N$1:N443,$O$1:O443)),1000))))</f>
        <v/>
      </c>
      <c r="J444" s="12" t="str">
        <f t="shared" si="31"/>
        <v/>
      </c>
      <c r="K444" s="12" t="str">
        <f>IF(C444="","",IF(C444="Match",IF(INDEX('Match Log'!$D:$D,D444)="Win",1,IF(INDEX('Match Log'!$D:$D,D444)="Draw",0.5,0)),IF(C444="Tournament",INDEX('Tournament Log'!$K:$K,E444),IF(INDEX('Guest Log'!$C:$C,Q444)="Win",1,IF(INDEX('Guest Log'!$C:$C,Q444)="Draw",0.5,0)))))</f>
        <v/>
      </c>
      <c r="L444" s="12" t="str">
        <f>IF(C444="","",IF(C444="Match",32,IF(C444="Tournament",MIN(32*INDEX('Tournament Log'!$D:$D,E444),96),32)))</f>
        <v/>
      </c>
      <c r="M444" s="12" t="str">
        <f t="shared" si="32"/>
        <v/>
      </c>
      <c r="N444" s="12" t="str">
        <f t="shared" si="33"/>
        <v/>
      </c>
      <c r="O444" s="12" t="str">
        <f t="shared" si="34"/>
        <v/>
      </c>
      <c r="P444" s="12" t="str">
        <f>IF(C444="Tournament",INDEX('Tournament Log'!$B:$B,E444),IF(C444="Guest","Guest: "&amp;INDEX('Guest Log'!$H:$H,Q444),""))</f>
        <v/>
      </c>
      <c r="Q444" t="str">
        <f>IFERROR(MATCH($A444,'Guest Log'!$L$4:$L$203,0)+3,"")</f>
        <v/>
      </c>
    </row>
    <row r="445" spans="1:17" ht="15" customHeight="1" x14ac:dyDescent="0.2">
      <c r="A445" s="12">
        <f>444</f>
        <v>444</v>
      </c>
      <c r="B445" s="12" t="str">
        <f>IF(C445="","",IF(C445="Match",INDEX('Match Log'!$A:$A,D445),IF(C445="Tournament",INDEX('Tournament Log'!$A:$A,E445),INDEX('Guest Log'!$A:$A,Q445))))</f>
        <v/>
      </c>
      <c r="C445" s="12" t="str">
        <f t="shared" si="30"/>
        <v/>
      </c>
      <c r="D445" s="31" t="str">
        <f>IFERROR(MATCH($A445,'Match Log'!$K$3:$K$501,0)+2,"")</f>
        <v/>
      </c>
      <c r="E445" s="31" t="str">
        <f>IFERROR(MATCH($A445,'Tournament Log'!$O$4:$O$203,0)+3,"")</f>
        <v/>
      </c>
      <c r="F445" s="12" t="str">
        <f>IF(C445="","",IF(C445="Match",INDEX('Match Log'!$B:$B,D445),IF(C445="Tournament",INDEX('Tournament Log'!$C:$C,E445),INDEX('Guest Log'!$B:$B,Q445))))</f>
        <v/>
      </c>
      <c r="G445" s="12" t="str">
        <f>IF(C445="","",IF(C445="Match",INDEX('Match Log'!$C:$C,D445),IF(C445="Tournament",INDEX('Tournament Log'!$B:$B,E445)&amp;" (Phantom)",INDEX('Guest Log'!$H:$H,Q445)&amp;" (Guest)")))</f>
        <v/>
      </c>
      <c r="H445" s="32" t="str">
        <f t="array" ref="H445">IF(C445="","",IFERROR(LOOKUP(2,1/(($F$1:F444=F445)+($G$1:G444=F445)),IF($F$1:F444=F445,$N$1:N444,$O$1:O444)),1000))</f>
        <v/>
      </c>
      <c r="I445" s="12" t="str">
        <f t="array" ref="I445">IF(C445="","",IF(C445="Tournament",INDEX('Tournament Log'!$J:$J,E445),IF(C445="Guest",IF(INDEX('Guest Log'!$I:$I,Q445)="",1000,INDEX('Guest Log'!$I:$I,Q445)),IFERROR(LOOKUP(2,1/(($F$1:F444=G445)+($G$1:G444=G445)),IF($F$1:F444=G445,$N$1:N444,$O$1:O444)),1000))))</f>
        <v/>
      </c>
      <c r="J445" s="12" t="str">
        <f t="shared" si="31"/>
        <v/>
      </c>
      <c r="K445" s="12" t="str">
        <f>IF(C445="","",IF(C445="Match",IF(INDEX('Match Log'!$D:$D,D445)="Win",1,IF(INDEX('Match Log'!$D:$D,D445)="Draw",0.5,0)),IF(C445="Tournament",INDEX('Tournament Log'!$K:$K,E445),IF(INDEX('Guest Log'!$C:$C,Q445)="Win",1,IF(INDEX('Guest Log'!$C:$C,Q445)="Draw",0.5,0)))))</f>
        <v/>
      </c>
      <c r="L445" s="12" t="str">
        <f>IF(C445="","",IF(C445="Match",32,IF(C445="Tournament",MIN(32*INDEX('Tournament Log'!$D:$D,E445),96),32)))</f>
        <v/>
      </c>
      <c r="M445" s="12" t="str">
        <f t="shared" si="32"/>
        <v/>
      </c>
      <c r="N445" s="12" t="str">
        <f t="shared" si="33"/>
        <v/>
      </c>
      <c r="O445" s="12" t="str">
        <f t="shared" si="34"/>
        <v/>
      </c>
      <c r="P445" s="12" t="str">
        <f>IF(C445="Tournament",INDEX('Tournament Log'!$B:$B,E445),IF(C445="Guest","Guest: "&amp;INDEX('Guest Log'!$H:$H,Q445),""))</f>
        <v/>
      </c>
      <c r="Q445" t="str">
        <f>IFERROR(MATCH($A445,'Guest Log'!$L$4:$L$203,0)+3,"")</f>
        <v/>
      </c>
    </row>
    <row r="446" spans="1:17" ht="15" customHeight="1" x14ac:dyDescent="0.2">
      <c r="A446" s="12">
        <f>445</f>
        <v>445</v>
      </c>
      <c r="B446" s="12" t="str">
        <f>IF(C446="","",IF(C446="Match",INDEX('Match Log'!$A:$A,D446),IF(C446="Tournament",INDEX('Tournament Log'!$A:$A,E446),INDEX('Guest Log'!$A:$A,Q446))))</f>
        <v/>
      </c>
      <c r="C446" s="12" t="str">
        <f t="shared" si="30"/>
        <v/>
      </c>
      <c r="D446" s="31" t="str">
        <f>IFERROR(MATCH($A446,'Match Log'!$K$3:$K$501,0)+2,"")</f>
        <v/>
      </c>
      <c r="E446" s="31" t="str">
        <f>IFERROR(MATCH($A446,'Tournament Log'!$O$4:$O$203,0)+3,"")</f>
        <v/>
      </c>
      <c r="F446" s="12" t="str">
        <f>IF(C446="","",IF(C446="Match",INDEX('Match Log'!$B:$B,D446),IF(C446="Tournament",INDEX('Tournament Log'!$C:$C,E446),INDEX('Guest Log'!$B:$B,Q446))))</f>
        <v/>
      </c>
      <c r="G446" s="12" t="str">
        <f>IF(C446="","",IF(C446="Match",INDEX('Match Log'!$C:$C,D446),IF(C446="Tournament",INDEX('Tournament Log'!$B:$B,E446)&amp;" (Phantom)",INDEX('Guest Log'!$H:$H,Q446)&amp;" (Guest)")))</f>
        <v/>
      </c>
      <c r="H446" s="32" t="str">
        <f t="array" ref="H446">IF(C446="","",IFERROR(LOOKUP(2,1/(($F$1:F445=F446)+($G$1:G445=F446)),IF($F$1:F445=F446,$N$1:N445,$O$1:O445)),1000))</f>
        <v/>
      </c>
      <c r="I446" s="12" t="str">
        <f t="array" ref="I446">IF(C446="","",IF(C446="Tournament",INDEX('Tournament Log'!$J:$J,E446),IF(C446="Guest",IF(INDEX('Guest Log'!$I:$I,Q446)="",1000,INDEX('Guest Log'!$I:$I,Q446)),IFERROR(LOOKUP(2,1/(($F$1:F445=G446)+($G$1:G445=G446)),IF($F$1:F445=G446,$N$1:N445,$O$1:O445)),1000))))</f>
        <v/>
      </c>
      <c r="J446" s="12" t="str">
        <f t="shared" si="31"/>
        <v/>
      </c>
      <c r="K446" s="12" t="str">
        <f>IF(C446="","",IF(C446="Match",IF(INDEX('Match Log'!$D:$D,D446)="Win",1,IF(INDEX('Match Log'!$D:$D,D446)="Draw",0.5,0)),IF(C446="Tournament",INDEX('Tournament Log'!$K:$K,E446),IF(INDEX('Guest Log'!$C:$C,Q446)="Win",1,IF(INDEX('Guest Log'!$C:$C,Q446)="Draw",0.5,0)))))</f>
        <v/>
      </c>
      <c r="L446" s="12" t="str">
        <f>IF(C446="","",IF(C446="Match",32,IF(C446="Tournament",MIN(32*INDEX('Tournament Log'!$D:$D,E446),96),32)))</f>
        <v/>
      </c>
      <c r="M446" s="12" t="str">
        <f t="shared" si="32"/>
        <v/>
      </c>
      <c r="N446" s="12" t="str">
        <f t="shared" si="33"/>
        <v/>
      </c>
      <c r="O446" s="12" t="str">
        <f t="shared" si="34"/>
        <v/>
      </c>
      <c r="P446" s="12" t="str">
        <f>IF(C446="Tournament",INDEX('Tournament Log'!$B:$B,E446),IF(C446="Guest","Guest: "&amp;INDEX('Guest Log'!$H:$H,Q446),""))</f>
        <v/>
      </c>
      <c r="Q446" t="str">
        <f>IFERROR(MATCH($A446,'Guest Log'!$L$4:$L$203,0)+3,"")</f>
        <v/>
      </c>
    </row>
    <row r="447" spans="1:17" ht="15" customHeight="1" x14ac:dyDescent="0.2">
      <c r="A447" s="12">
        <f>446</f>
        <v>446</v>
      </c>
      <c r="B447" s="12" t="str">
        <f>IF(C447="","",IF(C447="Match",INDEX('Match Log'!$A:$A,D447),IF(C447="Tournament",INDEX('Tournament Log'!$A:$A,E447),INDEX('Guest Log'!$A:$A,Q447))))</f>
        <v/>
      </c>
      <c r="C447" s="12" t="str">
        <f t="shared" si="30"/>
        <v/>
      </c>
      <c r="D447" s="31" t="str">
        <f>IFERROR(MATCH($A447,'Match Log'!$K$3:$K$501,0)+2,"")</f>
        <v/>
      </c>
      <c r="E447" s="31" t="str">
        <f>IFERROR(MATCH($A447,'Tournament Log'!$O$4:$O$203,0)+3,"")</f>
        <v/>
      </c>
      <c r="F447" s="12" t="str">
        <f>IF(C447="","",IF(C447="Match",INDEX('Match Log'!$B:$B,D447),IF(C447="Tournament",INDEX('Tournament Log'!$C:$C,E447),INDEX('Guest Log'!$B:$B,Q447))))</f>
        <v/>
      </c>
      <c r="G447" s="12" t="str">
        <f>IF(C447="","",IF(C447="Match",INDEX('Match Log'!$C:$C,D447),IF(C447="Tournament",INDEX('Tournament Log'!$B:$B,E447)&amp;" (Phantom)",INDEX('Guest Log'!$H:$H,Q447)&amp;" (Guest)")))</f>
        <v/>
      </c>
      <c r="H447" s="32" t="str">
        <f t="array" ref="H447">IF(C447="","",IFERROR(LOOKUP(2,1/(($F$1:F446=F447)+($G$1:G446=F447)),IF($F$1:F446=F447,$N$1:N446,$O$1:O446)),1000))</f>
        <v/>
      </c>
      <c r="I447" s="12" t="str">
        <f t="array" ref="I447">IF(C447="","",IF(C447="Tournament",INDEX('Tournament Log'!$J:$J,E447),IF(C447="Guest",IF(INDEX('Guest Log'!$I:$I,Q447)="",1000,INDEX('Guest Log'!$I:$I,Q447)),IFERROR(LOOKUP(2,1/(($F$1:F446=G447)+($G$1:G446=G447)),IF($F$1:F446=G447,$N$1:N446,$O$1:O446)),1000))))</f>
        <v/>
      </c>
      <c r="J447" s="12" t="str">
        <f t="shared" si="31"/>
        <v/>
      </c>
      <c r="K447" s="12" t="str">
        <f>IF(C447="","",IF(C447="Match",IF(INDEX('Match Log'!$D:$D,D447)="Win",1,IF(INDEX('Match Log'!$D:$D,D447)="Draw",0.5,0)),IF(C447="Tournament",INDEX('Tournament Log'!$K:$K,E447),IF(INDEX('Guest Log'!$C:$C,Q447)="Win",1,IF(INDEX('Guest Log'!$C:$C,Q447)="Draw",0.5,0)))))</f>
        <v/>
      </c>
      <c r="L447" s="12" t="str">
        <f>IF(C447="","",IF(C447="Match",32,IF(C447="Tournament",MIN(32*INDEX('Tournament Log'!$D:$D,E447),96),32)))</f>
        <v/>
      </c>
      <c r="M447" s="12" t="str">
        <f t="shared" si="32"/>
        <v/>
      </c>
      <c r="N447" s="12" t="str">
        <f t="shared" si="33"/>
        <v/>
      </c>
      <c r="O447" s="12" t="str">
        <f t="shared" si="34"/>
        <v/>
      </c>
      <c r="P447" s="12" t="str">
        <f>IF(C447="Tournament",INDEX('Tournament Log'!$B:$B,E447),IF(C447="Guest","Guest: "&amp;INDEX('Guest Log'!$H:$H,Q447),""))</f>
        <v/>
      </c>
      <c r="Q447" t="str">
        <f>IFERROR(MATCH($A447,'Guest Log'!$L$4:$L$203,0)+3,"")</f>
        <v/>
      </c>
    </row>
    <row r="448" spans="1:17" ht="15" customHeight="1" x14ac:dyDescent="0.2">
      <c r="A448" s="12">
        <f>447</f>
        <v>447</v>
      </c>
      <c r="B448" s="12" t="str">
        <f>IF(C448="","",IF(C448="Match",INDEX('Match Log'!$A:$A,D448),IF(C448="Tournament",INDEX('Tournament Log'!$A:$A,E448),INDEX('Guest Log'!$A:$A,Q448))))</f>
        <v/>
      </c>
      <c r="C448" s="12" t="str">
        <f t="shared" si="30"/>
        <v/>
      </c>
      <c r="D448" s="31" t="str">
        <f>IFERROR(MATCH($A448,'Match Log'!$K$3:$K$501,0)+2,"")</f>
        <v/>
      </c>
      <c r="E448" s="31" t="str">
        <f>IFERROR(MATCH($A448,'Tournament Log'!$O$4:$O$203,0)+3,"")</f>
        <v/>
      </c>
      <c r="F448" s="12" t="str">
        <f>IF(C448="","",IF(C448="Match",INDEX('Match Log'!$B:$B,D448),IF(C448="Tournament",INDEX('Tournament Log'!$C:$C,E448),INDEX('Guest Log'!$B:$B,Q448))))</f>
        <v/>
      </c>
      <c r="G448" s="12" t="str">
        <f>IF(C448="","",IF(C448="Match",INDEX('Match Log'!$C:$C,D448),IF(C448="Tournament",INDEX('Tournament Log'!$B:$B,E448)&amp;" (Phantom)",INDEX('Guest Log'!$H:$H,Q448)&amp;" (Guest)")))</f>
        <v/>
      </c>
      <c r="H448" s="32" t="str">
        <f t="array" ref="H448">IF(C448="","",IFERROR(LOOKUP(2,1/(($F$1:F447=F448)+($G$1:G447=F448)),IF($F$1:F447=F448,$N$1:N447,$O$1:O447)),1000))</f>
        <v/>
      </c>
      <c r="I448" s="12" t="str">
        <f t="array" ref="I448">IF(C448="","",IF(C448="Tournament",INDEX('Tournament Log'!$J:$J,E448),IF(C448="Guest",IF(INDEX('Guest Log'!$I:$I,Q448)="",1000,INDEX('Guest Log'!$I:$I,Q448)),IFERROR(LOOKUP(2,1/(($F$1:F447=G448)+($G$1:G447=G448)),IF($F$1:F447=G448,$N$1:N447,$O$1:O447)),1000))))</f>
        <v/>
      </c>
      <c r="J448" s="12" t="str">
        <f t="shared" si="31"/>
        <v/>
      </c>
      <c r="K448" s="12" t="str">
        <f>IF(C448="","",IF(C448="Match",IF(INDEX('Match Log'!$D:$D,D448)="Win",1,IF(INDEX('Match Log'!$D:$D,D448)="Draw",0.5,0)),IF(C448="Tournament",INDEX('Tournament Log'!$K:$K,E448),IF(INDEX('Guest Log'!$C:$C,Q448)="Win",1,IF(INDEX('Guest Log'!$C:$C,Q448)="Draw",0.5,0)))))</f>
        <v/>
      </c>
      <c r="L448" s="12" t="str">
        <f>IF(C448="","",IF(C448="Match",32,IF(C448="Tournament",MIN(32*INDEX('Tournament Log'!$D:$D,E448),96),32)))</f>
        <v/>
      </c>
      <c r="M448" s="12" t="str">
        <f t="shared" si="32"/>
        <v/>
      </c>
      <c r="N448" s="12" t="str">
        <f t="shared" si="33"/>
        <v/>
      </c>
      <c r="O448" s="12" t="str">
        <f t="shared" si="34"/>
        <v/>
      </c>
      <c r="P448" s="12" t="str">
        <f>IF(C448="Tournament",INDEX('Tournament Log'!$B:$B,E448),IF(C448="Guest","Guest: "&amp;INDEX('Guest Log'!$H:$H,Q448),""))</f>
        <v/>
      </c>
      <c r="Q448" t="str">
        <f>IFERROR(MATCH($A448,'Guest Log'!$L$4:$L$203,0)+3,"")</f>
        <v/>
      </c>
    </row>
    <row r="449" spans="1:17" ht="15" customHeight="1" x14ac:dyDescent="0.2">
      <c r="A449" s="12">
        <f>448</f>
        <v>448</v>
      </c>
      <c r="B449" s="12" t="str">
        <f>IF(C449="","",IF(C449="Match",INDEX('Match Log'!$A:$A,D449),IF(C449="Tournament",INDEX('Tournament Log'!$A:$A,E449),INDEX('Guest Log'!$A:$A,Q449))))</f>
        <v/>
      </c>
      <c r="C449" s="12" t="str">
        <f t="shared" si="30"/>
        <v/>
      </c>
      <c r="D449" s="31" t="str">
        <f>IFERROR(MATCH($A449,'Match Log'!$K$3:$K$501,0)+2,"")</f>
        <v/>
      </c>
      <c r="E449" s="31" t="str">
        <f>IFERROR(MATCH($A449,'Tournament Log'!$O$4:$O$203,0)+3,"")</f>
        <v/>
      </c>
      <c r="F449" s="12" t="str">
        <f>IF(C449="","",IF(C449="Match",INDEX('Match Log'!$B:$B,D449),IF(C449="Tournament",INDEX('Tournament Log'!$C:$C,E449),INDEX('Guest Log'!$B:$B,Q449))))</f>
        <v/>
      </c>
      <c r="G449" s="12" t="str">
        <f>IF(C449="","",IF(C449="Match",INDEX('Match Log'!$C:$C,D449),IF(C449="Tournament",INDEX('Tournament Log'!$B:$B,E449)&amp;" (Phantom)",INDEX('Guest Log'!$H:$H,Q449)&amp;" (Guest)")))</f>
        <v/>
      </c>
      <c r="H449" s="32" t="str">
        <f t="array" ref="H449">IF(C449="","",IFERROR(LOOKUP(2,1/(($F$1:F448=F449)+($G$1:G448=F449)),IF($F$1:F448=F449,$N$1:N448,$O$1:O448)),1000))</f>
        <v/>
      </c>
      <c r="I449" s="12" t="str">
        <f t="array" ref="I449">IF(C449="","",IF(C449="Tournament",INDEX('Tournament Log'!$J:$J,E449),IF(C449="Guest",IF(INDEX('Guest Log'!$I:$I,Q449)="",1000,INDEX('Guest Log'!$I:$I,Q449)),IFERROR(LOOKUP(2,1/(($F$1:F448=G449)+($G$1:G448=G449)),IF($F$1:F448=G449,$N$1:N448,$O$1:O448)),1000))))</f>
        <v/>
      </c>
      <c r="J449" s="12" t="str">
        <f t="shared" si="31"/>
        <v/>
      </c>
      <c r="K449" s="12" t="str">
        <f>IF(C449="","",IF(C449="Match",IF(INDEX('Match Log'!$D:$D,D449)="Win",1,IF(INDEX('Match Log'!$D:$D,D449)="Draw",0.5,0)),IF(C449="Tournament",INDEX('Tournament Log'!$K:$K,E449),IF(INDEX('Guest Log'!$C:$C,Q449)="Win",1,IF(INDEX('Guest Log'!$C:$C,Q449)="Draw",0.5,0)))))</f>
        <v/>
      </c>
      <c r="L449" s="12" t="str">
        <f>IF(C449="","",IF(C449="Match",32,IF(C449="Tournament",MIN(32*INDEX('Tournament Log'!$D:$D,E449),96),32)))</f>
        <v/>
      </c>
      <c r="M449" s="12" t="str">
        <f t="shared" si="32"/>
        <v/>
      </c>
      <c r="N449" s="12" t="str">
        <f t="shared" si="33"/>
        <v/>
      </c>
      <c r="O449" s="12" t="str">
        <f t="shared" si="34"/>
        <v/>
      </c>
      <c r="P449" s="12" t="str">
        <f>IF(C449="Tournament",INDEX('Tournament Log'!$B:$B,E449),IF(C449="Guest","Guest: "&amp;INDEX('Guest Log'!$H:$H,Q449),""))</f>
        <v/>
      </c>
      <c r="Q449" t="str">
        <f>IFERROR(MATCH($A449,'Guest Log'!$L$4:$L$203,0)+3,"")</f>
        <v/>
      </c>
    </row>
    <row r="450" spans="1:17" ht="15" customHeight="1" x14ac:dyDescent="0.2">
      <c r="A450" s="12">
        <f>449</f>
        <v>449</v>
      </c>
      <c r="B450" s="12" t="str">
        <f>IF(C450="","",IF(C450="Match",INDEX('Match Log'!$A:$A,D450),IF(C450="Tournament",INDEX('Tournament Log'!$A:$A,E450),INDEX('Guest Log'!$A:$A,Q450))))</f>
        <v/>
      </c>
      <c r="C450" s="12" t="str">
        <f t="shared" ref="C450:C513" si="35">IF(D450&lt;&gt;"","Match",IF(E450&lt;&gt;"","Tournament",IF(Q450&lt;&gt;"","Guest","")))</f>
        <v/>
      </c>
      <c r="D450" s="31" t="str">
        <f>IFERROR(MATCH($A450,'Match Log'!$K$3:$K$501,0)+2,"")</f>
        <v/>
      </c>
      <c r="E450" s="31" t="str">
        <f>IFERROR(MATCH($A450,'Tournament Log'!$O$4:$O$203,0)+3,"")</f>
        <v/>
      </c>
      <c r="F450" s="12" t="str">
        <f>IF(C450="","",IF(C450="Match",INDEX('Match Log'!$B:$B,D450),IF(C450="Tournament",INDEX('Tournament Log'!$C:$C,E450),INDEX('Guest Log'!$B:$B,Q450))))</f>
        <v/>
      </c>
      <c r="G450" s="12" t="str">
        <f>IF(C450="","",IF(C450="Match",INDEX('Match Log'!$C:$C,D450),IF(C450="Tournament",INDEX('Tournament Log'!$B:$B,E450)&amp;" (Phantom)",INDEX('Guest Log'!$H:$H,Q450)&amp;" (Guest)")))</f>
        <v/>
      </c>
      <c r="H450" s="32" t="str">
        <f t="array" ref="H450">IF(C450="","",IFERROR(LOOKUP(2,1/(($F$1:F449=F450)+($G$1:G449=F450)),IF($F$1:F449=F450,$N$1:N449,$O$1:O449)),1000))</f>
        <v/>
      </c>
      <c r="I450" s="12" t="str">
        <f t="array" ref="I450">IF(C450="","",IF(C450="Tournament",INDEX('Tournament Log'!$J:$J,E450),IF(C450="Guest",IF(INDEX('Guest Log'!$I:$I,Q450)="",1000,INDEX('Guest Log'!$I:$I,Q450)),IFERROR(LOOKUP(2,1/(($F$1:F449=G450)+($G$1:G449=G450)),IF($F$1:F449=G450,$N$1:N449,$O$1:O449)),1000))))</f>
        <v/>
      </c>
      <c r="J450" s="12" t="str">
        <f t="shared" ref="J450:J513" si="36">IF(C450="","",1/(1+10^((I450-H450)/400)))</f>
        <v/>
      </c>
      <c r="K450" s="12" t="str">
        <f>IF(C450="","",IF(C450="Match",IF(INDEX('Match Log'!$D:$D,D450)="Win",1,IF(INDEX('Match Log'!$D:$D,D450)="Draw",0.5,0)),IF(C450="Tournament",INDEX('Tournament Log'!$K:$K,E450),IF(INDEX('Guest Log'!$C:$C,Q450)="Win",1,IF(INDEX('Guest Log'!$C:$C,Q450)="Draw",0.5,0)))))</f>
        <v/>
      </c>
      <c r="L450" s="12" t="str">
        <f>IF(C450="","",IF(C450="Match",32,IF(C450="Tournament",MIN(32*INDEX('Tournament Log'!$D:$D,E450),96),32)))</f>
        <v/>
      </c>
      <c r="M450" s="12" t="str">
        <f t="shared" ref="M450:M513" si="37">IF(C450="","",ROUND(L450*(K450-J450),0))</f>
        <v/>
      </c>
      <c r="N450" s="12" t="str">
        <f t="shared" ref="N450:N513" si="38">IF(C450="","",H450+M450)</f>
        <v/>
      </c>
      <c r="O450" s="12" t="str">
        <f t="shared" ref="O450:O513" si="39">IF(C450="","",IF(C450="Match",I450-M450,""))</f>
        <v/>
      </c>
      <c r="P450" s="12" t="str">
        <f>IF(C450="Tournament",INDEX('Tournament Log'!$B:$B,E450),IF(C450="Guest","Guest: "&amp;INDEX('Guest Log'!$H:$H,Q450),""))</f>
        <v/>
      </c>
      <c r="Q450" t="str">
        <f>IFERROR(MATCH($A450,'Guest Log'!$L$4:$L$203,0)+3,"")</f>
        <v/>
      </c>
    </row>
    <row r="451" spans="1:17" ht="15" customHeight="1" x14ac:dyDescent="0.2">
      <c r="A451" s="12">
        <f>450</f>
        <v>450</v>
      </c>
      <c r="B451" s="12" t="str">
        <f>IF(C451="","",IF(C451="Match",INDEX('Match Log'!$A:$A,D451),IF(C451="Tournament",INDEX('Tournament Log'!$A:$A,E451),INDEX('Guest Log'!$A:$A,Q451))))</f>
        <v/>
      </c>
      <c r="C451" s="12" t="str">
        <f t="shared" si="35"/>
        <v/>
      </c>
      <c r="D451" s="31" t="str">
        <f>IFERROR(MATCH($A451,'Match Log'!$K$3:$K$501,0)+2,"")</f>
        <v/>
      </c>
      <c r="E451" s="31" t="str">
        <f>IFERROR(MATCH($A451,'Tournament Log'!$O$4:$O$203,0)+3,"")</f>
        <v/>
      </c>
      <c r="F451" s="12" t="str">
        <f>IF(C451="","",IF(C451="Match",INDEX('Match Log'!$B:$B,D451),IF(C451="Tournament",INDEX('Tournament Log'!$C:$C,E451),INDEX('Guest Log'!$B:$B,Q451))))</f>
        <v/>
      </c>
      <c r="G451" s="12" t="str">
        <f>IF(C451="","",IF(C451="Match",INDEX('Match Log'!$C:$C,D451),IF(C451="Tournament",INDEX('Tournament Log'!$B:$B,E451)&amp;" (Phantom)",INDEX('Guest Log'!$H:$H,Q451)&amp;" (Guest)")))</f>
        <v/>
      </c>
      <c r="H451" s="32" t="str">
        <f t="array" ref="H451">IF(C451="","",IFERROR(LOOKUP(2,1/(($F$1:F450=F451)+($G$1:G450=F451)),IF($F$1:F450=F451,$N$1:N450,$O$1:O450)),1000))</f>
        <v/>
      </c>
      <c r="I451" s="12" t="str">
        <f t="array" ref="I451">IF(C451="","",IF(C451="Tournament",INDEX('Tournament Log'!$J:$J,E451),IF(C451="Guest",IF(INDEX('Guest Log'!$I:$I,Q451)="",1000,INDEX('Guest Log'!$I:$I,Q451)),IFERROR(LOOKUP(2,1/(($F$1:F450=G451)+($G$1:G450=G451)),IF($F$1:F450=G451,$N$1:N450,$O$1:O450)),1000))))</f>
        <v/>
      </c>
      <c r="J451" s="12" t="str">
        <f t="shared" si="36"/>
        <v/>
      </c>
      <c r="K451" s="12" t="str">
        <f>IF(C451="","",IF(C451="Match",IF(INDEX('Match Log'!$D:$D,D451)="Win",1,IF(INDEX('Match Log'!$D:$D,D451)="Draw",0.5,0)),IF(C451="Tournament",INDEX('Tournament Log'!$K:$K,E451),IF(INDEX('Guest Log'!$C:$C,Q451)="Win",1,IF(INDEX('Guest Log'!$C:$C,Q451)="Draw",0.5,0)))))</f>
        <v/>
      </c>
      <c r="L451" s="12" t="str">
        <f>IF(C451="","",IF(C451="Match",32,IF(C451="Tournament",MIN(32*INDEX('Tournament Log'!$D:$D,E451),96),32)))</f>
        <v/>
      </c>
      <c r="M451" s="12" t="str">
        <f t="shared" si="37"/>
        <v/>
      </c>
      <c r="N451" s="12" t="str">
        <f t="shared" si="38"/>
        <v/>
      </c>
      <c r="O451" s="12" t="str">
        <f t="shared" si="39"/>
        <v/>
      </c>
      <c r="P451" s="12" t="str">
        <f>IF(C451="Tournament",INDEX('Tournament Log'!$B:$B,E451),IF(C451="Guest","Guest: "&amp;INDEX('Guest Log'!$H:$H,Q451),""))</f>
        <v/>
      </c>
      <c r="Q451" t="str">
        <f>IFERROR(MATCH($A451,'Guest Log'!$L$4:$L$203,0)+3,"")</f>
        <v/>
      </c>
    </row>
    <row r="452" spans="1:17" ht="15" customHeight="1" x14ac:dyDescent="0.2">
      <c r="A452" s="12">
        <f>451</f>
        <v>451</v>
      </c>
      <c r="B452" s="12" t="str">
        <f>IF(C452="","",IF(C452="Match",INDEX('Match Log'!$A:$A,D452),IF(C452="Tournament",INDEX('Tournament Log'!$A:$A,E452),INDEX('Guest Log'!$A:$A,Q452))))</f>
        <v/>
      </c>
      <c r="C452" s="12" t="str">
        <f t="shared" si="35"/>
        <v/>
      </c>
      <c r="D452" s="31" t="str">
        <f>IFERROR(MATCH($A452,'Match Log'!$K$3:$K$501,0)+2,"")</f>
        <v/>
      </c>
      <c r="E452" s="31" t="str">
        <f>IFERROR(MATCH($A452,'Tournament Log'!$O$4:$O$203,0)+3,"")</f>
        <v/>
      </c>
      <c r="F452" s="12" t="str">
        <f>IF(C452="","",IF(C452="Match",INDEX('Match Log'!$B:$B,D452),IF(C452="Tournament",INDEX('Tournament Log'!$C:$C,E452),INDEX('Guest Log'!$B:$B,Q452))))</f>
        <v/>
      </c>
      <c r="G452" s="12" t="str">
        <f>IF(C452="","",IF(C452="Match",INDEX('Match Log'!$C:$C,D452),IF(C452="Tournament",INDEX('Tournament Log'!$B:$B,E452)&amp;" (Phantom)",INDEX('Guest Log'!$H:$H,Q452)&amp;" (Guest)")))</f>
        <v/>
      </c>
      <c r="H452" s="32" t="str">
        <f t="array" ref="H452">IF(C452="","",IFERROR(LOOKUP(2,1/(($F$1:F451=F452)+($G$1:G451=F452)),IF($F$1:F451=F452,$N$1:N451,$O$1:O451)),1000))</f>
        <v/>
      </c>
      <c r="I452" s="12" t="str">
        <f t="array" ref="I452">IF(C452="","",IF(C452="Tournament",INDEX('Tournament Log'!$J:$J,E452),IF(C452="Guest",IF(INDEX('Guest Log'!$I:$I,Q452)="",1000,INDEX('Guest Log'!$I:$I,Q452)),IFERROR(LOOKUP(2,1/(($F$1:F451=G452)+($G$1:G451=G452)),IF($F$1:F451=G452,$N$1:N451,$O$1:O451)),1000))))</f>
        <v/>
      </c>
      <c r="J452" s="12" t="str">
        <f t="shared" si="36"/>
        <v/>
      </c>
      <c r="K452" s="12" t="str">
        <f>IF(C452="","",IF(C452="Match",IF(INDEX('Match Log'!$D:$D,D452)="Win",1,IF(INDEX('Match Log'!$D:$D,D452)="Draw",0.5,0)),IF(C452="Tournament",INDEX('Tournament Log'!$K:$K,E452),IF(INDEX('Guest Log'!$C:$C,Q452)="Win",1,IF(INDEX('Guest Log'!$C:$C,Q452)="Draw",0.5,0)))))</f>
        <v/>
      </c>
      <c r="L452" s="12" t="str">
        <f>IF(C452="","",IF(C452="Match",32,IF(C452="Tournament",MIN(32*INDEX('Tournament Log'!$D:$D,E452),96),32)))</f>
        <v/>
      </c>
      <c r="M452" s="12" t="str">
        <f t="shared" si="37"/>
        <v/>
      </c>
      <c r="N452" s="12" t="str">
        <f t="shared" si="38"/>
        <v/>
      </c>
      <c r="O452" s="12" t="str">
        <f t="shared" si="39"/>
        <v/>
      </c>
      <c r="P452" s="12" t="str">
        <f>IF(C452="Tournament",INDEX('Tournament Log'!$B:$B,E452),IF(C452="Guest","Guest: "&amp;INDEX('Guest Log'!$H:$H,Q452),""))</f>
        <v/>
      </c>
      <c r="Q452" t="str">
        <f>IFERROR(MATCH($A452,'Guest Log'!$L$4:$L$203,0)+3,"")</f>
        <v/>
      </c>
    </row>
    <row r="453" spans="1:17" ht="15" customHeight="1" x14ac:dyDescent="0.2">
      <c r="A453" s="12">
        <f>452</f>
        <v>452</v>
      </c>
      <c r="B453" s="12" t="str">
        <f>IF(C453="","",IF(C453="Match",INDEX('Match Log'!$A:$A,D453),IF(C453="Tournament",INDEX('Tournament Log'!$A:$A,E453),INDEX('Guest Log'!$A:$A,Q453))))</f>
        <v/>
      </c>
      <c r="C453" s="12" t="str">
        <f t="shared" si="35"/>
        <v/>
      </c>
      <c r="D453" s="31" t="str">
        <f>IFERROR(MATCH($A453,'Match Log'!$K$3:$K$501,0)+2,"")</f>
        <v/>
      </c>
      <c r="E453" s="31" t="str">
        <f>IFERROR(MATCH($A453,'Tournament Log'!$O$4:$O$203,0)+3,"")</f>
        <v/>
      </c>
      <c r="F453" s="12" t="str">
        <f>IF(C453="","",IF(C453="Match",INDEX('Match Log'!$B:$B,D453),IF(C453="Tournament",INDEX('Tournament Log'!$C:$C,E453),INDEX('Guest Log'!$B:$B,Q453))))</f>
        <v/>
      </c>
      <c r="G453" s="12" t="str">
        <f>IF(C453="","",IF(C453="Match",INDEX('Match Log'!$C:$C,D453),IF(C453="Tournament",INDEX('Tournament Log'!$B:$B,E453)&amp;" (Phantom)",INDEX('Guest Log'!$H:$H,Q453)&amp;" (Guest)")))</f>
        <v/>
      </c>
      <c r="H453" s="32" t="str">
        <f t="array" ref="H453">IF(C453="","",IFERROR(LOOKUP(2,1/(($F$1:F452=F453)+($G$1:G452=F453)),IF($F$1:F452=F453,$N$1:N452,$O$1:O452)),1000))</f>
        <v/>
      </c>
      <c r="I453" s="12" t="str">
        <f t="array" ref="I453">IF(C453="","",IF(C453="Tournament",INDEX('Tournament Log'!$J:$J,E453),IF(C453="Guest",IF(INDEX('Guest Log'!$I:$I,Q453)="",1000,INDEX('Guest Log'!$I:$I,Q453)),IFERROR(LOOKUP(2,1/(($F$1:F452=G453)+($G$1:G452=G453)),IF($F$1:F452=G453,$N$1:N452,$O$1:O452)),1000))))</f>
        <v/>
      </c>
      <c r="J453" s="12" t="str">
        <f t="shared" si="36"/>
        <v/>
      </c>
      <c r="K453" s="12" t="str">
        <f>IF(C453="","",IF(C453="Match",IF(INDEX('Match Log'!$D:$D,D453)="Win",1,IF(INDEX('Match Log'!$D:$D,D453)="Draw",0.5,0)),IF(C453="Tournament",INDEX('Tournament Log'!$K:$K,E453),IF(INDEX('Guest Log'!$C:$C,Q453)="Win",1,IF(INDEX('Guest Log'!$C:$C,Q453)="Draw",0.5,0)))))</f>
        <v/>
      </c>
      <c r="L453" s="12" t="str">
        <f>IF(C453="","",IF(C453="Match",32,IF(C453="Tournament",MIN(32*INDEX('Tournament Log'!$D:$D,E453),96),32)))</f>
        <v/>
      </c>
      <c r="M453" s="12" t="str">
        <f t="shared" si="37"/>
        <v/>
      </c>
      <c r="N453" s="12" t="str">
        <f t="shared" si="38"/>
        <v/>
      </c>
      <c r="O453" s="12" t="str">
        <f t="shared" si="39"/>
        <v/>
      </c>
      <c r="P453" s="12" t="str">
        <f>IF(C453="Tournament",INDEX('Tournament Log'!$B:$B,E453),IF(C453="Guest","Guest: "&amp;INDEX('Guest Log'!$H:$H,Q453),""))</f>
        <v/>
      </c>
      <c r="Q453" t="str">
        <f>IFERROR(MATCH($A453,'Guest Log'!$L$4:$L$203,0)+3,"")</f>
        <v/>
      </c>
    </row>
    <row r="454" spans="1:17" ht="15" customHeight="1" x14ac:dyDescent="0.2">
      <c r="A454" s="12">
        <f>453</f>
        <v>453</v>
      </c>
      <c r="B454" s="12" t="str">
        <f>IF(C454="","",IF(C454="Match",INDEX('Match Log'!$A:$A,D454),IF(C454="Tournament",INDEX('Tournament Log'!$A:$A,E454),INDEX('Guest Log'!$A:$A,Q454))))</f>
        <v/>
      </c>
      <c r="C454" s="12" t="str">
        <f t="shared" si="35"/>
        <v/>
      </c>
      <c r="D454" s="31" t="str">
        <f>IFERROR(MATCH($A454,'Match Log'!$K$3:$K$501,0)+2,"")</f>
        <v/>
      </c>
      <c r="E454" s="31" t="str">
        <f>IFERROR(MATCH($A454,'Tournament Log'!$O$4:$O$203,0)+3,"")</f>
        <v/>
      </c>
      <c r="F454" s="12" t="str">
        <f>IF(C454="","",IF(C454="Match",INDEX('Match Log'!$B:$B,D454),IF(C454="Tournament",INDEX('Tournament Log'!$C:$C,E454),INDEX('Guest Log'!$B:$B,Q454))))</f>
        <v/>
      </c>
      <c r="G454" s="12" t="str">
        <f>IF(C454="","",IF(C454="Match",INDEX('Match Log'!$C:$C,D454),IF(C454="Tournament",INDEX('Tournament Log'!$B:$B,E454)&amp;" (Phantom)",INDEX('Guest Log'!$H:$H,Q454)&amp;" (Guest)")))</f>
        <v/>
      </c>
      <c r="H454" s="32" t="str">
        <f t="array" ref="H454">IF(C454="","",IFERROR(LOOKUP(2,1/(($F$1:F453=F454)+($G$1:G453=F454)),IF($F$1:F453=F454,$N$1:N453,$O$1:O453)),1000))</f>
        <v/>
      </c>
      <c r="I454" s="12" t="str">
        <f t="array" ref="I454">IF(C454="","",IF(C454="Tournament",INDEX('Tournament Log'!$J:$J,E454),IF(C454="Guest",IF(INDEX('Guest Log'!$I:$I,Q454)="",1000,INDEX('Guest Log'!$I:$I,Q454)),IFERROR(LOOKUP(2,1/(($F$1:F453=G454)+($G$1:G453=G454)),IF($F$1:F453=G454,$N$1:N453,$O$1:O453)),1000))))</f>
        <v/>
      </c>
      <c r="J454" s="12" t="str">
        <f t="shared" si="36"/>
        <v/>
      </c>
      <c r="K454" s="12" t="str">
        <f>IF(C454="","",IF(C454="Match",IF(INDEX('Match Log'!$D:$D,D454)="Win",1,IF(INDEX('Match Log'!$D:$D,D454)="Draw",0.5,0)),IF(C454="Tournament",INDEX('Tournament Log'!$K:$K,E454),IF(INDEX('Guest Log'!$C:$C,Q454)="Win",1,IF(INDEX('Guest Log'!$C:$C,Q454)="Draw",0.5,0)))))</f>
        <v/>
      </c>
      <c r="L454" s="12" t="str">
        <f>IF(C454="","",IF(C454="Match",32,IF(C454="Tournament",MIN(32*INDEX('Tournament Log'!$D:$D,E454),96),32)))</f>
        <v/>
      </c>
      <c r="M454" s="12" t="str">
        <f t="shared" si="37"/>
        <v/>
      </c>
      <c r="N454" s="12" t="str">
        <f t="shared" si="38"/>
        <v/>
      </c>
      <c r="O454" s="12" t="str">
        <f t="shared" si="39"/>
        <v/>
      </c>
      <c r="P454" s="12" t="str">
        <f>IF(C454="Tournament",INDEX('Tournament Log'!$B:$B,E454),IF(C454="Guest","Guest: "&amp;INDEX('Guest Log'!$H:$H,Q454),""))</f>
        <v/>
      </c>
      <c r="Q454" t="str">
        <f>IFERROR(MATCH($A454,'Guest Log'!$L$4:$L$203,0)+3,"")</f>
        <v/>
      </c>
    </row>
    <row r="455" spans="1:17" ht="15" customHeight="1" x14ac:dyDescent="0.2">
      <c r="A455" s="12">
        <f>454</f>
        <v>454</v>
      </c>
      <c r="B455" s="12" t="str">
        <f>IF(C455="","",IF(C455="Match",INDEX('Match Log'!$A:$A,D455),IF(C455="Tournament",INDEX('Tournament Log'!$A:$A,E455),INDEX('Guest Log'!$A:$A,Q455))))</f>
        <v/>
      </c>
      <c r="C455" s="12" t="str">
        <f t="shared" si="35"/>
        <v/>
      </c>
      <c r="D455" s="31" t="str">
        <f>IFERROR(MATCH($A455,'Match Log'!$K$3:$K$501,0)+2,"")</f>
        <v/>
      </c>
      <c r="E455" s="31" t="str">
        <f>IFERROR(MATCH($A455,'Tournament Log'!$O$4:$O$203,0)+3,"")</f>
        <v/>
      </c>
      <c r="F455" s="12" t="str">
        <f>IF(C455="","",IF(C455="Match",INDEX('Match Log'!$B:$B,D455),IF(C455="Tournament",INDEX('Tournament Log'!$C:$C,E455),INDEX('Guest Log'!$B:$B,Q455))))</f>
        <v/>
      </c>
      <c r="G455" s="12" t="str">
        <f>IF(C455="","",IF(C455="Match",INDEX('Match Log'!$C:$C,D455),IF(C455="Tournament",INDEX('Tournament Log'!$B:$B,E455)&amp;" (Phantom)",INDEX('Guest Log'!$H:$H,Q455)&amp;" (Guest)")))</f>
        <v/>
      </c>
      <c r="H455" s="32" t="str">
        <f t="array" ref="H455">IF(C455="","",IFERROR(LOOKUP(2,1/(($F$1:F454=F455)+($G$1:G454=F455)),IF($F$1:F454=F455,$N$1:N454,$O$1:O454)),1000))</f>
        <v/>
      </c>
      <c r="I455" s="12" t="str">
        <f t="array" ref="I455">IF(C455="","",IF(C455="Tournament",INDEX('Tournament Log'!$J:$J,E455),IF(C455="Guest",IF(INDEX('Guest Log'!$I:$I,Q455)="",1000,INDEX('Guest Log'!$I:$I,Q455)),IFERROR(LOOKUP(2,1/(($F$1:F454=G455)+($G$1:G454=G455)),IF($F$1:F454=G455,$N$1:N454,$O$1:O454)),1000))))</f>
        <v/>
      </c>
      <c r="J455" s="12" t="str">
        <f t="shared" si="36"/>
        <v/>
      </c>
      <c r="K455" s="12" t="str">
        <f>IF(C455="","",IF(C455="Match",IF(INDEX('Match Log'!$D:$D,D455)="Win",1,IF(INDEX('Match Log'!$D:$D,D455)="Draw",0.5,0)),IF(C455="Tournament",INDEX('Tournament Log'!$K:$K,E455),IF(INDEX('Guest Log'!$C:$C,Q455)="Win",1,IF(INDEX('Guest Log'!$C:$C,Q455)="Draw",0.5,0)))))</f>
        <v/>
      </c>
      <c r="L455" s="12" t="str">
        <f>IF(C455="","",IF(C455="Match",32,IF(C455="Tournament",MIN(32*INDEX('Tournament Log'!$D:$D,E455),96),32)))</f>
        <v/>
      </c>
      <c r="M455" s="12" t="str">
        <f t="shared" si="37"/>
        <v/>
      </c>
      <c r="N455" s="12" t="str">
        <f t="shared" si="38"/>
        <v/>
      </c>
      <c r="O455" s="12" t="str">
        <f t="shared" si="39"/>
        <v/>
      </c>
      <c r="P455" s="12" t="str">
        <f>IF(C455="Tournament",INDEX('Tournament Log'!$B:$B,E455),IF(C455="Guest","Guest: "&amp;INDEX('Guest Log'!$H:$H,Q455),""))</f>
        <v/>
      </c>
      <c r="Q455" t="str">
        <f>IFERROR(MATCH($A455,'Guest Log'!$L$4:$L$203,0)+3,"")</f>
        <v/>
      </c>
    </row>
    <row r="456" spans="1:17" ht="15" customHeight="1" x14ac:dyDescent="0.2">
      <c r="A456" s="12">
        <f>455</f>
        <v>455</v>
      </c>
      <c r="B456" s="12" t="str">
        <f>IF(C456="","",IF(C456="Match",INDEX('Match Log'!$A:$A,D456),IF(C456="Tournament",INDEX('Tournament Log'!$A:$A,E456),INDEX('Guest Log'!$A:$A,Q456))))</f>
        <v/>
      </c>
      <c r="C456" s="12" t="str">
        <f t="shared" si="35"/>
        <v/>
      </c>
      <c r="D456" s="31" t="str">
        <f>IFERROR(MATCH($A456,'Match Log'!$K$3:$K$501,0)+2,"")</f>
        <v/>
      </c>
      <c r="E456" s="31" t="str">
        <f>IFERROR(MATCH($A456,'Tournament Log'!$O$4:$O$203,0)+3,"")</f>
        <v/>
      </c>
      <c r="F456" s="12" t="str">
        <f>IF(C456="","",IF(C456="Match",INDEX('Match Log'!$B:$B,D456),IF(C456="Tournament",INDEX('Tournament Log'!$C:$C,E456),INDEX('Guest Log'!$B:$B,Q456))))</f>
        <v/>
      </c>
      <c r="G456" s="12" t="str">
        <f>IF(C456="","",IF(C456="Match",INDEX('Match Log'!$C:$C,D456),IF(C456="Tournament",INDEX('Tournament Log'!$B:$B,E456)&amp;" (Phantom)",INDEX('Guest Log'!$H:$H,Q456)&amp;" (Guest)")))</f>
        <v/>
      </c>
      <c r="H456" s="32" t="str">
        <f t="array" ref="H456">IF(C456="","",IFERROR(LOOKUP(2,1/(($F$1:F455=F456)+($G$1:G455=F456)),IF($F$1:F455=F456,$N$1:N455,$O$1:O455)),1000))</f>
        <v/>
      </c>
      <c r="I456" s="12" t="str">
        <f t="array" ref="I456">IF(C456="","",IF(C456="Tournament",INDEX('Tournament Log'!$J:$J,E456),IF(C456="Guest",IF(INDEX('Guest Log'!$I:$I,Q456)="",1000,INDEX('Guest Log'!$I:$I,Q456)),IFERROR(LOOKUP(2,1/(($F$1:F455=G456)+($G$1:G455=G456)),IF($F$1:F455=G456,$N$1:N455,$O$1:O455)),1000))))</f>
        <v/>
      </c>
      <c r="J456" s="12" t="str">
        <f t="shared" si="36"/>
        <v/>
      </c>
      <c r="K456" s="12" t="str">
        <f>IF(C456="","",IF(C456="Match",IF(INDEX('Match Log'!$D:$D,D456)="Win",1,IF(INDEX('Match Log'!$D:$D,D456)="Draw",0.5,0)),IF(C456="Tournament",INDEX('Tournament Log'!$K:$K,E456),IF(INDEX('Guest Log'!$C:$C,Q456)="Win",1,IF(INDEX('Guest Log'!$C:$C,Q456)="Draw",0.5,0)))))</f>
        <v/>
      </c>
      <c r="L456" s="12" t="str">
        <f>IF(C456="","",IF(C456="Match",32,IF(C456="Tournament",MIN(32*INDEX('Tournament Log'!$D:$D,E456),96),32)))</f>
        <v/>
      </c>
      <c r="M456" s="12" t="str">
        <f t="shared" si="37"/>
        <v/>
      </c>
      <c r="N456" s="12" t="str">
        <f t="shared" si="38"/>
        <v/>
      </c>
      <c r="O456" s="12" t="str">
        <f t="shared" si="39"/>
        <v/>
      </c>
      <c r="P456" s="12" t="str">
        <f>IF(C456="Tournament",INDEX('Tournament Log'!$B:$B,E456),IF(C456="Guest","Guest: "&amp;INDEX('Guest Log'!$H:$H,Q456),""))</f>
        <v/>
      </c>
      <c r="Q456" t="str">
        <f>IFERROR(MATCH($A456,'Guest Log'!$L$4:$L$203,0)+3,"")</f>
        <v/>
      </c>
    </row>
    <row r="457" spans="1:17" ht="15" customHeight="1" x14ac:dyDescent="0.2">
      <c r="A457" s="12">
        <f>456</f>
        <v>456</v>
      </c>
      <c r="B457" s="12" t="str">
        <f>IF(C457="","",IF(C457="Match",INDEX('Match Log'!$A:$A,D457),IF(C457="Tournament",INDEX('Tournament Log'!$A:$A,E457),INDEX('Guest Log'!$A:$A,Q457))))</f>
        <v/>
      </c>
      <c r="C457" s="12" t="str">
        <f t="shared" si="35"/>
        <v/>
      </c>
      <c r="D457" s="31" t="str">
        <f>IFERROR(MATCH($A457,'Match Log'!$K$3:$K$501,0)+2,"")</f>
        <v/>
      </c>
      <c r="E457" s="31" t="str">
        <f>IFERROR(MATCH($A457,'Tournament Log'!$O$4:$O$203,0)+3,"")</f>
        <v/>
      </c>
      <c r="F457" s="12" t="str">
        <f>IF(C457="","",IF(C457="Match",INDEX('Match Log'!$B:$B,D457),IF(C457="Tournament",INDEX('Tournament Log'!$C:$C,E457),INDEX('Guest Log'!$B:$B,Q457))))</f>
        <v/>
      </c>
      <c r="G457" s="12" t="str">
        <f>IF(C457="","",IF(C457="Match",INDEX('Match Log'!$C:$C,D457),IF(C457="Tournament",INDEX('Tournament Log'!$B:$B,E457)&amp;" (Phantom)",INDEX('Guest Log'!$H:$H,Q457)&amp;" (Guest)")))</f>
        <v/>
      </c>
      <c r="H457" s="32" t="str">
        <f t="array" ref="H457">IF(C457="","",IFERROR(LOOKUP(2,1/(($F$1:F456=F457)+($G$1:G456=F457)),IF($F$1:F456=F457,$N$1:N456,$O$1:O456)),1000))</f>
        <v/>
      </c>
      <c r="I457" s="12" t="str">
        <f t="array" ref="I457">IF(C457="","",IF(C457="Tournament",INDEX('Tournament Log'!$J:$J,E457),IF(C457="Guest",IF(INDEX('Guest Log'!$I:$I,Q457)="",1000,INDEX('Guest Log'!$I:$I,Q457)),IFERROR(LOOKUP(2,1/(($F$1:F456=G457)+($G$1:G456=G457)),IF($F$1:F456=G457,$N$1:N456,$O$1:O456)),1000))))</f>
        <v/>
      </c>
      <c r="J457" s="12" t="str">
        <f t="shared" si="36"/>
        <v/>
      </c>
      <c r="K457" s="12" t="str">
        <f>IF(C457="","",IF(C457="Match",IF(INDEX('Match Log'!$D:$D,D457)="Win",1,IF(INDEX('Match Log'!$D:$D,D457)="Draw",0.5,0)),IF(C457="Tournament",INDEX('Tournament Log'!$K:$K,E457),IF(INDEX('Guest Log'!$C:$C,Q457)="Win",1,IF(INDEX('Guest Log'!$C:$C,Q457)="Draw",0.5,0)))))</f>
        <v/>
      </c>
      <c r="L457" s="12" t="str">
        <f>IF(C457="","",IF(C457="Match",32,IF(C457="Tournament",MIN(32*INDEX('Tournament Log'!$D:$D,E457),96),32)))</f>
        <v/>
      </c>
      <c r="M457" s="12" t="str">
        <f t="shared" si="37"/>
        <v/>
      </c>
      <c r="N457" s="12" t="str">
        <f t="shared" si="38"/>
        <v/>
      </c>
      <c r="O457" s="12" t="str">
        <f t="shared" si="39"/>
        <v/>
      </c>
      <c r="P457" s="12" t="str">
        <f>IF(C457="Tournament",INDEX('Tournament Log'!$B:$B,E457),IF(C457="Guest","Guest: "&amp;INDEX('Guest Log'!$H:$H,Q457),""))</f>
        <v/>
      </c>
      <c r="Q457" t="str">
        <f>IFERROR(MATCH($A457,'Guest Log'!$L$4:$L$203,0)+3,"")</f>
        <v/>
      </c>
    </row>
    <row r="458" spans="1:17" ht="15" customHeight="1" x14ac:dyDescent="0.2">
      <c r="A458" s="12">
        <f>457</f>
        <v>457</v>
      </c>
      <c r="B458" s="12" t="str">
        <f>IF(C458="","",IF(C458="Match",INDEX('Match Log'!$A:$A,D458),IF(C458="Tournament",INDEX('Tournament Log'!$A:$A,E458),INDEX('Guest Log'!$A:$A,Q458))))</f>
        <v/>
      </c>
      <c r="C458" s="12" t="str">
        <f t="shared" si="35"/>
        <v/>
      </c>
      <c r="D458" s="31" t="str">
        <f>IFERROR(MATCH($A458,'Match Log'!$K$3:$K$501,0)+2,"")</f>
        <v/>
      </c>
      <c r="E458" s="31" t="str">
        <f>IFERROR(MATCH($A458,'Tournament Log'!$O$4:$O$203,0)+3,"")</f>
        <v/>
      </c>
      <c r="F458" s="12" t="str">
        <f>IF(C458="","",IF(C458="Match",INDEX('Match Log'!$B:$B,D458),IF(C458="Tournament",INDEX('Tournament Log'!$C:$C,E458),INDEX('Guest Log'!$B:$B,Q458))))</f>
        <v/>
      </c>
      <c r="G458" s="12" t="str">
        <f>IF(C458="","",IF(C458="Match",INDEX('Match Log'!$C:$C,D458),IF(C458="Tournament",INDEX('Tournament Log'!$B:$B,E458)&amp;" (Phantom)",INDEX('Guest Log'!$H:$H,Q458)&amp;" (Guest)")))</f>
        <v/>
      </c>
      <c r="H458" s="32" t="str">
        <f t="array" ref="H458">IF(C458="","",IFERROR(LOOKUP(2,1/(($F$1:F457=F458)+($G$1:G457=F458)),IF($F$1:F457=F458,$N$1:N457,$O$1:O457)),1000))</f>
        <v/>
      </c>
      <c r="I458" s="12" t="str">
        <f t="array" ref="I458">IF(C458="","",IF(C458="Tournament",INDEX('Tournament Log'!$J:$J,E458),IF(C458="Guest",IF(INDEX('Guest Log'!$I:$I,Q458)="",1000,INDEX('Guest Log'!$I:$I,Q458)),IFERROR(LOOKUP(2,1/(($F$1:F457=G458)+($G$1:G457=G458)),IF($F$1:F457=G458,$N$1:N457,$O$1:O457)),1000))))</f>
        <v/>
      </c>
      <c r="J458" s="12" t="str">
        <f t="shared" si="36"/>
        <v/>
      </c>
      <c r="K458" s="12" t="str">
        <f>IF(C458="","",IF(C458="Match",IF(INDEX('Match Log'!$D:$D,D458)="Win",1,IF(INDEX('Match Log'!$D:$D,D458)="Draw",0.5,0)),IF(C458="Tournament",INDEX('Tournament Log'!$K:$K,E458),IF(INDEX('Guest Log'!$C:$C,Q458)="Win",1,IF(INDEX('Guest Log'!$C:$C,Q458)="Draw",0.5,0)))))</f>
        <v/>
      </c>
      <c r="L458" s="12" t="str">
        <f>IF(C458="","",IF(C458="Match",32,IF(C458="Tournament",MIN(32*INDEX('Tournament Log'!$D:$D,E458),96),32)))</f>
        <v/>
      </c>
      <c r="M458" s="12" t="str">
        <f t="shared" si="37"/>
        <v/>
      </c>
      <c r="N458" s="12" t="str">
        <f t="shared" si="38"/>
        <v/>
      </c>
      <c r="O458" s="12" t="str">
        <f t="shared" si="39"/>
        <v/>
      </c>
      <c r="P458" s="12" t="str">
        <f>IF(C458="Tournament",INDEX('Tournament Log'!$B:$B,E458),IF(C458="Guest","Guest: "&amp;INDEX('Guest Log'!$H:$H,Q458),""))</f>
        <v/>
      </c>
      <c r="Q458" t="str">
        <f>IFERROR(MATCH($A458,'Guest Log'!$L$4:$L$203,0)+3,"")</f>
        <v/>
      </c>
    </row>
    <row r="459" spans="1:17" ht="15" customHeight="1" x14ac:dyDescent="0.2">
      <c r="A459" s="12">
        <f>458</f>
        <v>458</v>
      </c>
      <c r="B459" s="12" t="str">
        <f>IF(C459="","",IF(C459="Match",INDEX('Match Log'!$A:$A,D459),IF(C459="Tournament",INDEX('Tournament Log'!$A:$A,E459),INDEX('Guest Log'!$A:$A,Q459))))</f>
        <v/>
      </c>
      <c r="C459" s="12" t="str">
        <f t="shared" si="35"/>
        <v/>
      </c>
      <c r="D459" s="31" t="str">
        <f>IFERROR(MATCH($A459,'Match Log'!$K$3:$K$501,0)+2,"")</f>
        <v/>
      </c>
      <c r="E459" s="31" t="str">
        <f>IFERROR(MATCH($A459,'Tournament Log'!$O$4:$O$203,0)+3,"")</f>
        <v/>
      </c>
      <c r="F459" s="12" t="str">
        <f>IF(C459="","",IF(C459="Match",INDEX('Match Log'!$B:$B,D459),IF(C459="Tournament",INDEX('Tournament Log'!$C:$C,E459),INDEX('Guest Log'!$B:$B,Q459))))</f>
        <v/>
      </c>
      <c r="G459" s="12" t="str">
        <f>IF(C459="","",IF(C459="Match",INDEX('Match Log'!$C:$C,D459),IF(C459="Tournament",INDEX('Tournament Log'!$B:$B,E459)&amp;" (Phantom)",INDEX('Guest Log'!$H:$H,Q459)&amp;" (Guest)")))</f>
        <v/>
      </c>
      <c r="H459" s="32" t="str">
        <f t="array" ref="H459">IF(C459="","",IFERROR(LOOKUP(2,1/(($F$1:F458=F459)+($G$1:G458=F459)),IF($F$1:F458=F459,$N$1:N458,$O$1:O458)),1000))</f>
        <v/>
      </c>
      <c r="I459" s="12" t="str">
        <f t="array" ref="I459">IF(C459="","",IF(C459="Tournament",INDEX('Tournament Log'!$J:$J,E459),IF(C459="Guest",IF(INDEX('Guest Log'!$I:$I,Q459)="",1000,INDEX('Guest Log'!$I:$I,Q459)),IFERROR(LOOKUP(2,1/(($F$1:F458=G459)+($G$1:G458=G459)),IF($F$1:F458=G459,$N$1:N458,$O$1:O458)),1000))))</f>
        <v/>
      </c>
      <c r="J459" s="12" t="str">
        <f t="shared" si="36"/>
        <v/>
      </c>
      <c r="K459" s="12" t="str">
        <f>IF(C459="","",IF(C459="Match",IF(INDEX('Match Log'!$D:$D,D459)="Win",1,IF(INDEX('Match Log'!$D:$D,D459)="Draw",0.5,0)),IF(C459="Tournament",INDEX('Tournament Log'!$K:$K,E459),IF(INDEX('Guest Log'!$C:$C,Q459)="Win",1,IF(INDEX('Guest Log'!$C:$C,Q459)="Draw",0.5,0)))))</f>
        <v/>
      </c>
      <c r="L459" s="12" t="str">
        <f>IF(C459="","",IF(C459="Match",32,IF(C459="Tournament",MIN(32*INDEX('Tournament Log'!$D:$D,E459),96),32)))</f>
        <v/>
      </c>
      <c r="M459" s="12" t="str">
        <f t="shared" si="37"/>
        <v/>
      </c>
      <c r="N459" s="12" t="str">
        <f t="shared" si="38"/>
        <v/>
      </c>
      <c r="O459" s="12" t="str">
        <f t="shared" si="39"/>
        <v/>
      </c>
      <c r="P459" s="12" t="str">
        <f>IF(C459="Tournament",INDEX('Tournament Log'!$B:$B,E459),IF(C459="Guest","Guest: "&amp;INDEX('Guest Log'!$H:$H,Q459),""))</f>
        <v/>
      </c>
      <c r="Q459" t="str">
        <f>IFERROR(MATCH($A459,'Guest Log'!$L$4:$L$203,0)+3,"")</f>
        <v/>
      </c>
    </row>
    <row r="460" spans="1:17" ht="15" customHeight="1" x14ac:dyDescent="0.2">
      <c r="A460" s="12">
        <f>459</f>
        <v>459</v>
      </c>
      <c r="B460" s="12" t="str">
        <f>IF(C460="","",IF(C460="Match",INDEX('Match Log'!$A:$A,D460),IF(C460="Tournament",INDEX('Tournament Log'!$A:$A,E460),INDEX('Guest Log'!$A:$A,Q460))))</f>
        <v/>
      </c>
      <c r="C460" s="12" t="str">
        <f t="shared" si="35"/>
        <v/>
      </c>
      <c r="D460" s="31" t="str">
        <f>IFERROR(MATCH($A460,'Match Log'!$K$3:$K$501,0)+2,"")</f>
        <v/>
      </c>
      <c r="E460" s="31" t="str">
        <f>IFERROR(MATCH($A460,'Tournament Log'!$O$4:$O$203,0)+3,"")</f>
        <v/>
      </c>
      <c r="F460" s="12" t="str">
        <f>IF(C460="","",IF(C460="Match",INDEX('Match Log'!$B:$B,D460),IF(C460="Tournament",INDEX('Tournament Log'!$C:$C,E460),INDEX('Guest Log'!$B:$B,Q460))))</f>
        <v/>
      </c>
      <c r="G460" s="12" t="str">
        <f>IF(C460="","",IF(C460="Match",INDEX('Match Log'!$C:$C,D460),IF(C460="Tournament",INDEX('Tournament Log'!$B:$B,E460)&amp;" (Phantom)",INDEX('Guest Log'!$H:$H,Q460)&amp;" (Guest)")))</f>
        <v/>
      </c>
      <c r="H460" s="32" t="str">
        <f t="array" ref="H460">IF(C460="","",IFERROR(LOOKUP(2,1/(($F$1:F459=F460)+($G$1:G459=F460)),IF($F$1:F459=F460,$N$1:N459,$O$1:O459)),1000))</f>
        <v/>
      </c>
      <c r="I460" s="12" t="str">
        <f t="array" ref="I460">IF(C460="","",IF(C460="Tournament",INDEX('Tournament Log'!$J:$J,E460),IF(C460="Guest",IF(INDEX('Guest Log'!$I:$I,Q460)="",1000,INDEX('Guest Log'!$I:$I,Q460)),IFERROR(LOOKUP(2,1/(($F$1:F459=G460)+($G$1:G459=G460)),IF($F$1:F459=G460,$N$1:N459,$O$1:O459)),1000))))</f>
        <v/>
      </c>
      <c r="J460" s="12" t="str">
        <f t="shared" si="36"/>
        <v/>
      </c>
      <c r="K460" s="12" t="str">
        <f>IF(C460="","",IF(C460="Match",IF(INDEX('Match Log'!$D:$D,D460)="Win",1,IF(INDEX('Match Log'!$D:$D,D460)="Draw",0.5,0)),IF(C460="Tournament",INDEX('Tournament Log'!$K:$K,E460),IF(INDEX('Guest Log'!$C:$C,Q460)="Win",1,IF(INDEX('Guest Log'!$C:$C,Q460)="Draw",0.5,0)))))</f>
        <v/>
      </c>
      <c r="L460" s="12" t="str">
        <f>IF(C460="","",IF(C460="Match",32,IF(C460="Tournament",MIN(32*INDEX('Tournament Log'!$D:$D,E460),96),32)))</f>
        <v/>
      </c>
      <c r="M460" s="12" t="str">
        <f t="shared" si="37"/>
        <v/>
      </c>
      <c r="N460" s="12" t="str">
        <f t="shared" si="38"/>
        <v/>
      </c>
      <c r="O460" s="12" t="str">
        <f t="shared" si="39"/>
        <v/>
      </c>
      <c r="P460" s="12" t="str">
        <f>IF(C460="Tournament",INDEX('Tournament Log'!$B:$B,E460),IF(C460="Guest","Guest: "&amp;INDEX('Guest Log'!$H:$H,Q460),""))</f>
        <v/>
      </c>
      <c r="Q460" t="str">
        <f>IFERROR(MATCH($A460,'Guest Log'!$L$4:$L$203,0)+3,"")</f>
        <v/>
      </c>
    </row>
    <row r="461" spans="1:17" ht="15" customHeight="1" x14ac:dyDescent="0.2">
      <c r="A461" s="12">
        <f>460</f>
        <v>460</v>
      </c>
      <c r="B461" s="12" t="str">
        <f>IF(C461="","",IF(C461="Match",INDEX('Match Log'!$A:$A,D461),IF(C461="Tournament",INDEX('Tournament Log'!$A:$A,E461),INDEX('Guest Log'!$A:$A,Q461))))</f>
        <v/>
      </c>
      <c r="C461" s="12" t="str">
        <f t="shared" si="35"/>
        <v/>
      </c>
      <c r="D461" s="31" t="str">
        <f>IFERROR(MATCH($A461,'Match Log'!$K$3:$K$501,0)+2,"")</f>
        <v/>
      </c>
      <c r="E461" s="31" t="str">
        <f>IFERROR(MATCH($A461,'Tournament Log'!$O$4:$O$203,0)+3,"")</f>
        <v/>
      </c>
      <c r="F461" s="12" t="str">
        <f>IF(C461="","",IF(C461="Match",INDEX('Match Log'!$B:$B,D461),IF(C461="Tournament",INDEX('Tournament Log'!$C:$C,E461),INDEX('Guest Log'!$B:$B,Q461))))</f>
        <v/>
      </c>
      <c r="G461" s="12" t="str">
        <f>IF(C461="","",IF(C461="Match",INDEX('Match Log'!$C:$C,D461),IF(C461="Tournament",INDEX('Tournament Log'!$B:$B,E461)&amp;" (Phantom)",INDEX('Guest Log'!$H:$H,Q461)&amp;" (Guest)")))</f>
        <v/>
      </c>
      <c r="H461" s="32" t="str">
        <f t="array" ref="H461">IF(C461="","",IFERROR(LOOKUP(2,1/(($F$1:F460=F461)+($G$1:G460=F461)),IF($F$1:F460=F461,$N$1:N460,$O$1:O460)),1000))</f>
        <v/>
      </c>
      <c r="I461" s="12" t="str">
        <f t="array" ref="I461">IF(C461="","",IF(C461="Tournament",INDEX('Tournament Log'!$J:$J,E461),IF(C461="Guest",IF(INDEX('Guest Log'!$I:$I,Q461)="",1000,INDEX('Guest Log'!$I:$I,Q461)),IFERROR(LOOKUP(2,1/(($F$1:F460=G461)+($G$1:G460=G461)),IF($F$1:F460=G461,$N$1:N460,$O$1:O460)),1000))))</f>
        <v/>
      </c>
      <c r="J461" s="12" t="str">
        <f t="shared" si="36"/>
        <v/>
      </c>
      <c r="K461" s="12" t="str">
        <f>IF(C461="","",IF(C461="Match",IF(INDEX('Match Log'!$D:$D,D461)="Win",1,IF(INDEX('Match Log'!$D:$D,D461)="Draw",0.5,0)),IF(C461="Tournament",INDEX('Tournament Log'!$K:$K,E461),IF(INDEX('Guest Log'!$C:$C,Q461)="Win",1,IF(INDEX('Guest Log'!$C:$C,Q461)="Draw",0.5,0)))))</f>
        <v/>
      </c>
      <c r="L461" s="12" t="str">
        <f>IF(C461="","",IF(C461="Match",32,IF(C461="Tournament",MIN(32*INDEX('Tournament Log'!$D:$D,E461),96),32)))</f>
        <v/>
      </c>
      <c r="M461" s="12" t="str">
        <f t="shared" si="37"/>
        <v/>
      </c>
      <c r="N461" s="12" t="str">
        <f t="shared" si="38"/>
        <v/>
      </c>
      <c r="O461" s="12" t="str">
        <f t="shared" si="39"/>
        <v/>
      </c>
      <c r="P461" s="12" t="str">
        <f>IF(C461="Tournament",INDEX('Tournament Log'!$B:$B,E461),IF(C461="Guest","Guest: "&amp;INDEX('Guest Log'!$H:$H,Q461),""))</f>
        <v/>
      </c>
      <c r="Q461" t="str">
        <f>IFERROR(MATCH($A461,'Guest Log'!$L$4:$L$203,0)+3,"")</f>
        <v/>
      </c>
    </row>
    <row r="462" spans="1:17" ht="15" customHeight="1" x14ac:dyDescent="0.2">
      <c r="A462" s="12">
        <f>461</f>
        <v>461</v>
      </c>
      <c r="B462" s="12" t="str">
        <f>IF(C462="","",IF(C462="Match",INDEX('Match Log'!$A:$A,D462),IF(C462="Tournament",INDEX('Tournament Log'!$A:$A,E462),INDEX('Guest Log'!$A:$A,Q462))))</f>
        <v/>
      </c>
      <c r="C462" s="12" t="str">
        <f t="shared" si="35"/>
        <v/>
      </c>
      <c r="D462" s="31" t="str">
        <f>IFERROR(MATCH($A462,'Match Log'!$K$3:$K$501,0)+2,"")</f>
        <v/>
      </c>
      <c r="E462" s="31" t="str">
        <f>IFERROR(MATCH($A462,'Tournament Log'!$O$4:$O$203,0)+3,"")</f>
        <v/>
      </c>
      <c r="F462" s="12" t="str">
        <f>IF(C462="","",IF(C462="Match",INDEX('Match Log'!$B:$B,D462),IF(C462="Tournament",INDEX('Tournament Log'!$C:$C,E462),INDEX('Guest Log'!$B:$B,Q462))))</f>
        <v/>
      </c>
      <c r="G462" s="12" t="str">
        <f>IF(C462="","",IF(C462="Match",INDEX('Match Log'!$C:$C,D462),IF(C462="Tournament",INDEX('Tournament Log'!$B:$B,E462)&amp;" (Phantom)",INDEX('Guest Log'!$H:$H,Q462)&amp;" (Guest)")))</f>
        <v/>
      </c>
      <c r="H462" s="32" t="str">
        <f t="array" ref="H462">IF(C462="","",IFERROR(LOOKUP(2,1/(($F$1:F461=F462)+($G$1:G461=F462)),IF($F$1:F461=F462,$N$1:N461,$O$1:O461)),1000))</f>
        <v/>
      </c>
      <c r="I462" s="12" t="str">
        <f t="array" ref="I462">IF(C462="","",IF(C462="Tournament",INDEX('Tournament Log'!$J:$J,E462),IF(C462="Guest",IF(INDEX('Guest Log'!$I:$I,Q462)="",1000,INDEX('Guest Log'!$I:$I,Q462)),IFERROR(LOOKUP(2,1/(($F$1:F461=G462)+($G$1:G461=G462)),IF($F$1:F461=G462,$N$1:N461,$O$1:O461)),1000))))</f>
        <v/>
      </c>
      <c r="J462" s="12" t="str">
        <f t="shared" si="36"/>
        <v/>
      </c>
      <c r="K462" s="12" t="str">
        <f>IF(C462="","",IF(C462="Match",IF(INDEX('Match Log'!$D:$D,D462)="Win",1,IF(INDEX('Match Log'!$D:$D,D462)="Draw",0.5,0)),IF(C462="Tournament",INDEX('Tournament Log'!$K:$K,E462),IF(INDEX('Guest Log'!$C:$C,Q462)="Win",1,IF(INDEX('Guest Log'!$C:$C,Q462)="Draw",0.5,0)))))</f>
        <v/>
      </c>
      <c r="L462" s="12" t="str">
        <f>IF(C462="","",IF(C462="Match",32,IF(C462="Tournament",MIN(32*INDEX('Tournament Log'!$D:$D,E462),96),32)))</f>
        <v/>
      </c>
      <c r="M462" s="12" t="str">
        <f t="shared" si="37"/>
        <v/>
      </c>
      <c r="N462" s="12" t="str">
        <f t="shared" si="38"/>
        <v/>
      </c>
      <c r="O462" s="12" t="str">
        <f t="shared" si="39"/>
        <v/>
      </c>
      <c r="P462" s="12" t="str">
        <f>IF(C462="Tournament",INDEX('Tournament Log'!$B:$B,E462),IF(C462="Guest","Guest: "&amp;INDEX('Guest Log'!$H:$H,Q462),""))</f>
        <v/>
      </c>
      <c r="Q462" t="str">
        <f>IFERROR(MATCH($A462,'Guest Log'!$L$4:$L$203,0)+3,"")</f>
        <v/>
      </c>
    </row>
    <row r="463" spans="1:17" ht="15" customHeight="1" x14ac:dyDescent="0.2">
      <c r="A463" s="12">
        <f>462</f>
        <v>462</v>
      </c>
      <c r="B463" s="12" t="str">
        <f>IF(C463="","",IF(C463="Match",INDEX('Match Log'!$A:$A,D463),IF(C463="Tournament",INDEX('Tournament Log'!$A:$A,E463),INDEX('Guest Log'!$A:$A,Q463))))</f>
        <v/>
      </c>
      <c r="C463" s="12" t="str">
        <f t="shared" si="35"/>
        <v/>
      </c>
      <c r="D463" s="31" t="str">
        <f>IFERROR(MATCH($A463,'Match Log'!$K$3:$K$501,0)+2,"")</f>
        <v/>
      </c>
      <c r="E463" s="31" t="str">
        <f>IFERROR(MATCH($A463,'Tournament Log'!$O$4:$O$203,0)+3,"")</f>
        <v/>
      </c>
      <c r="F463" s="12" t="str">
        <f>IF(C463="","",IF(C463="Match",INDEX('Match Log'!$B:$B,D463),IF(C463="Tournament",INDEX('Tournament Log'!$C:$C,E463),INDEX('Guest Log'!$B:$B,Q463))))</f>
        <v/>
      </c>
      <c r="G463" s="12" t="str">
        <f>IF(C463="","",IF(C463="Match",INDEX('Match Log'!$C:$C,D463),IF(C463="Tournament",INDEX('Tournament Log'!$B:$B,E463)&amp;" (Phantom)",INDEX('Guest Log'!$H:$H,Q463)&amp;" (Guest)")))</f>
        <v/>
      </c>
      <c r="H463" s="32" t="str">
        <f t="array" ref="H463">IF(C463="","",IFERROR(LOOKUP(2,1/(($F$1:F462=F463)+($G$1:G462=F463)),IF($F$1:F462=F463,$N$1:N462,$O$1:O462)),1000))</f>
        <v/>
      </c>
      <c r="I463" s="12" t="str">
        <f t="array" ref="I463">IF(C463="","",IF(C463="Tournament",INDEX('Tournament Log'!$J:$J,E463),IF(C463="Guest",IF(INDEX('Guest Log'!$I:$I,Q463)="",1000,INDEX('Guest Log'!$I:$I,Q463)),IFERROR(LOOKUP(2,1/(($F$1:F462=G463)+($G$1:G462=G463)),IF($F$1:F462=G463,$N$1:N462,$O$1:O462)),1000))))</f>
        <v/>
      </c>
      <c r="J463" s="12" t="str">
        <f t="shared" si="36"/>
        <v/>
      </c>
      <c r="K463" s="12" t="str">
        <f>IF(C463="","",IF(C463="Match",IF(INDEX('Match Log'!$D:$D,D463)="Win",1,IF(INDEX('Match Log'!$D:$D,D463)="Draw",0.5,0)),IF(C463="Tournament",INDEX('Tournament Log'!$K:$K,E463),IF(INDEX('Guest Log'!$C:$C,Q463)="Win",1,IF(INDEX('Guest Log'!$C:$C,Q463)="Draw",0.5,0)))))</f>
        <v/>
      </c>
      <c r="L463" s="12" t="str">
        <f>IF(C463="","",IF(C463="Match",32,IF(C463="Tournament",MIN(32*INDEX('Tournament Log'!$D:$D,E463),96),32)))</f>
        <v/>
      </c>
      <c r="M463" s="12" t="str">
        <f t="shared" si="37"/>
        <v/>
      </c>
      <c r="N463" s="12" t="str">
        <f t="shared" si="38"/>
        <v/>
      </c>
      <c r="O463" s="12" t="str">
        <f t="shared" si="39"/>
        <v/>
      </c>
      <c r="P463" s="12" t="str">
        <f>IF(C463="Tournament",INDEX('Tournament Log'!$B:$B,E463),IF(C463="Guest","Guest: "&amp;INDEX('Guest Log'!$H:$H,Q463),""))</f>
        <v/>
      </c>
      <c r="Q463" t="str">
        <f>IFERROR(MATCH($A463,'Guest Log'!$L$4:$L$203,0)+3,"")</f>
        <v/>
      </c>
    </row>
    <row r="464" spans="1:17" ht="15" customHeight="1" x14ac:dyDescent="0.2">
      <c r="A464" s="12">
        <f>463</f>
        <v>463</v>
      </c>
      <c r="B464" s="12" t="str">
        <f>IF(C464="","",IF(C464="Match",INDEX('Match Log'!$A:$A,D464),IF(C464="Tournament",INDEX('Tournament Log'!$A:$A,E464),INDEX('Guest Log'!$A:$A,Q464))))</f>
        <v/>
      </c>
      <c r="C464" s="12" t="str">
        <f t="shared" si="35"/>
        <v/>
      </c>
      <c r="D464" s="31" t="str">
        <f>IFERROR(MATCH($A464,'Match Log'!$K$3:$K$501,0)+2,"")</f>
        <v/>
      </c>
      <c r="E464" s="31" t="str">
        <f>IFERROR(MATCH($A464,'Tournament Log'!$O$4:$O$203,0)+3,"")</f>
        <v/>
      </c>
      <c r="F464" s="12" t="str">
        <f>IF(C464="","",IF(C464="Match",INDEX('Match Log'!$B:$B,D464),IF(C464="Tournament",INDEX('Tournament Log'!$C:$C,E464),INDEX('Guest Log'!$B:$B,Q464))))</f>
        <v/>
      </c>
      <c r="G464" s="12" t="str">
        <f>IF(C464="","",IF(C464="Match",INDEX('Match Log'!$C:$C,D464),IF(C464="Tournament",INDEX('Tournament Log'!$B:$B,E464)&amp;" (Phantom)",INDEX('Guest Log'!$H:$H,Q464)&amp;" (Guest)")))</f>
        <v/>
      </c>
      <c r="H464" s="32" t="str">
        <f t="array" ref="H464">IF(C464="","",IFERROR(LOOKUP(2,1/(($F$1:F463=F464)+($G$1:G463=F464)),IF($F$1:F463=F464,$N$1:N463,$O$1:O463)),1000))</f>
        <v/>
      </c>
      <c r="I464" s="12" t="str">
        <f t="array" ref="I464">IF(C464="","",IF(C464="Tournament",INDEX('Tournament Log'!$J:$J,E464),IF(C464="Guest",IF(INDEX('Guest Log'!$I:$I,Q464)="",1000,INDEX('Guest Log'!$I:$I,Q464)),IFERROR(LOOKUP(2,1/(($F$1:F463=G464)+($G$1:G463=G464)),IF($F$1:F463=G464,$N$1:N463,$O$1:O463)),1000))))</f>
        <v/>
      </c>
      <c r="J464" s="12" t="str">
        <f t="shared" si="36"/>
        <v/>
      </c>
      <c r="K464" s="12" t="str">
        <f>IF(C464="","",IF(C464="Match",IF(INDEX('Match Log'!$D:$D,D464)="Win",1,IF(INDEX('Match Log'!$D:$D,D464)="Draw",0.5,0)),IF(C464="Tournament",INDEX('Tournament Log'!$K:$K,E464),IF(INDEX('Guest Log'!$C:$C,Q464)="Win",1,IF(INDEX('Guest Log'!$C:$C,Q464)="Draw",0.5,0)))))</f>
        <v/>
      </c>
      <c r="L464" s="12" t="str">
        <f>IF(C464="","",IF(C464="Match",32,IF(C464="Tournament",MIN(32*INDEX('Tournament Log'!$D:$D,E464),96),32)))</f>
        <v/>
      </c>
      <c r="M464" s="12" t="str">
        <f t="shared" si="37"/>
        <v/>
      </c>
      <c r="N464" s="12" t="str">
        <f t="shared" si="38"/>
        <v/>
      </c>
      <c r="O464" s="12" t="str">
        <f t="shared" si="39"/>
        <v/>
      </c>
      <c r="P464" s="12" t="str">
        <f>IF(C464="Tournament",INDEX('Tournament Log'!$B:$B,E464),IF(C464="Guest","Guest: "&amp;INDEX('Guest Log'!$H:$H,Q464),""))</f>
        <v/>
      </c>
      <c r="Q464" t="str">
        <f>IFERROR(MATCH($A464,'Guest Log'!$L$4:$L$203,0)+3,"")</f>
        <v/>
      </c>
    </row>
    <row r="465" spans="1:17" ht="15" customHeight="1" x14ac:dyDescent="0.2">
      <c r="A465" s="12">
        <f>464</f>
        <v>464</v>
      </c>
      <c r="B465" s="12" t="str">
        <f>IF(C465="","",IF(C465="Match",INDEX('Match Log'!$A:$A,D465),IF(C465="Tournament",INDEX('Tournament Log'!$A:$A,E465),INDEX('Guest Log'!$A:$A,Q465))))</f>
        <v/>
      </c>
      <c r="C465" s="12" t="str">
        <f t="shared" si="35"/>
        <v/>
      </c>
      <c r="D465" s="31" t="str">
        <f>IFERROR(MATCH($A465,'Match Log'!$K$3:$K$501,0)+2,"")</f>
        <v/>
      </c>
      <c r="E465" s="31" t="str">
        <f>IFERROR(MATCH($A465,'Tournament Log'!$O$4:$O$203,0)+3,"")</f>
        <v/>
      </c>
      <c r="F465" s="12" t="str">
        <f>IF(C465="","",IF(C465="Match",INDEX('Match Log'!$B:$B,D465),IF(C465="Tournament",INDEX('Tournament Log'!$C:$C,E465),INDEX('Guest Log'!$B:$B,Q465))))</f>
        <v/>
      </c>
      <c r="G465" s="12" t="str">
        <f>IF(C465="","",IF(C465="Match",INDEX('Match Log'!$C:$C,D465),IF(C465="Tournament",INDEX('Tournament Log'!$B:$B,E465)&amp;" (Phantom)",INDEX('Guest Log'!$H:$H,Q465)&amp;" (Guest)")))</f>
        <v/>
      </c>
      <c r="H465" s="32" t="str">
        <f t="array" ref="H465">IF(C465="","",IFERROR(LOOKUP(2,1/(($F$1:F464=F465)+($G$1:G464=F465)),IF($F$1:F464=F465,$N$1:N464,$O$1:O464)),1000))</f>
        <v/>
      </c>
      <c r="I465" s="12" t="str">
        <f t="array" ref="I465">IF(C465="","",IF(C465="Tournament",INDEX('Tournament Log'!$J:$J,E465),IF(C465="Guest",IF(INDEX('Guest Log'!$I:$I,Q465)="",1000,INDEX('Guest Log'!$I:$I,Q465)),IFERROR(LOOKUP(2,1/(($F$1:F464=G465)+($G$1:G464=G465)),IF($F$1:F464=G465,$N$1:N464,$O$1:O464)),1000))))</f>
        <v/>
      </c>
      <c r="J465" s="12" t="str">
        <f t="shared" si="36"/>
        <v/>
      </c>
      <c r="K465" s="12" t="str">
        <f>IF(C465="","",IF(C465="Match",IF(INDEX('Match Log'!$D:$D,D465)="Win",1,IF(INDEX('Match Log'!$D:$D,D465)="Draw",0.5,0)),IF(C465="Tournament",INDEX('Tournament Log'!$K:$K,E465),IF(INDEX('Guest Log'!$C:$C,Q465)="Win",1,IF(INDEX('Guest Log'!$C:$C,Q465)="Draw",0.5,0)))))</f>
        <v/>
      </c>
      <c r="L465" s="12" t="str">
        <f>IF(C465="","",IF(C465="Match",32,IF(C465="Tournament",MIN(32*INDEX('Tournament Log'!$D:$D,E465),96),32)))</f>
        <v/>
      </c>
      <c r="M465" s="12" t="str">
        <f t="shared" si="37"/>
        <v/>
      </c>
      <c r="N465" s="12" t="str">
        <f t="shared" si="38"/>
        <v/>
      </c>
      <c r="O465" s="12" t="str">
        <f t="shared" si="39"/>
        <v/>
      </c>
      <c r="P465" s="12" t="str">
        <f>IF(C465="Tournament",INDEX('Tournament Log'!$B:$B,E465),IF(C465="Guest","Guest: "&amp;INDEX('Guest Log'!$H:$H,Q465),""))</f>
        <v/>
      </c>
      <c r="Q465" t="str">
        <f>IFERROR(MATCH($A465,'Guest Log'!$L$4:$L$203,0)+3,"")</f>
        <v/>
      </c>
    </row>
    <row r="466" spans="1:17" ht="15" customHeight="1" x14ac:dyDescent="0.2">
      <c r="A466" s="12">
        <f>465</f>
        <v>465</v>
      </c>
      <c r="B466" s="12" t="str">
        <f>IF(C466="","",IF(C466="Match",INDEX('Match Log'!$A:$A,D466),IF(C466="Tournament",INDEX('Tournament Log'!$A:$A,E466),INDEX('Guest Log'!$A:$A,Q466))))</f>
        <v/>
      </c>
      <c r="C466" s="12" t="str">
        <f t="shared" si="35"/>
        <v/>
      </c>
      <c r="D466" s="31" t="str">
        <f>IFERROR(MATCH($A466,'Match Log'!$K$3:$K$501,0)+2,"")</f>
        <v/>
      </c>
      <c r="E466" s="31" t="str">
        <f>IFERROR(MATCH($A466,'Tournament Log'!$O$4:$O$203,0)+3,"")</f>
        <v/>
      </c>
      <c r="F466" s="12" t="str">
        <f>IF(C466="","",IF(C466="Match",INDEX('Match Log'!$B:$B,D466),IF(C466="Tournament",INDEX('Tournament Log'!$C:$C,E466),INDEX('Guest Log'!$B:$B,Q466))))</f>
        <v/>
      </c>
      <c r="G466" s="12" t="str">
        <f>IF(C466="","",IF(C466="Match",INDEX('Match Log'!$C:$C,D466),IF(C466="Tournament",INDEX('Tournament Log'!$B:$B,E466)&amp;" (Phantom)",INDEX('Guest Log'!$H:$H,Q466)&amp;" (Guest)")))</f>
        <v/>
      </c>
      <c r="H466" s="32" t="str">
        <f t="array" ref="H466">IF(C466="","",IFERROR(LOOKUP(2,1/(($F$1:F465=F466)+($G$1:G465=F466)),IF($F$1:F465=F466,$N$1:N465,$O$1:O465)),1000))</f>
        <v/>
      </c>
      <c r="I466" s="12" t="str">
        <f t="array" ref="I466">IF(C466="","",IF(C466="Tournament",INDEX('Tournament Log'!$J:$J,E466),IF(C466="Guest",IF(INDEX('Guest Log'!$I:$I,Q466)="",1000,INDEX('Guest Log'!$I:$I,Q466)),IFERROR(LOOKUP(2,1/(($F$1:F465=G466)+($G$1:G465=G466)),IF($F$1:F465=G466,$N$1:N465,$O$1:O465)),1000))))</f>
        <v/>
      </c>
      <c r="J466" s="12" t="str">
        <f t="shared" si="36"/>
        <v/>
      </c>
      <c r="K466" s="12" t="str">
        <f>IF(C466="","",IF(C466="Match",IF(INDEX('Match Log'!$D:$D,D466)="Win",1,IF(INDEX('Match Log'!$D:$D,D466)="Draw",0.5,0)),IF(C466="Tournament",INDEX('Tournament Log'!$K:$K,E466),IF(INDEX('Guest Log'!$C:$C,Q466)="Win",1,IF(INDEX('Guest Log'!$C:$C,Q466)="Draw",0.5,0)))))</f>
        <v/>
      </c>
      <c r="L466" s="12" t="str">
        <f>IF(C466="","",IF(C466="Match",32,IF(C466="Tournament",MIN(32*INDEX('Tournament Log'!$D:$D,E466),96),32)))</f>
        <v/>
      </c>
      <c r="M466" s="12" t="str">
        <f t="shared" si="37"/>
        <v/>
      </c>
      <c r="N466" s="12" t="str">
        <f t="shared" si="38"/>
        <v/>
      </c>
      <c r="O466" s="12" t="str">
        <f t="shared" si="39"/>
        <v/>
      </c>
      <c r="P466" s="12" t="str">
        <f>IF(C466="Tournament",INDEX('Tournament Log'!$B:$B,E466),IF(C466="Guest","Guest: "&amp;INDEX('Guest Log'!$H:$H,Q466),""))</f>
        <v/>
      </c>
      <c r="Q466" t="str">
        <f>IFERROR(MATCH($A466,'Guest Log'!$L$4:$L$203,0)+3,"")</f>
        <v/>
      </c>
    </row>
    <row r="467" spans="1:17" ht="15" customHeight="1" x14ac:dyDescent="0.2">
      <c r="A467" s="12">
        <f>466</f>
        <v>466</v>
      </c>
      <c r="B467" s="12" t="str">
        <f>IF(C467="","",IF(C467="Match",INDEX('Match Log'!$A:$A,D467),IF(C467="Tournament",INDEX('Tournament Log'!$A:$A,E467),INDEX('Guest Log'!$A:$A,Q467))))</f>
        <v/>
      </c>
      <c r="C467" s="12" t="str">
        <f t="shared" si="35"/>
        <v/>
      </c>
      <c r="D467" s="31" t="str">
        <f>IFERROR(MATCH($A467,'Match Log'!$K$3:$K$501,0)+2,"")</f>
        <v/>
      </c>
      <c r="E467" s="31" t="str">
        <f>IFERROR(MATCH($A467,'Tournament Log'!$O$4:$O$203,0)+3,"")</f>
        <v/>
      </c>
      <c r="F467" s="12" t="str">
        <f>IF(C467="","",IF(C467="Match",INDEX('Match Log'!$B:$B,D467),IF(C467="Tournament",INDEX('Tournament Log'!$C:$C,E467),INDEX('Guest Log'!$B:$B,Q467))))</f>
        <v/>
      </c>
      <c r="G467" s="12" t="str">
        <f>IF(C467="","",IF(C467="Match",INDEX('Match Log'!$C:$C,D467),IF(C467="Tournament",INDEX('Tournament Log'!$B:$B,E467)&amp;" (Phantom)",INDEX('Guest Log'!$H:$H,Q467)&amp;" (Guest)")))</f>
        <v/>
      </c>
      <c r="H467" s="32" t="str">
        <f t="array" ref="H467">IF(C467="","",IFERROR(LOOKUP(2,1/(($F$1:F466=F467)+($G$1:G466=F467)),IF($F$1:F466=F467,$N$1:N466,$O$1:O466)),1000))</f>
        <v/>
      </c>
      <c r="I467" s="12" t="str">
        <f t="array" ref="I467">IF(C467="","",IF(C467="Tournament",INDEX('Tournament Log'!$J:$J,E467),IF(C467="Guest",IF(INDEX('Guest Log'!$I:$I,Q467)="",1000,INDEX('Guest Log'!$I:$I,Q467)),IFERROR(LOOKUP(2,1/(($F$1:F466=G467)+($G$1:G466=G467)),IF($F$1:F466=G467,$N$1:N466,$O$1:O466)),1000))))</f>
        <v/>
      </c>
      <c r="J467" s="12" t="str">
        <f t="shared" si="36"/>
        <v/>
      </c>
      <c r="K467" s="12" t="str">
        <f>IF(C467="","",IF(C467="Match",IF(INDEX('Match Log'!$D:$D,D467)="Win",1,IF(INDEX('Match Log'!$D:$D,D467)="Draw",0.5,0)),IF(C467="Tournament",INDEX('Tournament Log'!$K:$K,E467),IF(INDEX('Guest Log'!$C:$C,Q467)="Win",1,IF(INDEX('Guest Log'!$C:$C,Q467)="Draw",0.5,0)))))</f>
        <v/>
      </c>
      <c r="L467" s="12" t="str">
        <f>IF(C467="","",IF(C467="Match",32,IF(C467="Tournament",MIN(32*INDEX('Tournament Log'!$D:$D,E467),96),32)))</f>
        <v/>
      </c>
      <c r="M467" s="12" t="str">
        <f t="shared" si="37"/>
        <v/>
      </c>
      <c r="N467" s="12" t="str">
        <f t="shared" si="38"/>
        <v/>
      </c>
      <c r="O467" s="12" t="str">
        <f t="shared" si="39"/>
        <v/>
      </c>
      <c r="P467" s="12" t="str">
        <f>IF(C467="Tournament",INDEX('Tournament Log'!$B:$B,E467),IF(C467="Guest","Guest: "&amp;INDEX('Guest Log'!$H:$H,Q467),""))</f>
        <v/>
      </c>
      <c r="Q467" t="str">
        <f>IFERROR(MATCH($A467,'Guest Log'!$L$4:$L$203,0)+3,"")</f>
        <v/>
      </c>
    </row>
    <row r="468" spans="1:17" ht="15" customHeight="1" x14ac:dyDescent="0.2">
      <c r="A468" s="12">
        <f>467</f>
        <v>467</v>
      </c>
      <c r="B468" s="12" t="str">
        <f>IF(C468="","",IF(C468="Match",INDEX('Match Log'!$A:$A,D468),IF(C468="Tournament",INDEX('Tournament Log'!$A:$A,E468),INDEX('Guest Log'!$A:$A,Q468))))</f>
        <v/>
      </c>
      <c r="C468" s="12" t="str">
        <f t="shared" si="35"/>
        <v/>
      </c>
      <c r="D468" s="31" t="str">
        <f>IFERROR(MATCH($A468,'Match Log'!$K$3:$K$501,0)+2,"")</f>
        <v/>
      </c>
      <c r="E468" s="31" t="str">
        <f>IFERROR(MATCH($A468,'Tournament Log'!$O$4:$O$203,0)+3,"")</f>
        <v/>
      </c>
      <c r="F468" s="12" t="str">
        <f>IF(C468="","",IF(C468="Match",INDEX('Match Log'!$B:$B,D468),IF(C468="Tournament",INDEX('Tournament Log'!$C:$C,E468),INDEX('Guest Log'!$B:$B,Q468))))</f>
        <v/>
      </c>
      <c r="G468" s="12" t="str">
        <f>IF(C468="","",IF(C468="Match",INDEX('Match Log'!$C:$C,D468),IF(C468="Tournament",INDEX('Tournament Log'!$B:$B,E468)&amp;" (Phantom)",INDEX('Guest Log'!$H:$H,Q468)&amp;" (Guest)")))</f>
        <v/>
      </c>
      <c r="H468" s="32" t="str">
        <f t="array" ref="H468">IF(C468="","",IFERROR(LOOKUP(2,1/(($F$1:F467=F468)+($G$1:G467=F468)),IF($F$1:F467=F468,$N$1:N467,$O$1:O467)),1000))</f>
        <v/>
      </c>
      <c r="I468" s="12" t="str">
        <f t="array" ref="I468">IF(C468="","",IF(C468="Tournament",INDEX('Tournament Log'!$J:$J,E468),IF(C468="Guest",IF(INDEX('Guest Log'!$I:$I,Q468)="",1000,INDEX('Guest Log'!$I:$I,Q468)),IFERROR(LOOKUP(2,1/(($F$1:F467=G468)+($G$1:G467=G468)),IF($F$1:F467=G468,$N$1:N467,$O$1:O467)),1000))))</f>
        <v/>
      </c>
      <c r="J468" s="12" t="str">
        <f t="shared" si="36"/>
        <v/>
      </c>
      <c r="K468" s="12" t="str">
        <f>IF(C468="","",IF(C468="Match",IF(INDEX('Match Log'!$D:$D,D468)="Win",1,IF(INDEX('Match Log'!$D:$D,D468)="Draw",0.5,0)),IF(C468="Tournament",INDEX('Tournament Log'!$K:$K,E468),IF(INDEX('Guest Log'!$C:$C,Q468)="Win",1,IF(INDEX('Guest Log'!$C:$C,Q468)="Draw",0.5,0)))))</f>
        <v/>
      </c>
      <c r="L468" s="12" t="str">
        <f>IF(C468="","",IF(C468="Match",32,IF(C468="Tournament",MIN(32*INDEX('Tournament Log'!$D:$D,E468),96),32)))</f>
        <v/>
      </c>
      <c r="M468" s="12" t="str">
        <f t="shared" si="37"/>
        <v/>
      </c>
      <c r="N468" s="12" t="str">
        <f t="shared" si="38"/>
        <v/>
      </c>
      <c r="O468" s="12" t="str">
        <f t="shared" si="39"/>
        <v/>
      </c>
      <c r="P468" s="12" t="str">
        <f>IF(C468="Tournament",INDEX('Tournament Log'!$B:$B,E468),IF(C468="Guest","Guest: "&amp;INDEX('Guest Log'!$H:$H,Q468),""))</f>
        <v/>
      </c>
      <c r="Q468" t="str">
        <f>IFERROR(MATCH($A468,'Guest Log'!$L$4:$L$203,0)+3,"")</f>
        <v/>
      </c>
    </row>
    <row r="469" spans="1:17" ht="15" customHeight="1" x14ac:dyDescent="0.2">
      <c r="A469" s="12">
        <f>468</f>
        <v>468</v>
      </c>
      <c r="B469" s="12" t="str">
        <f>IF(C469="","",IF(C469="Match",INDEX('Match Log'!$A:$A,D469),IF(C469="Tournament",INDEX('Tournament Log'!$A:$A,E469),INDEX('Guest Log'!$A:$A,Q469))))</f>
        <v/>
      </c>
      <c r="C469" s="12" t="str">
        <f t="shared" si="35"/>
        <v/>
      </c>
      <c r="D469" s="31" t="str">
        <f>IFERROR(MATCH($A469,'Match Log'!$K$3:$K$501,0)+2,"")</f>
        <v/>
      </c>
      <c r="E469" s="31" t="str">
        <f>IFERROR(MATCH($A469,'Tournament Log'!$O$4:$O$203,0)+3,"")</f>
        <v/>
      </c>
      <c r="F469" s="12" t="str">
        <f>IF(C469="","",IF(C469="Match",INDEX('Match Log'!$B:$B,D469),IF(C469="Tournament",INDEX('Tournament Log'!$C:$C,E469),INDEX('Guest Log'!$B:$B,Q469))))</f>
        <v/>
      </c>
      <c r="G469" s="12" t="str">
        <f>IF(C469="","",IF(C469="Match",INDEX('Match Log'!$C:$C,D469),IF(C469="Tournament",INDEX('Tournament Log'!$B:$B,E469)&amp;" (Phantom)",INDEX('Guest Log'!$H:$H,Q469)&amp;" (Guest)")))</f>
        <v/>
      </c>
      <c r="H469" s="32" t="str">
        <f t="array" ref="H469">IF(C469="","",IFERROR(LOOKUP(2,1/(($F$1:F468=F469)+($G$1:G468=F469)),IF($F$1:F468=F469,$N$1:N468,$O$1:O468)),1000))</f>
        <v/>
      </c>
      <c r="I469" s="12" t="str">
        <f t="array" ref="I469">IF(C469="","",IF(C469="Tournament",INDEX('Tournament Log'!$J:$J,E469),IF(C469="Guest",IF(INDEX('Guest Log'!$I:$I,Q469)="",1000,INDEX('Guest Log'!$I:$I,Q469)),IFERROR(LOOKUP(2,1/(($F$1:F468=G469)+($G$1:G468=G469)),IF($F$1:F468=G469,$N$1:N468,$O$1:O468)),1000))))</f>
        <v/>
      </c>
      <c r="J469" s="12" t="str">
        <f t="shared" si="36"/>
        <v/>
      </c>
      <c r="K469" s="12" t="str">
        <f>IF(C469="","",IF(C469="Match",IF(INDEX('Match Log'!$D:$D,D469)="Win",1,IF(INDEX('Match Log'!$D:$D,D469)="Draw",0.5,0)),IF(C469="Tournament",INDEX('Tournament Log'!$K:$K,E469),IF(INDEX('Guest Log'!$C:$C,Q469)="Win",1,IF(INDEX('Guest Log'!$C:$C,Q469)="Draw",0.5,0)))))</f>
        <v/>
      </c>
      <c r="L469" s="12" t="str">
        <f>IF(C469="","",IF(C469="Match",32,IF(C469="Tournament",MIN(32*INDEX('Tournament Log'!$D:$D,E469),96),32)))</f>
        <v/>
      </c>
      <c r="M469" s="12" t="str">
        <f t="shared" si="37"/>
        <v/>
      </c>
      <c r="N469" s="12" t="str">
        <f t="shared" si="38"/>
        <v/>
      </c>
      <c r="O469" s="12" t="str">
        <f t="shared" si="39"/>
        <v/>
      </c>
      <c r="P469" s="12" t="str">
        <f>IF(C469="Tournament",INDEX('Tournament Log'!$B:$B,E469),IF(C469="Guest","Guest: "&amp;INDEX('Guest Log'!$H:$H,Q469),""))</f>
        <v/>
      </c>
      <c r="Q469" t="str">
        <f>IFERROR(MATCH($A469,'Guest Log'!$L$4:$L$203,0)+3,"")</f>
        <v/>
      </c>
    </row>
    <row r="470" spans="1:17" ht="15" customHeight="1" x14ac:dyDescent="0.2">
      <c r="A470" s="12">
        <f>469</f>
        <v>469</v>
      </c>
      <c r="B470" s="12" t="str">
        <f>IF(C470="","",IF(C470="Match",INDEX('Match Log'!$A:$A,D470),IF(C470="Tournament",INDEX('Tournament Log'!$A:$A,E470),INDEX('Guest Log'!$A:$A,Q470))))</f>
        <v/>
      </c>
      <c r="C470" s="12" t="str">
        <f t="shared" si="35"/>
        <v/>
      </c>
      <c r="D470" s="31" t="str">
        <f>IFERROR(MATCH($A470,'Match Log'!$K$3:$K$501,0)+2,"")</f>
        <v/>
      </c>
      <c r="E470" s="31" t="str">
        <f>IFERROR(MATCH($A470,'Tournament Log'!$O$4:$O$203,0)+3,"")</f>
        <v/>
      </c>
      <c r="F470" s="12" t="str">
        <f>IF(C470="","",IF(C470="Match",INDEX('Match Log'!$B:$B,D470),IF(C470="Tournament",INDEX('Tournament Log'!$C:$C,E470),INDEX('Guest Log'!$B:$B,Q470))))</f>
        <v/>
      </c>
      <c r="G470" s="12" t="str">
        <f>IF(C470="","",IF(C470="Match",INDEX('Match Log'!$C:$C,D470),IF(C470="Tournament",INDEX('Tournament Log'!$B:$B,E470)&amp;" (Phantom)",INDEX('Guest Log'!$H:$H,Q470)&amp;" (Guest)")))</f>
        <v/>
      </c>
      <c r="H470" s="32" t="str">
        <f t="array" ref="H470">IF(C470="","",IFERROR(LOOKUP(2,1/(($F$1:F469=F470)+($G$1:G469=F470)),IF($F$1:F469=F470,$N$1:N469,$O$1:O469)),1000))</f>
        <v/>
      </c>
      <c r="I470" s="12" t="str">
        <f t="array" ref="I470">IF(C470="","",IF(C470="Tournament",INDEX('Tournament Log'!$J:$J,E470),IF(C470="Guest",IF(INDEX('Guest Log'!$I:$I,Q470)="",1000,INDEX('Guest Log'!$I:$I,Q470)),IFERROR(LOOKUP(2,1/(($F$1:F469=G470)+($G$1:G469=G470)),IF($F$1:F469=G470,$N$1:N469,$O$1:O469)),1000))))</f>
        <v/>
      </c>
      <c r="J470" s="12" t="str">
        <f t="shared" si="36"/>
        <v/>
      </c>
      <c r="K470" s="12" t="str">
        <f>IF(C470="","",IF(C470="Match",IF(INDEX('Match Log'!$D:$D,D470)="Win",1,IF(INDEX('Match Log'!$D:$D,D470)="Draw",0.5,0)),IF(C470="Tournament",INDEX('Tournament Log'!$K:$K,E470),IF(INDEX('Guest Log'!$C:$C,Q470)="Win",1,IF(INDEX('Guest Log'!$C:$C,Q470)="Draw",0.5,0)))))</f>
        <v/>
      </c>
      <c r="L470" s="12" t="str">
        <f>IF(C470="","",IF(C470="Match",32,IF(C470="Tournament",MIN(32*INDEX('Tournament Log'!$D:$D,E470),96),32)))</f>
        <v/>
      </c>
      <c r="M470" s="12" t="str">
        <f t="shared" si="37"/>
        <v/>
      </c>
      <c r="N470" s="12" t="str">
        <f t="shared" si="38"/>
        <v/>
      </c>
      <c r="O470" s="12" t="str">
        <f t="shared" si="39"/>
        <v/>
      </c>
      <c r="P470" s="12" t="str">
        <f>IF(C470="Tournament",INDEX('Tournament Log'!$B:$B,E470),IF(C470="Guest","Guest: "&amp;INDEX('Guest Log'!$H:$H,Q470),""))</f>
        <v/>
      </c>
      <c r="Q470" t="str">
        <f>IFERROR(MATCH($A470,'Guest Log'!$L$4:$L$203,0)+3,"")</f>
        <v/>
      </c>
    </row>
    <row r="471" spans="1:17" ht="15" customHeight="1" x14ac:dyDescent="0.2">
      <c r="A471" s="12">
        <f>470</f>
        <v>470</v>
      </c>
      <c r="B471" s="12" t="str">
        <f>IF(C471="","",IF(C471="Match",INDEX('Match Log'!$A:$A,D471),IF(C471="Tournament",INDEX('Tournament Log'!$A:$A,E471),INDEX('Guest Log'!$A:$A,Q471))))</f>
        <v/>
      </c>
      <c r="C471" s="12" t="str">
        <f t="shared" si="35"/>
        <v/>
      </c>
      <c r="D471" s="31" t="str">
        <f>IFERROR(MATCH($A471,'Match Log'!$K$3:$K$501,0)+2,"")</f>
        <v/>
      </c>
      <c r="E471" s="31" t="str">
        <f>IFERROR(MATCH($A471,'Tournament Log'!$O$4:$O$203,0)+3,"")</f>
        <v/>
      </c>
      <c r="F471" s="12" t="str">
        <f>IF(C471="","",IF(C471="Match",INDEX('Match Log'!$B:$B,D471),IF(C471="Tournament",INDEX('Tournament Log'!$C:$C,E471),INDEX('Guest Log'!$B:$B,Q471))))</f>
        <v/>
      </c>
      <c r="G471" s="12" t="str">
        <f>IF(C471="","",IF(C471="Match",INDEX('Match Log'!$C:$C,D471),IF(C471="Tournament",INDEX('Tournament Log'!$B:$B,E471)&amp;" (Phantom)",INDEX('Guest Log'!$H:$H,Q471)&amp;" (Guest)")))</f>
        <v/>
      </c>
      <c r="H471" s="32" t="str">
        <f t="array" ref="H471">IF(C471="","",IFERROR(LOOKUP(2,1/(($F$1:F470=F471)+($G$1:G470=F471)),IF($F$1:F470=F471,$N$1:N470,$O$1:O470)),1000))</f>
        <v/>
      </c>
      <c r="I471" s="12" t="str">
        <f t="array" ref="I471">IF(C471="","",IF(C471="Tournament",INDEX('Tournament Log'!$J:$J,E471),IF(C471="Guest",IF(INDEX('Guest Log'!$I:$I,Q471)="",1000,INDEX('Guest Log'!$I:$I,Q471)),IFERROR(LOOKUP(2,1/(($F$1:F470=G471)+($G$1:G470=G471)),IF($F$1:F470=G471,$N$1:N470,$O$1:O470)),1000))))</f>
        <v/>
      </c>
      <c r="J471" s="12" t="str">
        <f t="shared" si="36"/>
        <v/>
      </c>
      <c r="K471" s="12" t="str">
        <f>IF(C471="","",IF(C471="Match",IF(INDEX('Match Log'!$D:$D,D471)="Win",1,IF(INDEX('Match Log'!$D:$D,D471)="Draw",0.5,0)),IF(C471="Tournament",INDEX('Tournament Log'!$K:$K,E471),IF(INDEX('Guest Log'!$C:$C,Q471)="Win",1,IF(INDEX('Guest Log'!$C:$C,Q471)="Draw",0.5,0)))))</f>
        <v/>
      </c>
      <c r="L471" s="12" t="str">
        <f>IF(C471="","",IF(C471="Match",32,IF(C471="Tournament",MIN(32*INDEX('Tournament Log'!$D:$D,E471),96),32)))</f>
        <v/>
      </c>
      <c r="M471" s="12" t="str">
        <f t="shared" si="37"/>
        <v/>
      </c>
      <c r="N471" s="12" t="str">
        <f t="shared" si="38"/>
        <v/>
      </c>
      <c r="O471" s="12" t="str">
        <f t="shared" si="39"/>
        <v/>
      </c>
      <c r="P471" s="12" t="str">
        <f>IF(C471="Tournament",INDEX('Tournament Log'!$B:$B,E471),IF(C471="Guest","Guest: "&amp;INDEX('Guest Log'!$H:$H,Q471),""))</f>
        <v/>
      </c>
      <c r="Q471" t="str">
        <f>IFERROR(MATCH($A471,'Guest Log'!$L$4:$L$203,0)+3,"")</f>
        <v/>
      </c>
    </row>
    <row r="472" spans="1:17" ht="15" customHeight="1" x14ac:dyDescent="0.2">
      <c r="A472" s="12">
        <f>471</f>
        <v>471</v>
      </c>
      <c r="B472" s="12" t="str">
        <f>IF(C472="","",IF(C472="Match",INDEX('Match Log'!$A:$A,D472),IF(C472="Tournament",INDEX('Tournament Log'!$A:$A,E472),INDEX('Guest Log'!$A:$A,Q472))))</f>
        <v/>
      </c>
      <c r="C472" s="12" t="str">
        <f t="shared" si="35"/>
        <v/>
      </c>
      <c r="D472" s="31" t="str">
        <f>IFERROR(MATCH($A472,'Match Log'!$K$3:$K$501,0)+2,"")</f>
        <v/>
      </c>
      <c r="E472" s="31" t="str">
        <f>IFERROR(MATCH($A472,'Tournament Log'!$O$4:$O$203,0)+3,"")</f>
        <v/>
      </c>
      <c r="F472" s="12" t="str">
        <f>IF(C472="","",IF(C472="Match",INDEX('Match Log'!$B:$B,D472),IF(C472="Tournament",INDEX('Tournament Log'!$C:$C,E472),INDEX('Guest Log'!$B:$B,Q472))))</f>
        <v/>
      </c>
      <c r="G472" s="12" t="str">
        <f>IF(C472="","",IF(C472="Match",INDEX('Match Log'!$C:$C,D472),IF(C472="Tournament",INDEX('Tournament Log'!$B:$B,E472)&amp;" (Phantom)",INDEX('Guest Log'!$H:$H,Q472)&amp;" (Guest)")))</f>
        <v/>
      </c>
      <c r="H472" s="32" t="str">
        <f t="array" ref="H472">IF(C472="","",IFERROR(LOOKUP(2,1/(($F$1:F471=F472)+($G$1:G471=F472)),IF($F$1:F471=F472,$N$1:N471,$O$1:O471)),1000))</f>
        <v/>
      </c>
      <c r="I472" s="12" t="str">
        <f t="array" ref="I472">IF(C472="","",IF(C472="Tournament",INDEX('Tournament Log'!$J:$J,E472),IF(C472="Guest",IF(INDEX('Guest Log'!$I:$I,Q472)="",1000,INDEX('Guest Log'!$I:$I,Q472)),IFERROR(LOOKUP(2,1/(($F$1:F471=G472)+($G$1:G471=G472)),IF($F$1:F471=G472,$N$1:N471,$O$1:O471)),1000))))</f>
        <v/>
      </c>
      <c r="J472" s="12" t="str">
        <f t="shared" si="36"/>
        <v/>
      </c>
      <c r="K472" s="12" t="str">
        <f>IF(C472="","",IF(C472="Match",IF(INDEX('Match Log'!$D:$D,D472)="Win",1,IF(INDEX('Match Log'!$D:$D,D472)="Draw",0.5,0)),IF(C472="Tournament",INDEX('Tournament Log'!$K:$K,E472),IF(INDEX('Guest Log'!$C:$C,Q472)="Win",1,IF(INDEX('Guest Log'!$C:$C,Q472)="Draw",0.5,0)))))</f>
        <v/>
      </c>
      <c r="L472" s="12" t="str">
        <f>IF(C472="","",IF(C472="Match",32,IF(C472="Tournament",MIN(32*INDEX('Tournament Log'!$D:$D,E472),96),32)))</f>
        <v/>
      </c>
      <c r="M472" s="12" t="str">
        <f t="shared" si="37"/>
        <v/>
      </c>
      <c r="N472" s="12" t="str">
        <f t="shared" si="38"/>
        <v/>
      </c>
      <c r="O472" s="12" t="str">
        <f t="shared" si="39"/>
        <v/>
      </c>
      <c r="P472" s="12" t="str">
        <f>IF(C472="Tournament",INDEX('Tournament Log'!$B:$B,E472),IF(C472="Guest","Guest: "&amp;INDEX('Guest Log'!$H:$H,Q472),""))</f>
        <v/>
      </c>
      <c r="Q472" t="str">
        <f>IFERROR(MATCH($A472,'Guest Log'!$L$4:$L$203,0)+3,"")</f>
        <v/>
      </c>
    </row>
    <row r="473" spans="1:17" ht="15" customHeight="1" x14ac:dyDescent="0.2">
      <c r="A473" s="12">
        <f>472</f>
        <v>472</v>
      </c>
      <c r="B473" s="12" t="str">
        <f>IF(C473="","",IF(C473="Match",INDEX('Match Log'!$A:$A,D473),IF(C473="Tournament",INDEX('Tournament Log'!$A:$A,E473),INDEX('Guest Log'!$A:$A,Q473))))</f>
        <v/>
      </c>
      <c r="C473" s="12" t="str">
        <f t="shared" si="35"/>
        <v/>
      </c>
      <c r="D473" s="31" t="str">
        <f>IFERROR(MATCH($A473,'Match Log'!$K$3:$K$501,0)+2,"")</f>
        <v/>
      </c>
      <c r="E473" s="31" t="str">
        <f>IFERROR(MATCH($A473,'Tournament Log'!$O$4:$O$203,0)+3,"")</f>
        <v/>
      </c>
      <c r="F473" s="12" t="str">
        <f>IF(C473="","",IF(C473="Match",INDEX('Match Log'!$B:$B,D473),IF(C473="Tournament",INDEX('Tournament Log'!$C:$C,E473),INDEX('Guest Log'!$B:$B,Q473))))</f>
        <v/>
      </c>
      <c r="G473" s="12" t="str">
        <f>IF(C473="","",IF(C473="Match",INDEX('Match Log'!$C:$C,D473),IF(C473="Tournament",INDEX('Tournament Log'!$B:$B,E473)&amp;" (Phantom)",INDEX('Guest Log'!$H:$H,Q473)&amp;" (Guest)")))</f>
        <v/>
      </c>
      <c r="H473" s="32" t="str">
        <f t="array" ref="H473">IF(C473="","",IFERROR(LOOKUP(2,1/(($F$1:F472=F473)+($G$1:G472=F473)),IF($F$1:F472=F473,$N$1:N472,$O$1:O472)),1000))</f>
        <v/>
      </c>
      <c r="I473" s="12" t="str">
        <f t="array" ref="I473">IF(C473="","",IF(C473="Tournament",INDEX('Tournament Log'!$J:$J,E473),IF(C473="Guest",IF(INDEX('Guest Log'!$I:$I,Q473)="",1000,INDEX('Guest Log'!$I:$I,Q473)),IFERROR(LOOKUP(2,1/(($F$1:F472=G473)+($G$1:G472=G473)),IF($F$1:F472=G473,$N$1:N472,$O$1:O472)),1000))))</f>
        <v/>
      </c>
      <c r="J473" s="12" t="str">
        <f t="shared" si="36"/>
        <v/>
      </c>
      <c r="K473" s="12" t="str">
        <f>IF(C473="","",IF(C473="Match",IF(INDEX('Match Log'!$D:$D,D473)="Win",1,IF(INDEX('Match Log'!$D:$D,D473)="Draw",0.5,0)),IF(C473="Tournament",INDEX('Tournament Log'!$K:$K,E473),IF(INDEX('Guest Log'!$C:$C,Q473)="Win",1,IF(INDEX('Guest Log'!$C:$C,Q473)="Draw",0.5,0)))))</f>
        <v/>
      </c>
      <c r="L473" s="12" t="str">
        <f>IF(C473="","",IF(C473="Match",32,IF(C473="Tournament",MIN(32*INDEX('Tournament Log'!$D:$D,E473),96),32)))</f>
        <v/>
      </c>
      <c r="M473" s="12" t="str">
        <f t="shared" si="37"/>
        <v/>
      </c>
      <c r="N473" s="12" t="str">
        <f t="shared" si="38"/>
        <v/>
      </c>
      <c r="O473" s="12" t="str">
        <f t="shared" si="39"/>
        <v/>
      </c>
      <c r="P473" s="12" t="str">
        <f>IF(C473="Tournament",INDEX('Tournament Log'!$B:$B,E473),IF(C473="Guest","Guest: "&amp;INDEX('Guest Log'!$H:$H,Q473),""))</f>
        <v/>
      </c>
      <c r="Q473" t="str">
        <f>IFERROR(MATCH($A473,'Guest Log'!$L$4:$L$203,0)+3,"")</f>
        <v/>
      </c>
    </row>
    <row r="474" spans="1:17" ht="15" customHeight="1" x14ac:dyDescent="0.2">
      <c r="A474" s="12">
        <f>473</f>
        <v>473</v>
      </c>
      <c r="B474" s="12" t="str">
        <f>IF(C474="","",IF(C474="Match",INDEX('Match Log'!$A:$A,D474),IF(C474="Tournament",INDEX('Tournament Log'!$A:$A,E474),INDEX('Guest Log'!$A:$A,Q474))))</f>
        <v/>
      </c>
      <c r="C474" s="12" t="str">
        <f t="shared" si="35"/>
        <v/>
      </c>
      <c r="D474" s="31" t="str">
        <f>IFERROR(MATCH($A474,'Match Log'!$K$3:$K$501,0)+2,"")</f>
        <v/>
      </c>
      <c r="E474" s="31" t="str">
        <f>IFERROR(MATCH($A474,'Tournament Log'!$O$4:$O$203,0)+3,"")</f>
        <v/>
      </c>
      <c r="F474" s="12" t="str">
        <f>IF(C474="","",IF(C474="Match",INDEX('Match Log'!$B:$B,D474),IF(C474="Tournament",INDEX('Tournament Log'!$C:$C,E474),INDEX('Guest Log'!$B:$B,Q474))))</f>
        <v/>
      </c>
      <c r="G474" s="12" t="str">
        <f>IF(C474="","",IF(C474="Match",INDEX('Match Log'!$C:$C,D474),IF(C474="Tournament",INDEX('Tournament Log'!$B:$B,E474)&amp;" (Phantom)",INDEX('Guest Log'!$H:$H,Q474)&amp;" (Guest)")))</f>
        <v/>
      </c>
      <c r="H474" s="32" t="str">
        <f t="array" ref="H474">IF(C474="","",IFERROR(LOOKUP(2,1/(($F$1:F473=F474)+($G$1:G473=F474)),IF($F$1:F473=F474,$N$1:N473,$O$1:O473)),1000))</f>
        <v/>
      </c>
      <c r="I474" s="12" t="str">
        <f t="array" ref="I474">IF(C474="","",IF(C474="Tournament",INDEX('Tournament Log'!$J:$J,E474),IF(C474="Guest",IF(INDEX('Guest Log'!$I:$I,Q474)="",1000,INDEX('Guest Log'!$I:$I,Q474)),IFERROR(LOOKUP(2,1/(($F$1:F473=G474)+($G$1:G473=G474)),IF($F$1:F473=G474,$N$1:N473,$O$1:O473)),1000))))</f>
        <v/>
      </c>
      <c r="J474" s="12" t="str">
        <f t="shared" si="36"/>
        <v/>
      </c>
      <c r="K474" s="12" t="str">
        <f>IF(C474="","",IF(C474="Match",IF(INDEX('Match Log'!$D:$D,D474)="Win",1,IF(INDEX('Match Log'!$D:$D,D474)="Draw",0.5,0)),IF(C474="Tournament",INDEX('Tournament Log'!$K:$K,E474),IF(INDEX('Guest Log'!$C:$C,Q474)="Win",1,IF(INDEX('Guest Log'!$C:$C,Q474)="Draw",0.5,0)))))</f>
        <v/>
      </c>
      <c r="L474" s="12" t="str">
        <f>IF(C474="","",IF(C474="Match",32,IF(C474="Tournament",MIN(32*INDEX('Tournament Log'!$D:$D,E474),96),32)))</f>
        <v/>
      </c>
      <c r="M474" s="12" t="str">
        <f t="shared" si="37"/>
        <v/>
      </c>
      <c r="N474" s="12" t="str">
        <f t="shared" si="38"/>
        <v/>
      </c>
      <c r="O474" s="12" t="str">
        <f t="shared" si="39"/>
        <v/>
      </c>
      <c r="P474" s="12" t="str">
        <f>IF(C474="Tournament",INDEX('Tournament Log'!$B:$B,E474),IF(C474="Guest","Guest: "&amp;INDEX('Guest Log'!$H:$H,Q474),""))</f>
        <v/>
      </c>
      <c r="Q474" t="str">
        <f>IFERROR(MATCH($A474,'Guest Log'!$L$4:$L$203,0)+3,"")</f>
        <v/>
      </c>
    </row>
    <row r="475" spans="1:17" ht="15" customHeight="1" x14ac:dyDescent="0.2">
      <c r="A475" s="12">
        <f>474</f>
        <v>474</v>
      </c>
      <c r="B475" s="12" t="str">
        <f>IF(C475="","",IF(C475="Match",INDEX('Match Log'!$A:$A,D475),IF(C475="Tournament",INDEX('Tournament Log'!$A:$A,E475),INDEX('Guest Log'!$A:$A,Q475))))</f>
        <v/>
      </c>
      <c r="C475" s="12" t="str">
        <f t="shared" si="35"/>
        <v/>
      </c>
      <c r="D475" s="31" t="str">
        <f>IFERROR(MATCH($A475,'Match Log'!$K$3:$K$501,0)+2,"")</f>
        <v/>
      </c>
      <c r="E475" s="31" t="str">
        <f>IFERROR(MATCH($A475,'Tournament Log'!$O$4:$O$203,0)+3,"")</f>
        <v/>
      </c>
      <c r="F475" s="12" t="str">
        <f>IF(C475="","",IF(C475="Match",INDEX('Match Log'!$B:$B,D475),IF(C475="Tournament",INDEX('Tournament Log'!$C:$C,E475),INDEX('Guest Log'!$B:$B,Q475))))</f>
        <v/>
      </c>
      <c r="G475" s="12" t="str">
        <f>IF(C475="","",IF(C475="Match",INDEX('Match Log'!$C:$C,D475),IF(C475="Tournament",INDEX('Tournament Log'!$B:$B,E475)&amp;" (Phantom)",INDEX('Guest Log'!$H:$H,Q475)&amp;" (Guest)")))</f>
        <v/>
      </c>
      <c r="H475" s="32" t="str">
        <f t="array" ref="H475">IF(C475="","",IFERROR(LOOKUP(2,1/(($F$1:F474=F475)+($G$1:G474=F475)),IF($F$1:F474=F475,$N$1:N474,$O$1:O474)),1000))</f>
        <v/>
      </c>
      <c r="I475" s="12" t="str">
        <f t="array" ref="I475">IF(C475="","",IF(C475="Tournament",INDEX('Tournament Log'!$J:$J,E475),IF(C475="Guest",IF(INDEX('Guest Log'!$I:$I,Q475)="",1000,INDEX('Guest Log'!$I:$I,Q475)),IFERROR(LOOKUP(2,1/(($F$1:F474=G475)+($G$1:G474=G475)),IF($F$1:F474=G475,$N$1:N474,$O$1:O474)),1000))))</f>
        <v/>
      </c>
      <c r="J475" s="12" t="str">
        <f t="shared" si="36"/>
        <v/>
      </c>
      <c r="K475" s="12" t="str">
        <f>IF(C475="","",IF(C475="Match",IF(INDEX('Match Log'!$D:$D,D475)="Win",1,IF(INDEX('Match Log'!$D:$D,D475)="Draw",0.5,0)),IF(C475="Tournament",INDEX('Tournament Log'!$K:$K,E475),IF(INDEX('Guest Log'!$C:$C,Q475)="Win",1,IF(INDEX('Guest Log'!$C:$C,Q475)="Draw",0.5,0)))))</f>
        <v/>
      </c>
      <c r="L475" s="12" t="str">
        <f>IF(C475="","",IF(C475="Match",32,IF(C475="Tournament",MIN(32*INDEX('Tournament Log'!$D:$D,E475),96),32)))</f>
        <v/>
      </c>
      <c r="M475" s="12" t="str">
        <f t="shared" si="37"/>
        <v/>
      </c>
      <c r="N475" s="12" t="str">
        <f t="shared" si="38"/>
        <v/>
      </c>
      <c r="O475" s="12" t="str">
        <f t="shared" si="39"/>
        <v/>
      </c>
      <c r="P475" s="12" t="str">
        <f>IF(C475="Tournament",INDEX('Tournament Log'!$B:$B,E475),IF(C475="Guest","Guest: "&amp;INDEX('Guest Log'!$H:$H,Q475),""))</f>
        <v/>
      </c>
      <c r="Q475" t="str">
        <f>IFERROR(MATCH($A475,'Guest Log'!$L$4:$L$203,0)+3,"")</f>
        <v/>
      </c>
    </row>
    <row r="476" spans="1:17" ht="15" customHeight="1" x14ac:dyDescent="0.2">
      <c r="A476" s="12">
        <f>475</f>
        <v>475</v>
      </c>
      <c r="B476" s="12" t="str">
        <f>IF(C476="","",IF(C476="Match",INDEX('Match Log'!$A:$A,D476),IF(C476="Tournament",INDEX('Tournament Log'!$A:$A,E476),INDEX('Guest Log'!$A:$A,Q476))))</f>
        <v/>
      </c>
      <c r="C476" s="12" t="str">
        <f t="shared" si="35"/>
        <v/>
      </c>
      <c r="D476" s="31" t="str">
        <f>IFERROR(MATCH($A476,'Match Log'!$K$3:$K$501,0)+2,"")</f>
        <v/>
      </c>
      <c r="E476" s="31" t="str">
        <f>IFERROR(MATCH($A476,'Tournament Log'!$O$4:$O$203,0)+3,"")</f>
        <v/>
      </c>
      <c r="F476" s="12" t="str">
        <f>IF(C476="","",IF(C476="Match",INDEX('Match Log'!$B:$B,D476),IF(C476="Tournament",INDEX('Tournament Log'!$C:$C,E476),INDEX('Guest Log'!$B:$B,Q476))))</f>
        <v/>
      </c>
      <c r="G476" s="12" t="str">
        <f>IF(C476="","",IF(C476="Match",INDEX('Match Log'!$C:$C,D476),IF(C476="Tournament",INDEX('Tournament Log'!$B:$B,E476)&amp;" (Phantom)",INDEX('Guest Log'!$H:$H,Q476)&amp;" (Guest)")))</f>
        <v/>
      </c>
      <c r="H476" s="32" t="str">
        <f t="array" ref="H476">IF(C476="","",IFERROR(LOOKUP(2,1/(($F$1:F475=F476)+($G$1:G475=F476)),IF($F$1:F475=F476,$N$1:N475,$O$1:O475)),1000))</f>
        <v/>
      </c>
      <c r="I476" s="12" t="str">
        <f t="array" ref="I476">IF(C476="","",IF(C476="Tournament",INDEX('Tournament Log'!$J:$J,E476),IF(C476="Guest",IF(INDEX('Guest Log'!$I:$I,Q476)="",1000,INDEX('Guest Log'!$I:$I,Q476)),IFERROR(LOOKUP(2,1/(($F$1:F475=G476)+($G$1:G475=G476)),IF($F$1:F475=G476,$N$1:N475,$O$1:O475)),1000))))</f>
        <v/>
      </c>
      <c r="J476" s="12" t="str">
        <f t="shared" si="36"/>
        <v/>
      </c>
      <c r="K476" s="12" t="str">
        <f>IF(C476="","",IF(C476="Match",IF(INDEX('Match Log'!$D:$D,D476)="Win",1,IF(INDEX('Match Log'!$D:$D,D476)="Draw",0.5,0)),IF(C476="Tournament",INDEX('Tournament Log'!$K:$K,E476),IF(INDEX('Guest Log'!$C:$C,Q476)="Win",1,IF(INDEX('Guest Log'!$C:$C,Q476)="Draw",0.5,0)))))</f>
        <v/>
      </c>
      <c r="L476" s="12" t="str">
        <f>IF(C476="","",IF(C476="Match",32,IF(C476="Tournament",MIN(32*INDEX('Tournament Log'!$D:$D,E476),96),32)))</f>
        <v/>
      </c>
      <c r="M476" s="12" t="str">
        <f t="shared" si="37"/>
        <v/>
      </c>
      <c r="N476" s="12" t="str">
        <f t="shared" si="38"/>
        <v/>
      </c>
      <c r="O476" s="12" t="str">
        <f t="shared" si="39"/>
        <v/>
      </c>
      <c r="P476" s="12" t="str">
        <f>IF(C476="Tournament",INDEX('Tournament Log'!$B:$B,E476),IF(C476="Guest","Guest: "&amp;INDEX('Guest Log'!$H:$H,Q476),""))</f>
        <v/>
      </c>
      <c r="Q476" t="str">
        <f>IFERROR(MATCH($A476,'Guest Log'!$L$4:$L$203,0)+3,"")</f>
        <v/>
      </c>
    </row>
    <row r="477" spans="1:17" ht="15" customHeight="1" x14ac:dyDescent="0.2">
      <c r="A477" s="12">
        <f>476</f>
        <v>476</v>
      </c>
      <c r="B477" s="12" t="str">
        <f>IF(C477="","",IF(C477="Match",INDEX('Match Log'!$A:$A,D477),IF(C477="Tournament",INDEX('Tournament Log'!$A:$A,E477),INDEX('Guest Log'!$A:$A,Q477))))</f>
        <v/>
      </c>
      <c r="C477" s="12" t="str">
        <f t="shared" si="35"/>
        <v/>
      </c>
      <c r="D477" s="31" t="str">
        <f>IFERROR(MATCH($A477,'Match Log'!$K$3:$K$501,0)+2,"")</f>
        <v/>
      </c>
      <c r="E477" s="31" t="str">
        <f>IFERROR(MATCH($A477,'Tournament Log'!$O$4:$O$203,0)+3,"")</f>
        <v/>
      </c>
      <c r="F477" s="12" t="str">
        <f>IF(C477="","",IF(C477="Match",INDEX('Match Log'!$B:$B,D477),IF(C477="Tournament",INDEX('Tournament Log'!$C:$C,E477),INDEX('Guest Log'!$B:$B,Q477))))</f>
        <v/>
      </c>
      <c r="G477" s="12" t="str">
        <f>IF(C477="","",IF(C477="Match",INDEX('Match Log'!$C:$C,D477),IF(C477="Tournament",INDEX('Tournament Log'!$B:$B,E477)&amp;" (Phantom)",INDEX('Guest Log'!$H:$H,Q477)&amp;" (Guest)")))</f>
        <v/>
      </c>
      <c r="H477" s="32" t="str">
        <f t="array" ref="H477">IF(C477="","",IFERROR(LOOKUP(2,1/(($F$1:F476=F477)+($G$1:G476=F477)),IF($F$1:F476=F477,$N$1:N476,$O$1:O476)),1000))</f>
        <v/>
      </c>
      <c r="I477" s="12" t="str">
        <f t="array" ref="I477">IF(C477="","",IF(C477="Tournament",INDEX('Tournament Log'!$J:$J,E477),IF(C477="Guest",IF(INDEX('Guest Log'!$I:$I,Q477)="",1000,INDEX('Guest Log'!$I:$I,Q477)),IFERROR(LOOKUP(2,1/(($F$1:F476=G477)+($G$1:G476=G477)),IF($F$1:F476=G477,$N$1:N476,$O$1:O476)),1000))))</f>
        <v/>
      </c>
      <c r="J477" s="12" t="str">
        <f t="shared" si="36"/>
        <v/>
      </c>
      <c r="K477" s="12" t="str">
        <f>IF(C477="","",IF(C477="Match",IF(INDEX('Match Log'!$D:$D,D477)="Win",1,IF(INDEX('Match Log'!$D:$D,D477)="Draw",0.5,0)),IF(C477="Tournament",INDEX('Tournament Log'!$K:$K,E477),IF(INDEX('Guest Log'!$C:$C,Q477)="Win",1,IF(INDEX('Guest Log'!$C:$C,Q477)="Draw",0.5,0)))))</f>
        <v/>
      </c>
      <c r="L477" s="12" t="str">
        <f>IF(C477="","",IF(C477="Match",32,IF(C477="Tournament",MIN(32*INDEX('Tournament Log'!$D:$D,E477),96),32)))</f>
        <v/>
      </c>
      <c r="M477" s="12" t="str">
        <f t="shared" si="37"/>
        <v/>
      </c>
      <c r="N477" s="12" t="str">
        <f t="shared" si="38"/>
        <v/>
      </c>
      <c r="O477" s="12" t="str">
        <f t="shared" si="39"/>
        <v/>
      </c>
      <c r="P477" s="12" t="str">
        <f>IF(C477="Tournament",INDEX('Tournament Log'!$B:$B,E477),IF(C477="Guest","Guest: "&amp;INDEX('Guest Log'!$H:$H,Q477),""))</f>
        <v/>
      </c>
      <c r="Q477" t="str">
        <f>IFERROR(MATCH($A477,'Guest Log'!$L$4:$L$203,0)+3,"")</f>
        <v/>
      </c>
    </row>
    <row r="478" spans="1:17" ht="15" customHeight="1" x14ac:dyDescent="0.2">
      <c r="A478" s="12">
        <f>477</f>
        <v>477</v>
      </c>
      <c r="B478" s="12" t="str">
        <f>IF(C478="","",IF(C478="Match",INDEX('Match Log'!$A:$A,D478),IF(C478="Tournament",INDEX('Tournament Log'!$A:$A,E478),INDEX('Guest Log'!$A:$A,Q478))))</f>
        <v/>
      </c>
      <c r="C478" s="12" t="str">
        <f t="shared" si="35"/>
        <v/>
      </c>
      <c r="D478" s="31" t="str">
        <f>IFERROR(MATCH($A478,'Match Log'!$K$3:$K$501,0)+2,"")</f>
        <v/>
      </c>
      <c r="E478" s="31" t="str">
        <f>IFERROR(MATCH($A478,'Tournament Log'!$O$4:$O$203,0)+3,"")</f>
        <v/>
      </c>
      <c r="F478" s="12" t="str">
        <f>IF(C478="","",IF(C478="Match",INDEX('Match Log'!$B:$B,D478),IF(C478="Tournament",INDEX('Tournament Log'!$C:$C,E478),INDEX('Guest Log'!$B:$B,Q478))))</f>
        <v/>
      </c>
      <c r="G478" s="12" t="str">
        <f>IF(C478="","",IF(C478="Match",INDEX('Match Log'!$C:$C,D478),IF(C478="Tournament",INDEX('Tournament Log'!$B:$B,E478)&amp;" (Phantom)",INDEX('Guest Log'!$H:$H,Q478)&amp;" (Guest)")))</f>
        <v/>
      </c>
      <c r="H478" s="32" t="str">
        <f t="array" ref="H478">IF(C478="","",IFERROR(LOOKUP(2,1/(($F$1:F477=F478)+($G$1:G477=F478)),IF($F$1:F477=F478,$N$1:N477,$O$1:O477)),1000))</f>
        <v/>
      </c>
      <c r="I478" s="12" t="str">
        <f t="array" ref="I478">IF(C478="","",IF(C478="Tournament",INDEX('Tournament Log'!$J:$J,E478),IF(C478="Guest",IF(INDEX('Guest Log'!$I:$I,Q478)="",1000,INDEX('Guest Log'!$I:$I,Q478)),IFERROR(LOOKUP(2,1/(($F$1:F477=G478)+($G$1:G477=G478)),IF($F$1:F477=G478,$N$1:N477,$O$1:O477)),1000))))</f>
        <v/>
      </c>
      <c r="J478" s="12" t="str">
        <f t="shared" si="36"/>
        <v/>
      </c>
      <c r="K478" s="12" t="str">
        <f>IF(C478="","",IF(C478="Match",IF(INDEX('Match Log'!$D:$D,D478)="Win",1,IF(INDEX('Match Log'!$D:$D,D478)="Draw",0.5,0)),IF(C478="Tournament",INDEX('Tournament Log'!$K:$K,E478),IF(INDEX('Guest Log'!$C:$C,Q478)="Win",1,IF(INDEX('Guest Log'!$C:$C,Q478)="Draw",0.5,0)))))</f>
        <v/>
      </c>
      <c r="L478" s="12" t="str">
        <f>IF(C478="","",IF(C478="Match",32,IF(C478="Tournament",MIN(32*INDEX('Tournament Log'!$D:$D,E478),96),32)))</f>
        <v/>
      </c>
      <c r="M478" s="12" t="str">
        <f t="shared" si="37"/>
        <v/>
      </c>
      <c r="N478" s="12" t="str">
        <f t="shared" si="38"/>
        <v/>
      </c>
      <c r="O478" s="12" t="str">
        <f t="shared" si="39"/>
        <v/>
      </c>
      <c r="P478" s="12" t="str">
        <f>IF(C478="Tournament",INDEX('Tournament Log'!$B:$B,E478),IF(C478="Guest","Guest: "&amp;INDEX('Guest Log'!$H:$H,Q478),""))</f>
        <v/>
      </c>
      <c r="Q478" t="str">
        <f>IFERROR(MATCH($A478,'Guest Log'!$L$4:$L$203,0)+3,"")</f>
        <v/>
      </c>
    </row>
    <row r="479" spans="1:17" ht="15" customHeight="1" x14ac:dyDescent="0.2">
      <c r="A479" s="12">
        <f>478</f>
        <v>478</v>
      </c>
      <c r="B479" s="12" t="str">
        <f>IF(C479="","",IF(C479="Match",INDEX('Match Log'!$A:$A,D479),IF(C479="Tournament",INDEX('Tournament Log'!$A:$A,E479),INDEX('Guest Log'!$A:$A,Q479))))</f>
        <v/>
      </c>
      <c r="C479" s="12" t="str">
        <f t="shared" si="35"/>
        <v/>
      </c>
      <c r="D479" s="31" t="str">
        <f>IFERROR(MATCH($A479,'Match Log'!$K$3:$K$501,0)+2,"")</f>
        <v/>
      </c>
      <c r="E479" s="31" t="str">
        <f>IFERROR(MATCH($A479,'Tournament Log'!$O$4:$O$203,0)+3,"")</f>
        <v/>
      </c>
      <c r="F479" s="12" t="str">
        <f>IF(C479="","",IF(C479="Match",INDEX('Match Log'!$B:$B,D479),IF(C479="Tournament",INDEX('Tournament Log'!$C:$C,E479),INDEX('Guest Log'!$B:$B,Q479))))</f>
        <v/>
      </c>
      <c r="G479" s="12" t="str">
        <f>IF(C479="","",IF(C479="Match",INDEX('Match Log'!$C:$C,D479),IF(C479="Tournament",INDEX('Tournament Log'!$B:$B,E479)&amp;" (Phantom)",INDEX('Guest Log'!$H:$H,Q479)&amp;" (Guest)")))</f>
        <v/>
      </c>
      <c r="H479" s="32" t="str">
        <f t="array" ref="H479">IF(C479="","",IFERROR(LOOKUP(2,1/(($F$1:F478=F479)+($G$1:G478=F479)),IF($F$1:F478=F479,$N$1:N478,$O$1:O478)),1000))</f>
        <v/>
      </c>
      <c r="I479" s="12" t="str">
        <f t="array" ref="I479">IF(C479="","",IF(C479="Tournament",INDEX('Tournament Log'!$J:$J,E479),IF(C479="Guest",IF(INDEX('Guest Log'!$I:$I,Q479)="",1000,INDEX('Guest Log'!$I:$I,Q479)),IFERROR(LOOKUP(2,1/(($F$1:F478=G479)+($G$1:G478=G479)),IF($F$1:F478=G479,$N$1:N478,$O$1:O478)),1000))))</f>
        <v/>
      </c>
      <c r="J479" s="12" t="str">
        <f t="shared" si="36"/>
        <v/>
      </c>
      <c r="K479" s="12" t="str">
        <f>IF(C479="","",IF(C479="Match",IF(INDEX('Match Log'!$D:$D,D479)="Win",1,IF(INDEX('Match Log'!$D:$D,D479)="Draw",0.5,0)),IF(C479="Tournament",INDEX('Tournament Log'!$K:$K,E479),IF(INDEX('Guest Log'!$C:$C,Q479)="Win",1,IF(INDEX('Guest Log'!$C:$C,Q479)="Draw",0.5,0)))))</f>
        <v/>
      </c>
      <c r="L479" s="12" t="str">
        <f>IF(C479="","",IF(C479="Match",32,IF(C479="Tournament",MIN(32*INDEX('Tournament Log'!$D:$D,E479),96),32)))</f>
        <v/>
      </c>
      <c r="M479" s="12" t="str">
        <f t="shared" si="37"/>
        <v/>
      </c>
      <c r="N479" s="12" t="str">
        <f t="shared" si="38"/>
        <v/>
      </c>
      <c r="O479" s="12" t="str">
        <f t="shared" si="39"/>
        <v/>
      </c>
      <c r="P479" s="12" t="str">
        <f>IF(C479="Tournament",INDEX('Tournament Log'!$B:$B,E479),IF(C479="Guest","Guest: "&amp;INDEX('Guest Log'!$H:$H,Q479),""))</f>
        <v/>
      </c>
      <c r="Q479" t="str">
        <f>IFERROR(MATCH($A479,'Guest Log'!$L$4:$L$203,0)+3,"")</f>
        <v/>
      </c>
    </row>
    <row r="480" spans="1:17" ht="15" customHeight="1" x14ac:dyDescent="0.2">
      <c r="A480" s="12">
        <f>479</f>
        <v>479</v>
      </c>
      <c r="B480" s="12" t="str">
        <f>IF(C480="","",IF(C480="Match",INDEX('Match Log'!$A:$A,D480),IF(C480="Tournament",INDEX('Tournament Log'!$A:$A,E480),INDEX('Guest Log'!$A:$A,Q480))))</f>
        <v/>
      </c>
      <c r="C480" s="12" t="str">
        <f t="shared" si="35"/>
        <v/>
      </c>
      <c r="D480" s="31" t="str">
        <f>IFERROR(MATCH($A480,'Match Log'!$K$3:$K$501,0)+2,"")</f>
        <v/>
      </c>
      <c r="E480" s="31" t="str">
        <f>IFERROR(MATCH($A480,'Tournament Log'!$O$4:$O$203,0)+3,"")</f>
        <v/>
      </c>
      <c r="F480" s="12" t="str">
        <f>IF(C480="","",IF(C480="Match",INDEX('Match Log'!$B:$B,D480),IF(C480="Tournament",INDEX('Tournament Log'!$C:$C,E480),INDEX('Guest Log'!$B:$B,Q480))))</f>
        <v/>
      </c>
      <c r="G480" s="12" t="str">
        <f>IF(C480="","",IF(C480="Match",INDEX('Match Log'!$C:$C,D480),IF(C480="Tournament",INDEX('Tournament Log'!$B:$B,E480)&amp;" (Phantom)",INDEX('Guest Log'!$H:$H,Q480)&amp;" (Guest)")))</f>
        <v/>
      </c>
      <c r="H480" s="32" t="str">
        <f t="array" ref="H480">IF(C480="","",IFERROR(LOOKUP(2,1/(($F$1:F479=F480)+($G$1:G479=F480)),IF($F$1:F479=F480,$N$1:N479,$O$1:O479)),1000))</f>
        <v/>
      </c>
      <c r="I480" s="12" t="str">
        <f t="array" ref="I480">IF(C480="","",IF(C480="Tournament",INDEX('Tournament Log'!$J:$J,E480),IF(C480="Guest",IF(INDEX('Guest Log'!$I:$I,Q480)="",1000,INDEX('Guest Log'!$I:$I,Q480)),IFERROR(LOOKUP(2,1/(($F$1:F479=G480)+($G$1:G479=G480)),IF($F$1:F479=G480,$N$1:N479,$O$1:O479)),1000))))</f>
        <v/>
      </c>
      <c r="J480" s="12" t="str">
        <f t="shared" si="36"/>
        <v/>
      </c>
      <c r="K480" s="12" t="str">
        <f>IF(C480="","",IF(C480="Match",IF(INDEX('Match Log'!$D:$D,D480)="Win",1,IF(INDEX('Match Log'!$D:$D,D480)="Draw",0.5,0)),IF(C480="Tournament",INDEX('Tournament Log'!$K:$K,E480),IF(INDEX('Guest Log'!$C:$C,Q480)="Win",1,IF(INDEX('Guest Log'!$C:$C,Q480)="Draw",0.5,0)))))</f>
        <v/>
      </c>
      <c r="L480" s="12" t="str">
        <f>IF(C480="","",IF(C480="Match",32,IF(C480="Tournament",MIN(32*INDEX('Tournament Log'!$D:$D,E480),96),32)))</f>
        <v/>
      </c>
      <c r="M480" s="12" t="str">
        <f t="shared" si="37"/>
        <v/>
      </c>
      <c r="N480" s="12" t="str">
        <f t="shared" si="38"/>
        <v/>
      </c>
      <c r="O480" s="12" t="str">
        <f t="shared" si="39"/>
        <v/>
      </c>
      <c r="P480" s="12" t="str">
        <f>IF(C480="Tournament",INDEX('Tournament Log'!$B:$B,E480),IF(C480="Guest","Guest: "&amp;INDEX('Guest Log'!$H:$H,Q480),""))</f>
        <v/>
      </c>
      <c r="Q480" t="str">
        <f>IFERROR(MATCH($A480,'Guest Log'!$L$4:$L$203,0)+3,"")</f>
        <v/>
      </c>
    </row>
    <row r="481" spans="1:17" ht="15" customHeight="1" x14ac:dyDescent="0.2">
      <c r="A481" s="12">
        <f>480</f>
        <v>480</v>
      </c>
      <c r="B481" s="12" t="str">
        <f>IF(C481="","",IF(C481="Match",INDEX('Match Log'!$A:$A,D481),IF(C481="Tournament",INDEX('Tournament Log'!$A:$A,E481),INDEX('Guest Log'!$A:$A,Q481))))</f>
        <v/>
      </c>
      <c r="C481" s="12" t="str">
        <f t="shared" si="35"/>
        <v/>
      </c>
      <c r="D481" s="31" t="str">
        <f>IFERROR(MATCH($A481,'Match Log'!$K$3:$K$501,0)+2,"")</f>
        <v/>
      </c>
      <c r="E481" s="31" t="str">
        <f>IFERROR(MATCH($A481,'Tournament Log'!$O$4:$O$203,0)+3,"")</f>
        <v/>
      </c>
      <c r="F481" s="12" t="str">
        <f>IF(C481="","",IF(C481="Match",INDEX('Match Log'!$B:$B,D481),IF(C481="Tournament",INDEX('Tournament Log'!$C:$C,E481),INDEX('Guest Log'!$B:$B,Q481))))</f>
        <v/>
      </c>
      <c r="G481" s="12" t="str">
        <f>IF(C481="","",IF(C481="Match",INDEX('Match Log'!$C:$C,D481),IF(C481="Tournament",INDEX('Tournament Log'!$B:$B,E481)&amp;" (Phantom)",INDEX('Guest Log'!$H:$H,Q481)&amp;" (Guest)")))</f>
        <v/>
      </c>
      <c r="H481" s="32" t="str">
        <f t="array" ref="H481">IF(C481="","",IFERROR(LOOKUP(2,1/(($F$1:F480=F481)+($G$1:G480=F481)),IF($F$1:F480=F481,$N$1:N480,$O$1:O480)),1000))</f>
        <v/>
      </c>
      <c r="I481" s="12" t="str">
        <f t="array" ref="I481">IF(C481="","",IF(C481="Tournament",INDEX('Tournament Log'!$J:$J,E481),IF(C481="Guest",IF(INDEX('Guest Log'!$I:$I,Q481)="",1000,INDEX('Guest Log'!$I:$I,Q481)),IFERROR(LOOKUP(2,1/(($F$1:F480=G481)+($G$1:G480=G481)),IF($F$1:F480=G481,$N$1:N480,$O$1:O480)),1000))))</f>
        <v/>
      </c>
      <c r="J481" s="12" t="str">
        <f t="shared" si="36"/>
        <v/>
      </c>
      <c r="K481" s="12" t="str">
        <f>IF(C481="","",IF(C481="Match",IF(INDEX('Match Log'!$D:$D,D481)="Win",1,IF(INDEX('Match Log'!$D:$D,D481)="Draw",0.5,0)),IF(C481="Tournament",INDEX('Tournament Log'!$K:$K,E481),IF(INDEX('Guest Log'!$C:$C,Q481)="Win",1,IF(INDEX('Guest Log'!$C:$C,Q481)="Draw",0.5,0)))))</f>
        <v/>
      </c>
      <c r="L481" s="12" t="str">
        <f>IF(C481="","",IF(C481="Match",32,IF(C481="Tournament",MIN(32*INDEX('Tournament Log'!$D:$D,E481),96),32)))</f>
        <v/>
      </c>
      <c r="M481" s="12" t="str">
        <f t="shared" si="37"/>
        <v/>
      </c>
      <c r="N481" s="12" t="str">
        <f t="shared" si="38"/>
        <v/>
      </c>
      <c r="O481" s="12" t="str">
        <f t="shared" si="39"/>
        <v/>
      </c>
      <c r="P481" s="12" t="str">
        <f>IF(C481="Tournament",INDEX('Tournament Log'!$B:$B,E481),IF(C481="Guest","Guest: "&amp;INDEX('Guest Log'!$H:$H,Q481),""))</f>
        <v/>
      </c>
      <c r="Q481" t="str">
        <f>IFERROR(MATCH($A481,'Guest Log'!$L$4:$L$203,0)+3,"")</f>
        <v/>
      </c>
    </row>
    <row r="482" spans="1:17" ht="15" customHeight="1" x14ac:dyDescent="0.2">
      <c r="A482" s="12">
        <f>481</f>
        <v>481</v>
      </c>
      <c r="B482" s="12" t="str">
        <f>IF(C482="","",IF(C482="Match",INDEX('Match Log'!$A:$A,D482),IF(C482="Tournament",INDEX('Tournament Log'!$A:$A,E482),INDEX('Guest Log'!$A:$A,Q482))))</f>
        <v/>
      </c>
      <c r="C482" s="12" t="str">
        <f t="shared" si="35"/>
        <v/>
      </c>
      <c r="D482" s="31" t="str">
        <f>IFERROR(MATCH($A482,'Match Log'!$K$3:$K$501,0)+2,"")</f>
        <v/>
      </c>
      <c r="E482" s="31" t="str">
        <f>IFERROR(MATCH($A482,'Tournament Log'!$O$4:$O$203,0)+3,"")</f>
        <v/>
      </c>
      <c r="F482" s="12" t="str">
        <f>IF(C482="","",IF(C482="Match",INDEX('Match Log'!$B:$B,D482),IF(C482="Tournament",INDEX('Tournament Log'!$C:$C,E482),INDEX('Guest Log'!$B:$B,Q482))))</f>
        <v/>
      </c>
      <c r="G482" s="12" t="str">
        <f>IF(C482="","",IF(C482="Match",INDEX('Match Log'!$C:$C,D482),IF(C482="Tournament",INDEX('Tournament Log'!$B:$B,E482)&amp;" (Phantom)",INDEX('Guest Log'!$H:$H,Q482)&amp;" (Guest)")))</f>
        <v/>
      </c>
      <c r="H482" s="32" t="str">
        <f t="array" ref="H482">IF(C482="","",IFERROR(LOOKUP(2,1/(($F$1:F481=F482)+($G$1:G481=F482)),IF($F$1:F481=F482,$N$1:N481,$O$1:O481)),1000))</f>
        <v/>
      </c>
      <c r="I482" s="12" t="str">
        <f t="array" ref="I482">IF(C482="","",IF(C482="Tournament",INDEX('Tournament Log'!$J:$J,E482),IF(C482="Guest",IF(INDEX('Guest Log'!$I:$I,Q482)="",1000,INDEX('Guest Log'!$I:$I,Q482)),IFERROR(LOOKUP(2,1/(($F$1:F481=G482)+($G$1:G481=G482)),IF($F$1:F481=G482,$N$1:N481,$O$1:O481)),1000))))</f>
        <v/>
      </c>
      <c r="J482" s="12" t="str">
        <f t="shared" si="36"/>
        <v/>
      </c>
      <c r="K482" s="12" t="str">
        <f>IF(C482="","",IF(C482="Match",IF(INDEX('Match Log'!$D:$D,D482)="Win",1,IF(INDEX('Match Log'!$D:$D,D482)="Draw",0.5,0)),IF(C482="Tournament",INDEX('Tournament Log'!$K:$K,E482),IF(INDEX('Guest Log'!$C:$C,Q482)="Win",1,IF(INDEX('Guest Log'!$C:$C,Q482)="Draw",0.5,0)))))</f>
        <v/>
      </c>
      <c r="L482" s="12" t="str">
        <f>IF(C482="","",IF(C482="Match",32,IF(C482="Tournament",MIN(32*INDEX('Tournament Log'!$D:$D,E482),96),32)))</f>
        <v/>
      </c>
      <c r="M482" s="12" t="str">
        <f t="shared" si="37"/>
        <v/>
      </c>
      <c r="N482" s="12" t="str">
        <f t="shared" si="38"/>
        <v/>
      </c>
      <c r="O482" s="12" t="str">
        <f t="shared" si="39"/>
        <v/>
      </c>
      <c r="P482" s="12" t="str">
        <f>IF(C482="Tournament",INDEX('Tournament Log'!$B:$B,E482),IF(C482="Guest","Guest: "&amp;INDEX('Guest Log'!$H:$H,Q482),""))</f>
        <v/>
      </c>
      <c r="Q482" t="str">
        <f>IFERROR(MATCH($A482,'Guest Log'!$L$4:$L$203,0)+3,"")</f>
        <v/>
      </c>
    </row>
    <row r="483" spans="1:17" ht="15" customHeight="1" x14ac:dyDescent="0.2">
      <c r="A483" s="12">
        <f>482</f>
        <v>482</v>
      </c>
      <c r="B483" s="12" t="str">
        <f>IF(C483="","",IF(C483="Match",INDEX('Match Log'!$A:$A,D483),IF(C483="Tournament",INDEX('Tournament Log'!$A:$A,E483),INDEX('Guest Log'!$A:$A,Q483))))</f>
        <v/>
      </c>
      <c r="C483" s="12" t="str">
        <f t="shared" si="35"/>
        <v/>
      </c>
      <c r="D483" s="31" t="str">
        <f>IFERROR(MATCH($A483,'Match Log'!$K$3:$K$501,0)+2,"")</f>
        <v/>
      </c>
      <c r="E483" s="31" t="str">
        <f>IFERROR(MATCH($A483,'Tournament Log'!$O$4:$O$203,0)+3,"")</f>
        <v/>
      </c>
      <c r="F483" s="12" t="str">
        <f>IF(C483="","",IF(C483="Match",INDEX('Match Log'!$B:$B,D483),IF(C483="Tournament",INDEX('Tournament Log'!$C:$C,E483),INDEX('Guest Log'!$B:$B,Q483))))</f>
        <v/>
      </c>
      <c r="G483" s="12" t="str">
        <f>IF(C483="","",IF(C483="Match",INDEX('Match Log'!$C:$C,D483),IF(C483="Tournament",INDEX('Tournament Log'!$B:$B,E483)&amp;" (Phantom)",INDEX('Guest Log'!$H:$H,Q483)&amp;" (Guest)")))</f>
        <v/>
      </c>
      <c r="H483" s="32" t="str">
        <f t="array" ref="H483">IF(C483="","",IFERROR(LOOKUP(2,1/(($F$1:F482=F483)+($G$1:G482=F483)),IF($F$1:F482=F483,$N$1:N482,$O$1:O482)),1000))</f>
        <v/>
      </c>
      <c r="I483" s="12" t="str">
        <f t="array" ref="I483">IF(C483="","",IF(C483="Tournament",INDEX('Tournament Log'!$J:$J,E483),IF(C483="Guest",IF(INDEX('Guest Log'!$I:$I,Q483)="",1000,INDEX('Guest Log'!$I:$I,Q483)),IFERROR(LOOKUP(2,1/(($F$1:F482=G483)+($G$1:G482=G483)),IF($F$1:F482=G483,$N$1:N482,$O$1:O482)),1000))))</f>
        <v/>
      </c>
      <c r="J483" s="12" t="str">
        <f t="shared" si="36"/>
        <v/>
      </c>
      <c r="K483" s="12" t="str">
        <f>IF(C483="","",IF(C483="Match",IF(INDEX('Match Log'!$D:$D,D483)="Win",1,IF(INDEX('Match Log'!$D:$D,D483)="Draw",0.5,0)),IF(C483="Tournament",INDEX('Tournament Log'!$K:$K,E483),IF(INDEX('Guest Log'!$C:$C,Q483)="Win",1,IF(INDEX('Guest Log'!$C:$C,Q483)="Draw",0.5,0)))))</f>
        <v/>
      </c>
      <c r="L483" s="12" t="str">
        <f>IF(C483="","",IF(C483="Match",32,IF(C483="Tournament",MIN(32*INDEX('Tournament Log'!$D:$D,E483),96),32)))</f>
        <v/>
      </c>
      <c r="M483" s="12" t="str">
        <f t="shared" si="37"/>
        <v/>
      </c>
      <c r="N483" s="12" t="str">
        <f t="shared" si="38"/>
        <v/>
      </c>
      <c r="O483" s="12" t="str">
        <f t="shared" si="39"/>
        <v/>
      </c>
      <c r="P483" s="12" t="str">
        <f>IF(C483="Tournament",INDEX('Tournament Log'!$B:$B,E483),IF(C483="Guest","Guest: "&amp;INDEX('Guest Log'!$H:$H,Q483),""))</f>
        <v/>
      </c>
      <c r="Q483" t="str">
        <f>IFERROR(MATCH($A483,'Guest Log'!$L$4:$L$203,0)+3,"")</f>
        <v/>
      </c>
    </row>
    <row r="484" spans="1:17" ht="15" customHeight="1" x14ac:dyDescent="0.2">
      <c r="A484" s="12">
        <f>483</f>
        <v>483</v>
      </c>
      <c r="B484" s="12" t="str">
        <f>IF(C484="","",IF(C484="Match",INDEX('Match Log'!$A:$A,D484),IF(C484="Tournament",INDEX('Tournament Log'!$A:$A,E484),INDEX('Guest Log'!$A:$A,Q484))))</f>
        <v/>
      </c>
      <c r="C484" s="12" t="str">
        <f t="shared" si="35"/>
        <v/>
      </c>
      <c r="D484" s="31" t="str">
        <f>IFERROR(MATCH($A484,'Match Log'!$K$3:$K$501,0)+2,"")</f>
        <v/>
      </c>
      <c r="E484" s="31" t="str">
        <f>IFERROR(MATCH($A484,'Tournament Log'!$O$4:$O$203,0)+3,"")</f>
        <v/>
      </c>
      <c r="F484" s="12" t="str">
        <f>IF(C484="","",IF(C484="Match",INDEX('Match Log'!$B:$B,D484),IF(C484="Tournament",INDEX('Tournament Log'!$C:$C,E484),INDEX('Guest Log'!$B:$B,Q484))))</f>
        <v/>
      </c>
      <c r="G484" s="12" t="str">
        <f>IF(C484="","",IF(C484="Match",INDEX('Match Log'!$C:$C,D484),IF(C484="Tournament",INDEX('Tournament Log'!$B:$B,E484)&amp;" (Phantom)",INDEX('Guest Log'!$H:$H,Q484)&amp;" (Guest)")))</f>
        <v/>
      </c>
      <c r="H484" s="32" t="str">
        <f t="array" ref="H484">IF(C484="","",IFERROR(LOOKUP(2,1/(($F$1:F483=F484)+($G$1:G483=F484)),IF($F$1:F483=F484,$N$1:N483,$O$1:O483)),1000))</f>
        <v/>
      </c>
      <c r="I484" s="12" t="str">
        <f t="array" ref="I484">IF(C484="","",IF(C484="Tournament",INDEX('Tournament Log'!$J:$J,E484),IF(C484="Guest",IF(INDEX('Guest Log'!$I:$I,Q484)="",1000,INDEX('Guest Log'!$I:$I,Q484)),IFERROR(LOOKUP(2,1/(($F$1:F483=G484)+($G$1:G483=G484)),IF($F$1:F483=G484,$N$1:N483,$O$1:O483)),1000))))</f>
        <v/>
      </c>
      <c r="J484" s="12" t="str">
        <f t="shared" si="36"/>
        <v/>
      </c>
      <c r="K484" s="12" t="str">
        <f>IF(C484="","",IF(C484="Match",IF(INDEX('Match Log'!$D:$D,D484)="Win",1,IF(INDEX('Match Log'!$D:$D,D484)="Draw",0.5,0)),IF(C484="Tournament",INDEX('Tournament Log'!$K:$K,E484),IF(INDEX('Guest Log'!$C:$C,Q484)="Win",1,IF(INDEX('Guest Log'!$C:$C,Q484)="Draw",0.5,0)))))</f>
        <v/>
      </c>
      <c r="L484" s="12" t="str">
        <f>IF(C484="","",IF(C484="Match",32,IF(C484="Tournament",MIN(32*INDEX('Tournament Log'!$D:$D,E484),96),32)))</f>
        <v/>
      </c>
      <c r="M484" s="12" t="str">
        <f t="shared" si="37"/>
        <v/>
      </c>
      <c r="N484" s="12" t="str">
        <f t="shared" si="38"/>
        <v/>
      </c>
      <c r="O484" s="12" t="str">
        <f t="shared" si="39"/>
        <v/>
      </c>
      <c r="P484" s="12" t="str">
        <f>IF(C484="Tournament",INDEX('Tournament Log'!$B:$B,E484),IF(C484="Guest","Guest: "&amp;INDEX('Guest Log'!$H:$H,Q484),""))</f>
        <v/>
      </c>
      <c r="Q484" t="str">
        <f>IFERROR(MATCH($A484,'Guest Log'!$L$4:$L$203,0)+3,"")</f>
        <v/>
      </c>
    </row>
    <row r="485" spans="1:17" ht="15" customHeight="1" x14ac:dyDescent="0.2">
      <c r="A485" s="12">
        <f>484</f>
        <v>484</v>
      </c>
      <c r="B485" s="12" t="str">
        <f>IF(C485="","",IF(C485="Match",INDEX('Match Log'!$A:$A,D485),IF(C485="Tournament",INDEX('Tournament Log'!$A:$A,E485),INDEX('Guest Log'!$A:$A,Q485))))</f>
        <v/>
      </c>
      <c r="C485" s="12" t="str">
        <f t="shared" si="35"/>
        <v/>
      </c>
      <c r="D485" s="31" t="str">
        <f>IFERROR(MATCH($A485,'Match Log'!$K$3:$K$501,0)+2,"")</f>
        <v/>
      </c>
      <c r="E485" s="31" t="str">
        <f>IFERROR(MATCH($A485,'Tournament Log'!$O$4:$O$203,0)+3,"")</f>
        <v/>
      </c>
      <c r="F485" s="12" t="str">
        <f>IF(C485="","",IF(C485="Match",INDEX('Match Log'!$B:$B,D485),IF(C485="Tournament",INDEX('Tournament Log'!$C:$C,E485),INDEX('Guest Log'!$B:$B,Q485))))</f>
        <v/>
      </c>
      <c r="G485" s="12" t="str">
        <f>IF(C485="","",IF(C485="Match",INDEX('Match Log'!$C:$C,D485),IF(C485="Tournament",INDEX('Tournament Log'!$B:$B,E485)&amp;" (Phantom)",INDEX('Guest Log'!$H:$H,Q485)&amp;" (Guest)")))</f>
        <v/>
      </c>
      <c r="H485" s="32" t="str">
        <f t="array" ref="H485">IF(C485="","",IFERROR(LOOKUP(2,1/(($F$1:F484=F485)+($G$1:G484=F485)),IF($F$1:F484=F485,$N$1:N484,$O$1:O484)),1000))</f>
        <v/>
      </c>
      <c r="I485" s="12" t="str">
        <f t="array" ref="I485">IF(C485="","",IF(C485="Tournament",INDEX('Tournament Log'!$J:$J,E485),IF(C485="Guest",IF(INDEX('Guest Log'!$I:$I,Q485)="",1000,INDEX('Guest Log'!$I:$I,Q485)),IFERROR(LOOKUP(2,1/(($F$1:F484=G485)+($G$1:G484=G485)),IF($F$1:F484=G485,$N$1:N484,$O$1:O484)),1000))))</f>
        <v/>
      </c>
      <c r="J485" s="12" t="str">
        <f t="shared" si="36"/>
        <v/>
      </c>
      <c r="K485" s="12" t="str">
        <f>IF(C485="","",IF(C485="Match",IF(INDEX('Match Log'!$D:$D,D485)="Win",1,IF(INDEX('Match Log'!$D:$D,D485)="Draw",0.5,0)),IF(C485="Tournament",INDEX('Tournament Log'!$K:$K,E485),IF(INDEX('Guest Log'!$C:$C,Q485)="Win",1,IF(INDEX('Guest Log'!$C:$C,Q485)="Draw",0.5,0)))))</f>
        <v/>
      </c>
      <c r="L485" s="12" t="str">
        <f>IF(C485="","",IF(C485="Match",32,IF(C485="Tournament",MIN(32*INDEX('Tournament Log'!$D:$D,E485),96),32)))</f>
        <v/>
      </c>
      <c r="M485" s="12" t="str">
        <f t="shared" si="37"/>
        <v/>
      </c>
      <c r="N485" s="12" t="str">
        <f t="shared" si="38"/>
        <v/>
      </c>
      <c r="O485" s="12" t="str">
        <f t="shared" si="39"/>
        <v/>
      </c>
      <c r="P485" s="12" t="str">
        <f>IF(C485="Tournament",INDEX('Tournament Log'!$B:$B,E485),IF(C485="Guest","Guest: "&amp;INDEX('Guest Log'!$H:$H,Q485),""))</f>
        <v/>
      </c>
      <c r="Q485" t="str">
        <f>IFERROR(MATCH($A485,'Guest Log'!$L$4:$L$203,0)+3,"")</f>
        <v/>
      </c>
    </row>
    <row r="486" spans="1:17" ht="15" customHeight="1" x14ac:dyDescent="0.2">
      <c r="A486" s="12">
        <f>485</f>
        <v>485</v>
      </c>
      <c r="B486" s="12" t="str">
        <f>IF(C486="","",IF(C486="Match",INDEX('Match Log'!$A:$A,D486),IF(C486="Tournament",INDEX('Tournament Log'!$A:$A,E486),INDEX('Guest Log'!$A:$A,Q486))))</f>
        <v/>
      </c>
      <c r="C486" s="12" t="str">
        <f t="shared" si="35"/>
        <v/>
      </c>
      <c r="D486" s="31" t="str">
        <f>IFERROR(MATCH($A486,'Match Log'!$K$3:$K$501,0)+2,"")</f>
        <v/>
      </c>
      <c r="E486" s="31" t="str">
        <f>IFERROR(MATCH($A486,'Tournament Log'!$O$4:$O$203,0)+3,"")</f>
        <v/>
      </c>
      <c r="F486" s="12" t="str">
        <f>IF(C486="","",IF(C486="Match",INDEX('Match Log'!$B:$B,D486),IF(C486="Tournament",INDEX('Tournament Log'!$C:$C,E486),INDEX('Guest Log'!$B:$B,Q486))))</f>
        <v/>
      </c>
      <c r="G486" s="12" t="str">
        <f>IF(C486="","",IF(C486="Match",INDEX('Match Log'!$C:$C,D486),IF(C486="Tournament",INDEX('Tournament Log'!$B:$B,E486)&amp;" (Phantom)",INDEX('Guest Log'!$H:$H,Q486)&amp;" (Guest)")))</f>
        <v/>
      </c>
      <c r="H486" s="32" t="str">
        <f t="array" ref="H486">IF(C486="","",IFERROR(LOOKUP(2,1/(($F$1:F485=F486)+($G$1:G485=F486)),IF($F$1:F485=F486,$N$1:N485,$O$1:O485)),1000))</f>
        <v/>
      </c>
      <c r="I486" s="12" t="str">
        <f t="array" ref="I486">IF(C486="","",IF(C486="Tournament",INDEX('Tournament Log'!$J:$J,E486),IF(C486="Guest",IF(INDEX('Guest Log'!$I:$I,Q486)="",1000,INDEX('Guest Log'!$I:$I,Q486)),IFERROR(LOOKUP(2,1/(($F$1:F485=G486)+($G$1:G485=G486)),IF($F$1:F485=G486,$N$1:N485,$O$1:O485)),1000))))</f>
        <v/>
      </c>
      <c r="J486" s="12" t="str">
        <f t="shared" si="36"/>
        <v/>
      </c>
      <c r="K486" s="12" t="str">
        <f>IF(C486="","",IF(C486="Match",IF(INDEX('Match Log'!$D:$D,D486)="Win",1,IF(INDEX('Match Log'!$D:$D,D486)="Draw",0.5,0)),IF(C486="Tournament",INDEX('Tournament Log'!$K:$K,E486),IF(INDEX('Guest Log'!$C:$C,Q486)="Win",1,IF(INDEX('Guest Log'!$C:$C,Q486)="Draw",0.5,0)))))</f>
        <v/>
      </c>
      <c r="L486" s="12" t="str">
        <f>IF(C486="","",IF(C486="Match",32,IF(C486="Tournament",MIN(32*INDEX('Tournament Log'!$D:$D,E486),96),32)))</f>
        <v/>
      </c>
      <c r="M486" s="12" t="str">
        <f t="shared" si="37"/>
        <v/>
      </c>
      <c r="N486" s="12" t="str">
        <f t="shared" si="38"/>
        <v/>
      </c>
      <c r="O486" s="12" t="str">
        <f t="shared" si="39"/>
        <v/>
      </c>
      <c r="P486" s="12" t="str">
        <f>IF(C486="Tournament",INDEX('Tournament Log'!$B:$B,E486),IF(C486="Guest","Guest: "&amp;INDEX('Guest Log'!$H:$H,Q486),""))</f>
        <v/>
      </c>
      <c r="Q486" t="str">
        <f>IFERROR(MATCH($A486,'Guest Log'!$L$4:$L$203,0)+3,"")</f>
        <v/>
      </c>
    </row>
    <row r="487" spans="1:17" ht="15" customHeight="1" x14ac:dyDescent="0.2">
      <c r="A487" s="12">
        <f>486</f>
        <v>486</v>
      </c>
      <c r="B487" s="12" t="str">
        <f>IF(C487="","",IF(C487="Match",INDEX('Match Log'!$A:$A,D487),IF(C487="Tournament",INDEX('Tournament Log'!$A:$A,E487),INDEX('Guest Log'!$A:$A,Q487))))</f>
        <v/>
      </c>
      <c r="C487" s="12" t="str">
        <f t="shared" si="35"/>
        <v/>
      </c>
      <c r="D487" s="31" t="str">
        <f>IFERROR(MATCH($A487,'Match Log'!$K$3:$K$501,0)+2,"")</f>
        <v/>
      </c>
      <c r="E487" s="31" t="str">
        <f>IFERROR(MATCH($A487,'Tournament Log'!$O$4:$O$203,0)+3,"")</f>
        <v/>
      </c>
      <c r="F487" s="12" t="str">
        <f>IF(C487="","",IF(C487="Match",INDEX('Match Log'!$B:$B,D487),IF(C487="Tournament",INDEX('Tournament Log'!$C:$C,E487),INDEX('Guest Log'!$B:$B,Q487))))</f>
        <v/>
      </c>
      <c r="G487" s="12" t="str">
        <f>IF(C487="","",IF(C487="Match",INDEX('Match Log'!$C:$C,D487),IF(C487="Tournament",INDEX('Tournament Log'!$B:$B,E487)&amp;" (Phantom)",INDEX('Guest Log'!$H:$H,Q487)&amp;" (Guest)")))</f>
        <v/>
      </c>
      <c r="H487" s="32" t="str">
        <f t="array" ref="H487">IF(C487="","",IFERROR(LOOKUP(2,1/(($F$1:F486=F487)+($G$1:G486=F487)),IF($F$1:F486=F487,$N$1:N486,$O$1:O486)),1000))</f>
        <v/>
      </c>
      <c r="I487" s="12" t="str">
        <f t="array" ref="I487">IF(C487="","",IF(C487="Tournament",INDEX('Tournament Log'!$J:$J,E487),IF(C487="Guest",IF(INDEX('Guest Log'!$I:$I,Q487)="",1000,INDEX('Guest Log'!$I:$I,Q487)),IFERROR(LOOKUP(2,1/(($F$1:F486=G487)+($G$1:G486=G487)),IF($F$1:F486=G487,$N$1:N486,$O$1:O486)),1000))))</f>
        <v/>
      </c>
      <c r="J487" s="12" t="str">
        <f t="shared" si="36"/>
        <v/>
      </c>
      <c r="K487" s="12" t="str">
        <f>IF(C487="","",IF(C487="Match",IF(INDEX('Match Log'!$D:$D,D487)="Win",1,IF(INDEX('Match Log'!$D:$D,D487)="Draw",0.5,0)),IF(C487="Tournament",INDEX('Tournament Log'!$K:$K,E487),IF(INDEX('Guest Log'!$C:$C,Q487)="Win",1,IF(INDEX('Guest Log'!$C:$C,Q487)="Draw",0.5,0)))))</f>
        <v/>
      </c>
      <c r="L487" s="12" t="str">
        <f>IF(C487="","",IF(C487="Match",32,IF(C487="Tournament",MIN(32*INDEX('Tournament Log'!$D:$D,E487),96),32)))</f>
        <v/>
      </c>
      <c r="M487" s="12" t="str">
        <f t="shared" si="37"/>
        <v/>
      </c>
      <c r="N487" s="12" t="str">
        <f t="shared" si="38"/>
        <v/>
      </c>
      <c r="O487" s="12" t="str">
        <f t="shared" si="39"/>
        <v/>
      </c>
      <c r="P487" s="12" t="str">
        <f>IF(C487="Tournament",INDEX('Tournament Log'!$B:$B,E487),IF(C487="Guest","Guest: "&amp;INDEX('Guest Log'!$H:$H,Q487),""))</f>
        <v/>
      </c>
      <c r="Q487" t="str">
        <f>IFERROR(MATCH($A487,'Guest Log'!$L$4:$L$203,0)+3,"")</f>
        <v/>
      </c>
    </row>
    <row r="488" spans="1:17" ht="15" customHeight="1" x14ac:dyDescent="0.2">
      <c r="A488" s="12">
        <f>487</f>
        <v>487</v>
      </c>
      <c r="B488" s="12" t="str">
        <f>IF(C488="","",IF(C488="Match",INDEX('Match Log'!$A:$A,D488),IF(C488="Tournament",INDEX('Tournament Log'!$A:$A,E488),INDEX('Guest Log'!$A:$A,Q488))))</f>
        <v/>
      </c>
      <c r="C488" s="12" t="str">
        <f t="shared" si="35"/>
        <v/>
      </c>
      <c r="D488" s="31" t="str">
        <f>IFERROR(MATCH($A488,'Match Log'!$K$3:$K$501,0)+2,"")</f>
        <v/>
      </c>
      <c r="E488" s="31" t="str">
        <f>IFERROR(MATCH($A488,'Tournament Log'!$O$4:$O$203,0)+3,"")</f>
        <v/>
      </c>
      <c r="F488" s="12" t="str">
        <f>IF(C488="","",IF(C488="Match",INDEX('Match Log'!$B:$B,D488),IF(C488="Tournament",INDEX('Tournament Log'!$C:$C,E488),INDEX('Guest Log'!$B:$B,Q488))))</f>
        <v/>
      </c>
      <c r="G488" s="12" t="str">
        <f>IF(C488="","",IF(C488="Match",INDEX('Match Log'!$C:$C,D488),IF(C488="Tournament",INDEX('Tournament Log'!$B:$B,E488)&amp;" (Phantom)",INDEX('Guest Log'!$H:$H,Q488)&amp;" (Guest)")))</f>
        <v/>
      </c>
      <c r="H488" s="32" t="str">
        <f t="array" ref="H488">IF(C488="","",IFERROR(LOOKUP(2,1/(($F$1:F487=F488)+($G$1:G487=F488)),IF($F$1:F487=F488,$N$1:N487,$O$1:O487)),1000))</f>
        <v/>
      </c>
      <c r="I488" s="12" t="str">
        <f t="array" ref="I488">IF(C488="","",IF(C488="Tournament",INDEX('Tournament Log'!$J:$J,E488),IF(C488="Guest",IF(INDEX('Guest Log'!$I:$I,Q488)="",1000,INDEX('Guest Log'!$I:$I,Q488)),IFERROR(LOOKUP(2,1/(($F$1:F487=G488)+($G$1:G487=G488)),IF($F$1:F487=G488,$N$1:N487,$O$1:O487)),1000))))</f>
        <v/>
      </c>
      <c r="J488" s="12" t="str">
        <f t="shared" si="36"/>
        <v/>
      </c>
      <c r="K488" s="12" t="str">
        <f>IF(C488="","",IF(C488="Match",IF(INDEX('Match Log'!$D:$D,D488)="Win",1,IF(INDEX('Match Log'!$D:$D,D488)="Draw",0.5,0)),IF(C488="Tournament",INDEX('Tournament Log'!$K:$K,E488),IF(INDEX('Guest Log'!$C:$C,Q488)="Win",1,IF(INDEX('Guest Log'!$C:$C,Q488)="Draw",0.5,0)))))</f>
        <v/>
      </c>
      <c r="L488" s="12" t="str">
        <f>IF(C488="","",IF(C488="Match",32,IF(C488="Tournament",MIN(32*INDEX('Tournament Log'!$D:$D,E488),96),32)))</f>
        <v/>
      </c>
      <c r="M488" s="12" t="str">
        <f t="shared" si="37"/>
        <v/>
      </c>
      <c r="N488" s="12" t="str">
        <f t="shared" si="38"/>
        <v/>
      </c>
      <c r="O488" s="12" t="str">
        <f t="shared" si="39"/>
        <v/>
      </c>
      <c r="P488" s="12" t="str">
        <f>IF(C488="Tournament",INDEX('Tournament Log'!$B:$B,E488),IF(C488="Guest","Guest: "&amp;INDEX('Guest Log'!$H:$H,Q488),""))</f>
        <v/>
      </c>
      <c r="Q488" t="str">
        <f>IFERROR(MATCH($A488,'Guest Log'!$L$4:$L$203,0)+3,"")</f>
        <v/>
      </c>
    </row>
    <row r="489" spans="1:17" ht="15" customHeight="1" x14ac:dyDescent="0.2">
      <c r="A489" s="12">
        <f>488</f>
        <v>488</v>
      </c>
      <c r="B489" s="12" t="str">
        <f>IF(C489="","",IF(C489="Match",INDEX('Match Log'!$A:$A,D489),IF(C489="Tournament",INDEX('Tournament Log'!$A:$A,E489),INDEX('Guest Log'!$A:$A,Q489))))</f>
        <v/>
      </c>
      <c r="C489" s="12" t="str">
        <f t="shared" si="35"/>
        <v/>
      </c>
      <c r="D489" s="31" t="str">
        <f>IFERROR(MATCH($A489,'Match Log'!$K$3:$K$501,0)+2,"")</f>
        <v/>
      </c>
      <c r="E489" s="31" t="str">
        <f>IFERROR(MATCH($A489,'Tournament Log'!$O$4:$O$203,0)+3,"")</f>
        <v/>
      </c>
      <c r="F489" s="12" t="str">
        <f>IF(C489="","",IF(C489="Match",INDEX('Match Log'!$B:$B,D489),IF(C489="Tournament",INDEX('Tournament Log'!$C:$C,E489),INDEX('Guest Log'!$B:$B,Q489))))</f>
        <v/>
      </c>
      <c r="G489" s="12" t="str">
        <f>IF(C489="","",IF(C489="Match",INDEX('Match Log'!$C:$C,D489),IF(C489="Tournament",INDEX('Tournament Log'!$B:$B,E489)&amp;" (Phantom)",INDEX('Guest Log'!$H:$H,Q489)&amp;" (Guest)")))</f>
        <v/>
      </c>
      <c r="H489" s="32" t="str">
        <f t="array" ref="H489">IF(C489="","",IFERROR(LOOKUP(2,1/(($F$1:F488=F489)+($G$1:G488=F489)),IF($F$1:F488=F489,$N$1:N488,$O$1:O488)),1000))</f>
        <v/>
      </c>
      <c r="I489" s="12" t="str">
        <f t="array" ref="I489">IF(C489="","",IF(C489="Tournament",INDEX('Tournament Log'!$J:$J,E489),IF(C489="Guest",IF(INDEX('Guest Log'!$I:$I,Q489)="",1000,INDEX('Guest Log'!$I:$I,Q489)),IFERROR(LOOKUP(2,1/(($F$1:F488=G489)+($G$1:G488=G489)),IF($F$1:F488=G489,$N$1:N488,$O$1:O488)),1000))))</f>
        <v/>
      </c>
      <c r="J489" s="12" t="str">
        <f t="shared" si="36"/>
        <v/>
      </c>
      <c r="K489" s="12" t="str">
        <f>IF(C489="","",IF(C489="Match",IF(INDEX('Match Log'!$D:$D,D489)="Win",1,IF(INDEX('Match Log'!$D:$D,D489)="Draw",0.5,0)),IF(C489="Tournament",INDEX('Tournament Log'!$K:$K,E489),IF(INDEX('Guest Log'!$C:$C,Q489)="Win",1,IF(INDEX('Guest Log'!$C:$C,Q489)="Draw",0.5,0)))))</f>
        <v/>
      </c>
      <c r="L489" s="12" t="str">
        <f>IF(C489="","",IF(C489="Match",32,IF(C489="Tournament",MIN(32*INDEX('Tournament Log'!$D:$D,E489),96),32)))</f>
        <v/>
      </c>
      <c r="M489" s="12" t="str">
        <f t="shared" si="37"/>
        <v/>
      </c>
      <c r="N489" s="12" t="str">
        <f t="shared" si="38"/>
        <v/>
      </c>
      <c r="O489" s="12" t="str">
        <f t="shared" si="39"/>
        <v/>
      </c>
      <c r="P489" s="12" t="str">
        <f>IF(C489="Tournament",INDEX('Tournament Log'!$B:$B,E489),IF(C489="Guest","Guest: "&amp;INDEX('Guest Log'!$H:$H,Q489),""))</f>
        <v/>
      </c>
      <c r="Q489" t="str">
        <f>IFERROR(MATCH($A489,'Guest Log'!$L$4:$L$203,0)+3,"")</f>
        <v/>
      </c>
    </row>
    <row r="490" spans="1:17" ht="15" customHeight="1" x14ac:dyDescent="0.2">
      <c r="A490" s="12">
        <f>489</f>
        <v>489</v>
      </c>
      <c r="B490" s="12" t="str">
        <f>IF(C490="","",IF(C490="Match",INDEX('Match Log'!$A:$A,D490),IF(C490="Tournament",INDEX('Tournament Log'!$A:$A,E490),INDEX('Guest Log'!$A:$A,Q490))))</f>
        <v/>
      </c>
      <c r="C490" s="12" t="str">
        <f t="shared" si="35"/>
        <v/>
      </c>
      <c r="D490" s="31" t="str">
        <f>IFERROR(MATCH($A490,'Match Log'!$K$3:$K$501,0)+2,"")</f>
        <v/>
      </c>
      <c r="E490" s="31" t="str">
        <f>IFERROR(MATCH($A490,'Tournament Log'!$O$4:$O$203,0)+3,"")</f>
        <v/>
      </c>
      <c r="F490" s="12" t="str">
        <f>IF(C490="","",IF(C490="Match",INDEX('Match Log'!$B:$B,D490),IF(C490="Tournament",INDEX('Tournament Log'!$C:$C,E490),INDEX('Guest Log'!$B:$B,Q490))))</f>
        <v/>
      </c>
      <c r="G490" s="12" t="str">
        <f>IF(C490="","",IF(C490="Match",INDEX('Match Log'!$C:$C,D490),IF(C490="Tournament",INDEX('Tournament Log'!$B:$B,E490)&amp;" (Phantom)",INDEX('Guest Log'!$H:$H,Q490)&amp;" (Guest)")))</f>
        <v/>
      </c>
      <c r="H490" s="32" t="str">
        <f t="array" ref="H490">IF(C490="","",IFERROR(LOOKUP(2,1/(($F$1:F489=F490)+($G$1:G489=F490)),IF($F$1:F489=F490,$N$1:N489,$O$1:O489)),1000))</f>
        <v/>
      </c>
      <c r="I490" s="12" t="str">
        <f t="array" ref="I490">IF(C490="","",IF(C490="Tournament",INDEX('Tournament Log'!$J:$J,E490),IF(C490="Guest",IF(INDEX('Guest Log'!$I:$I,Q490)="",1000,INDEX('Guest Log'!$I:$I,Q490)),IFERROR(LOOKUP(2,1/(($F$1:F489=G490)+($G$1:G489=G490)),IF($F$1:F489=G490,$N$1:N489,$O$1:O489)),1000))))</f>
        <v/>
      </c>
      <c r="J490" s="12" t="str">
        <f t="shared" si="36"/>
        <v/>
      </c>
      <c r="K490" s="12" t="str">
        <f>IF(C490="","",IF(C490="Match",IF(INDEX('Match Log'!$D:$D,D490)="Win",1,IF(INDEX('Match Log'!$D:$D,D490)="Draw",0.5,0)),IF(C490="Tournament",INDEX('Tournament Log'!$K:$K,E490),IF(INDEX('Guest Log'!$C:$C,Q490)="Win",1,IF(INDEX('Guest Log'!$C:$C,Q490)="Draw",0.5,0)))))</f>
        <v/>
      </c>
      <c r="L490" s="12" t="str">
        <f>IF(C490="","",IF(C490="Match",32,IF(C490="Tournament",MIN(32*INDEX('Tournament Log'!$D:$D,E490),96),32)))</f>
        <v/>
      </c>
      <c r="M490" s="12" t="str">
        <f t="shared" si="37"/>
        <v/>
      </c>
      <c r="N490" s="12" t="str">
        <f t="shared" si="38"/>
        <v/>
      </c>
      <c r="O490" s="12" t="str">
        <f t="shared" si="39"/>
        <v/>
      </c>
      <c r="P490" s="12" t="str">
        <f>IF(C490="Tournament",INDEX('Tournament Log'!$B:$B,E490),IF(C490="Guest","Guest: "&amp;INDEX('Guest Log'!$H:$H,Q490),""))</f>
        <v/>
      </c>
      <c r="Q490" t="str">
        <f>IFERROR(MATCH($A490,'Guest Log'!$L$4:$L$203,0)+3,"")</f>
        <v/>
      </c>
    </row>
    <row r="491" spans="1:17" ht="15" customHeight="1" x14ac:dyDescent="0.2">
      <c r="A491" s="12">
        <f>490</f>
        <v>490</v>
      </c>
      <c r="B491" s="12" t="str">
        <f>IF(C491="","",IF(C491="Match",INDEX('Match Log'!$A:$A,D491),IF(C491="Tournament",INDEX('Tournament Log'!$A:$A,E491),INDEX('Guest Log'!$A:$A,Q491))))</f>
        <v/>
      </c>
      <c r="C491" s="12" t="str">
        <f t="shared" si="35"/>
        <v/>
      </c>
      <c r="D491" s="31" t="str">
        <f>IFERROR(MATCH($A491,'Match Log'!$K$3:$K$501,0)+2,"")</f>
        <v/>
      </c>
      <c r="E491" s="31" t="str">
        <f>IFERROR(MATCH($A491,'Tournament Log'!$O$4:$O$203,0)+3,"")</f>
        <v/>
      </c>
      <c r="F491" s="12" t="str">
        <f>IF(C491="","",IF(C491="Match",INDEX('Match Log'!$B:$B,D491),IF(C491="Tournament",INDEX('Tournament Log'!$C:$C,E491),INDEX('Guest Log'!$B:$B,Q491))))</f>
        <v/>
      </c>
      <c r="G491" s="12" t="str">
        <f>IF(C491="","",IF(C491="Match",INDEX('Match Log'!$C:$C,D491),IF(C491="Tournament",INDEX('Tournament Log'!$B:$B,E491)&amp;" (Phantom)",INDEX('Guest Log'!$H:$H,Q491)&amp;" (Guest)")))</f>
        <v/>
      </c>
      <c r="H491" s="32" t="str">
        <f t="array" ref="H491">IF(C491="","",IFERROR(LOOKUP(2,1/(($F$1:F490=F491)+($G$1:G490=F491)),IF($F$1:F490=F491,$N$1:N490,$O$1:O490)),1000))</f>
        <v/>
      </c>
      <c r="I491" s="12" t="str">
        <f t="array" ref="I491">IF(C491="","",IF(C491="Tournament",INDEX('Tournament Log'!$J:$J,E491),IF(C491="Guest",IF(INDEX('Guest Log'!$I:$I,Q491)="",1000,INDEX('Guest Log'!$I:$I,Q491)),IFERROR(LOOKUP(2,1/(($F$1:F490=G491)+($G$1:G490=G491)),IF($F$1:F490=G491,$N$1:N490,$O$1:O490)),1000))))</f>
        <v/>
      </c>
      <c r="J491" s="12" t="str">
        <f t="shared" si="36"/>
        <v/>
      </c>
      <c r="K491" s="12" t="str">
        <f>IF(C491="","",IF(C491="Match",IF(INDEX('Match Log'!$D:$D,D491)="Win",1,IF(INDEX('Match Log'!$D:$D,D491)="Draw",0.5,0)),IF(C491="Tournament",INDEX('Tournament Log'!$K:$K,E491),IF(INDEX('Guest Log'!$C:$C,Q491)="Win",1,IF(INDEX('Guest Log'!$C:$C,Q491)="Draw",0.5,0)))))</f>
        <v/>
      </c>
      <c r="L491" s="12" t="str">
        <f>IF(C491="","",IF(C491="Match",32,IF(C491="Tournament",MIN(32*INDEX('Tournament Log'!$D:$D,E491),96),32)))</f>
        <v/>
      </c>
      <c r="M491" s="12" t="str">
        <f t="shared" si="37"/>
        <v/>
      </c>
      <c r="N491" s="12" t="str">
        <f t="shared" si="38"/>
        <v/>
      </c>
      <c r="O491" s="12" t="str">
        <f t="shared" si="39"/>
        <v/>
      </c>
      <c r="P491" s="12" t="str">
        <f>IF(C491="Tournament",INDEX('Tournament Log'!$B:$B,E491),IF(C491="Guest","Guest: "&amp;INDEX('Guest Log'!$H:$H,Q491),""))</f>
        <v/>
      </c>
      <c r="Q491" t="str">
        <f>IFERROR(MATCH($A491,'Guest Log'!$L$4:$L$203,0)+3,"")</f>
        <v/>
      </c>
    </row>
    <row r="492" spans="1:17" ht="15" customHeight="1" x14ac:dyDescent="0.2">
      <c r="A492" s="12">
        <f>491</f>
        <v>491</v>
      </c>
      <c r="B492" s="12" t="str">
        <f>IF(C492="","",IF(C492="Match",INDEX('Match Log'!$A:$A,D492),IF(C492="Tournament",INDEX('Tournament Log'!$A:$A,E492),INDEX('Guest Log'!$A:$A,Q492))))</f>
        <v/>
      </c>
      <c r="C492" s="12" t="str">
        <f t="shared" si="35"/>
        <v/>
      </c>
      <c r="D492" s="31" t="str">
        <f>IFERROR(MATCH($A492,'Match Log'!$K$3:$K$501,0)+2,"")</f>
        <v/>
      </c>
      <c r="E492" s="31" t="str">
        <f>IFERROR(MATCH($A492,'Tournament Log'!$O$4:$O$203,0)+3,"")</f>
        <v/>
      </c>
      <c r="F492" s="12" t="str">
        <f>IF(C492="","",IF(C492="Match",INDEX('Match Log'!$B:$B,D492),IF(C492="Tournament",INDEX('Tournament Log'!$C:$C,E492),INDEX('Guest Log'!$B:$B,Q492))))</f>
        <v/>
      </c>
      <c r="G492" s="12" t="str">
        <f>IF(C492="","",IF(C492="Match",INDEX('Match Log'!$C:$C,D492),IF(C492="Tournament",INDEX('Tournament Log'!$B:$B,E492)&amp;" (Phantom)",INDEX('Guest Log'!$H:$H,Q492)&amp;" (Guest)")))</f>
        <v/>
      </c>
      <c r="H492" s="32" t="str">
        <f t="array" ref="H492">IF(C492="","",IFERROR(LOOKUP(2,1/(($F$1:F491=F492)+($G$1:G491=F492)),IF($F$1:F491=F492,$N$1:N491,$O$1:O491)),1000))</f>
        <v/>
      </c>
      <c r="I492" s="12" t="str">
        <f t="array" ref="I492">IF(C492="","",IF(C492="Tournament",INDEX('Tournament Log'!$J:$J,E492),IF(C492="Guest",IF(INDEX('Guest Log'!$I:$I,Q492)="",1000,INDEX('Guest Log'!$I:$I,Q492)),IFERROR(LOOKUP(2,1/(($F$1:F491=G492)+($G$1:G491=G492)),IF($F$1:F491=G492,$N$1:N491,$O$1:O491)),1000))))</f>
        <v/>
      </c>
      <c r="J492" s="12" t="str">
        <f t="shared" si="36"/>
        <v/>
      </c>
      <c r="K492" s="12" t="str">
        <f>IF(C492="","",IF(C492="Match",IF(INDEX('Match Log'!$D:$D,D492)="Win",1,IF(INDEX('Match Log'!$D:$D,D492)="Draw",0.5,0)),IF(C492="Tournament",INDEX('Tournament Log'!$K:$K,E492),IF(INDEX('Guest Log'!$C:$C,Q492)="Win",1,IF(INDEX('Guest Log'!$C:$C,Q492)="Draw",0.5,0)))))</f>
        <v/>
      </c>
      <c r="L492" s="12" t="str">
        <f>IF(C492="","",IF(C492="Match",32,IF(C492="Tournament",MIN(32*INDEX('Tournament Log'!$D:$D,E492),96),32)))</f>
        <v/>
      </c>
      <c r="M492" s="12" t="str">
        <f t="shared" si="37"/>
        <v/>
      </c>
      <c r="N492" s="12" t="str">
        <f t="shared" si="38"/>
        <v/>
      </c>
      <c r="O492" s="12" t="str">
        <f t="shared" si="39"/>
        <v/>
      </c>
      <c r="P492" s="12" t="str">
        <f>IF(C492="Tournament",INDEX('Tournament Log'!$B:$B,E492),IF(C492="Guest","Guest: "&amp;INDEX('Guest Log'!$H:$H,Q492),""))</f>
        <v/>
      </c>
      <c r="Q492" t="str">
        <f>IFERROR(MATCH($A492,'Guest Log'!$L$4:$L$203,0)+3,"")</f>
        <v/>
      </c>
    </row>
    <row r="493" spans="1:17" ht="15" customHeight="1" x14ac:dyDescent="0.2">
      <c r="A493" s="12">
        <f>492</f>
        <v>492</v>
      </c>
      <c r="B493" s="12" t="str">
        <f>IF(C493="","",IF(C493="Match",INDEX('Match Log'!$A:$A,D493),IF(C493="Tournament",INDEX('Tournament Log'!$A:$A,E493),INDEX('Guest Log'!$A:$A,Q493))))</f>
        <v/>
      </c>
      <c r="C493" s="12" t="str">
        <f t="shared" si="35"/>
        <v/>
      </c>
      <c r="D493" s="31" t="str">
        <f>IFERROR(MATCH($A493,'Match Log'!$K$3:$K$501,0)+2,"")</f>
        <v/>
      </c>
      <c r="E493" s="31" t="str">
        <f>IFERROR(MATCH($A493,'Tournament Log'!$O$4:$O$203,0)+3,"")</f>
        <v/>
      </c>
      <c r="F493" s="12" t="str">
        <f>IF(C493="","",IF(C493="Match",INDEX('Match Log'!$B:$B,D493),IF(C493="Tournament",INDEX('Tournament Log'!$C:$C,E493),INDEX('Guest Log'!$B:$B,Q493))))</f>
        <v/>
      </c>
      <c r="G493" s="12" t="str">
        <f>IF(C493="","",IF(C493="Match",INDEX('Match Log'!$C:$C,D493),IF(C493="Tournament",INDEX('Tournament Log'!$B:$B,E493)&amp;" (Phantom)",INDEX('Guest Log'!$H:$H,Q493)&amp;" (Guest)")))</f>
        <v/>
      </c>
      <c r="H493" s="32" t="str">
        <f t="array" ref="H493">IF(C493="","",IFERROR(LOOKUP(2,1/(($F$1:F492=F493)+($G$1:G492=F493)),IF($F$1:F492=F493,$N$1:N492,$O$1:O492)),1000))</f>
        <v/>
      </c>
      <c r="I493" s="12" t="str">
        <f t="array" ref="I493">IF(C493="","",IF(C493="Tournament",INDEX('Tournament Log'!$J:$J,E493),IF(C493="Guest",IF(INDEX('Guest Log'!$I:$I,Q493)="",1000,INDEX('Guest Log'!$I:$I,Q493)),IFERROR(LOOKUP(2,1/(($F$1:F492=G493)+($G$1:G492=G493)),IF($F$1:F492=G493,$N$1:N492,$O$1:O492)),1000))))</f>
        <v/>
      </c>
      <c r="J493" s="12" t="str">
        <f t="shared" si="36"/>
        <v/>
      </c>
      <c r="K493" s="12" t="str">
        <f>IF(C493="","",IF(C493="Match",IF(INDEX('Match Log'!$D:$D,D493)="Win",1,IF(INDEX('Match Log'!$D:$D,D493)="Draw",0.5,0)),IF(C493="Tournament",INDEX('Tournament Log'!$K:$K,E493),IF(INDEX('Guest Log'!$C:$C,Q493)="Win",1,IF(INDEX('Guest Log'!$C:$C,Q493)="Draw",0.5,0)))))</f>
        <v/>
      </c>
      <c r="L493" s="12" t="str">
        <f>IF(C493="","",IF(C493="Match",32,IF(C493="Tournament",MIN(32*INDEX('Tournament Log'!$D:$D,E493),96),32)))</f>
        <v/>
      </c>
      <c r="M493" s="12" t="str">
        <f t="shared" si="37"/>
        <v/>
      </c>
      <c r="N493" s="12" t="str">
        <f t="shared" si="38"/>
        <v/>
      </c>
      <c r="O493" s="12" t="str">
        <f t="shared" si="39"/>
        <v/>
      </c>
      <c r="P493" s="12" t="str">
        <f>IF(C493="Tournament",INDEX('Tournament Log'!$B:$B,E493),IF(C493="Guest","Guest: "&amp;INDEX('Guest Log'!$H:$H,Q493),""))</f>
        <v/>
      </c>
      <c r="Q493" t="str">
        <f>IFERROR(MATCH($A493,'Guest Log'!$L$4:$L$203,0)+3,"")</f>
        <v/>
      </c>
    </row>
    <row r="494" spans="1:17" ht="15" customHeight="1" x14ac:dyDescent="0.2">
      <c r="A494" s="12">
        <f>493</f>
        <v>493</v>
      </c>
      <c r="B494" s="12" t="str">
        <f>IF(C494="","",IF(C494="Match",INDEX('Match Log'!$A:$A,D494),IF(C494="Tournament",INDEX('Tournament Log'!$A:$A,E494),INDEX('Guest Log'!$A:$A,Q494))))</f>
        <v/>
      </c>
      <c r="C494" s="12" t="str">
        <f t="shared" si="35"/>
        <v/>
      </c>
      <c r="D494" s="31" t="str">
        <f>IFERROR(MATCH($A494,'Match Log'!$K$3:$K$501,0)+2,"")</f>
        <v/>
      </c>
      <c r="E494" s="31" t="str">
        <f>IFERROR(MATCH($A494,'Tournament Log'!$O$4:$O$203,0)+3,"")</f>
        <v/>
      </c>
      <c r="F494" s="12" t="str">
        <f>IF(C494="","",IF(C494="Match",INDEX('Match Log'!$B:$B,D494),IF(C494="Tournament",INDEX('Tournament Log'!$C:$C,E494),INDEX('Guest Log'!$B:$B,Q494))))</f>
        <v/>
      </c>
      <c r="G494" s="12" t="str">
        <f>IF(C494="","",IF(C494="Match",INDEX('Match Log'!$C:$C,D494),IF(C494="Tournament",INDEX('Tournament Log'!$B:$B,E494)&amp;" (Phantom)",INDEX('Guest Log'!$H:$H,Q494)&amp;" (Guest)")))</f>
        <v/>
      </c>
      <c r="H494" s="32" t="str">
        <f t="array" ref="H494">IF(C494="","",IFERROR(LOOKUP(2,1/(($F$1:F493=F494)+($G$1:G493=F494)),IF($F$1:F493=F494,$N$1:N493,$O$1:O493)),1000))</f>
        <v/>
      </c>
      <c r="I494" s="12" t="str">
        <f t="array" ref="I494">IF(C494="","",IF(C494="Tournament",INDEX('Tournament Log'!$J:$J,E494),IF(C494="Guest",IF(INDEX('Guest Log'!$I:$I,Q494)="",1000,INDEX('Guest Log'!$I:$I,Q494)),IFERROR(LOOKUP(2,1/(($F$1:F493=G494)+($G$1:G493=G494)),IF($F$1:F493=G494,$N$1:N493,$O$1:O493)),1000))))</f>
        <v/>
      </c>
      <c r="J494" s="12" t="str">
        <f t="shared" si="36"/>
        <v/>
      </c>
      <c r="K494" s="12" t="str">
        <f>IF(C494="","",IF(C494="Match",IF(INDEX('Match Log'!$D:$D,D494)="Win",1,IF(INDEX('Match Log'!$D:$D,D494)="Draw",0.5,0)),IF(C494="Tournament",INDEX('Tournament Log'!$K:$K,E494),IF(INDEX('Guest Log'!$C:$C,Q494)="Win",1,IF(INDEX('Guest Log'!$C:$C,Q494)="Draw",0.5,0)))))</f>
        <v/>
      </c>
      <c r="L494" s="12" t="str">
        <f>IF(C494="","",IF(C494="Match",32,IF(C494="Tournament",MIN(32*INDEX('Tournament Log'!$D:$D,E494),96),32)))</f>
        <v/>
      </c>
      <c r="M494" s="12" t="str">
        <f t="shared" si="37"/>
        <v/>
      </c>
      <c r="N494" s="12" t="str">
        <f t="shared" si="38"/>
        <v/>
      </c>
      <c r="O494" s="12" t="str">
        <f t="shared" si="39"/>
        <v/>
      </c>
      <c r="P494" s="12" t="str">
        <f>IF(C494="Tournament",INDEX('Tournament Log'!$B:$B,E494),IF(C494="Guest","Guest: "&amp;INDEX('Guest Log'!$H:$H,Q494),""))</f>
        <v/>
      </c>
      <c r="Q494" t="str">
        <f>IFERROR(MATCH($A494,'Guest Log'!$L$4:$L$203,0)+3,"")</f>
        <v/>
      </c>
    </row>
    <row r="495" spans="1:17" ht="15" customHeight="1" x14ac:dyDescent="0.2">
      <c r="A495" s="12">
        <f>494</f>
        <v>494</v>
      </c>
      <c r="B495" s="12" t="str">
        <f>IF(C495="","",IF(C495="Match",INDEX('Match Log'!$A:$A,D495),IF(C495="Tournament",INDEX('Tournament Log'!$A:$A,E495),INDEX('Guest Log'!$A:$A,Q495))))</f>
        <v/>
      </c>
      <c r="C495" s="12" t="str">
        <f t="shared" si="35"/>
        <v/>
      </c>
      <c r="D495" s="31" t="str">
        <f>IFERROR(MATCH($A495,'Match Log'!$K$3:$K$501,0)+2,"")</f>
        <v/>
      </c>
      <c r="E495" s="31" t="str">
        <f>IFERROR(MATCH($A495,'Tournament Log'!$O$4:$O$203,0)+3,"")</f>
        <v/>
      </c>
      <c r="F495" s="12" t="str">
        <f>IF(C495="","",IF(C495="Match",INDEX('Match Log'!$B:$B,D495),IF(C495="Tournament",INDEX('Tournament Log'!$C:$C,E495),INDEX('Guest Log'!$B:$B,Q495))))</f>
        <v/>
      </c>
      <c r="G495" s="12" t="str">
        <f>IF(C495="","",IF(C495="Match",INDEX('Match Log'!$C:$C,D495),IF(C495="Tournament",INDEX('Tournament Log'!$B:$B,E495)&amp;" (Phantom)",INDEX('Guest Log'!$H:$H,Q495)&amp;" (Guest)")))</f>
        <v/>
      </c>
      <c r="H495" s="32" t="str">
        <f t="array" ref="H495">IF(C495="","",IFERROR(LOOKUP(2,1/(($F$1:F494=F495)+($G$1:G494=F495)),IF($F$1:F494=F495,$N$1:N494,$O$1:O494)),1000))</f>
        <v/>
      </c>
      <c r="I495" s="12" t="str">
        <f t="array" ref="I495">IF(C495="","",IF(C495="Tournament",INDEX('Tournament Log'!$J:$J,E495),IF(C495="Guest",IF(INDEX('Guest Log'!$I:$I,Q495)="",1000,INDEX('Guest Log'!$I:$I,Q495)),IFERROR(LOOKUP(2,1/(($F$1:F494=G495)+($G$1:G494=G495)),IF($F$1:F494=G495,$N$1:N494,$O$1:O494)),1000))))</f>
        <v/>
      </c>
      <c r="J495" s="12" t="str">
        <f t="shared" si="36"/>
        <v/>
      </c>
      <c r="K495" s="12" t="str">
        <f>IF(C495="","",IF(C495="Match",IF(INDEX('Match Log'!$D:$D,D495)="Win",1,IF(INDEX('Match Log'!$D:$D,D495)="Draw",0.5,0)),IF(C495="Tournament",INDEX('Tournament Log'!$K:$K,E495),IF(INDEX('Guest Log'!$C:$C,Q495)="Win",1,IF(INDEX('Guest Log'!$C:$C,Q495)="Draw",0.5,0)))))</f>
        <v/>
      </c>
      <c r="L495" s="12" t="str">
        <f>IF(C495="","",IF(C495="Match",32,IF(C495="Tournament",MIN(32*INDEX('Tournament Log'!$D:$D,E495),96),32)))</f>
        <v/>
      </c>
      <c r="M495" s="12" t="str">
        <f t="shared" si="37"/>
        <v/>
      </c>
      <c r="N495" s="12" t="str">
        <f t="shared" si="38"/>
        <v/>
      </c>
      <c r="O495" s="12" t="str">
        <f t="shared" si="39"/>
        <v/>
      </c>
      <c r="P495" s="12" t="str">
        <f>IF(C495="Tournament",INDEX('Tournament Log'!$B:$B,E495),IF(C495="Guest","Guest: "&amp;INDEX('Guest Log'!$H:$H,Q495),""))</f>
        <v/>
      </c>
      <c r="Q495" t="str">
        <f>IFERROR(MATCH($A495,'Guest Log'!$L$4:$L$203,0)+3,"")</f>
        <v/>
      </c>
    </row>
    <row r="496" spans="1:17" ht="15" customHeight="1" x14ac:dyDescent="0.2">
      <c r="A496" s="12">
        <f>495</f>
        <v>495</v>
      </c>
      <c r="B496" s="12" t="str">
        <f>IF(C496="","",IF(C496="Match",INDEX('Match Log'!$A:$A,D496),IF(C496="Tournament",INDEX('Tournament Log'!$A:$A,E496),INDEX('Guest Log'!$A:$A,Q496))))</f>
        <v/>
      </c>
      <c r="C496" s="12" t="str">
        <f t="shared" si="35"/>
        <v/>
      </c>
      <c r="D496" s="31" t="str">
        <f>IFERROR(MATCH($A496,'Match Log'!$K$3:$K$501,0)+2,"")</f>
        <v/>
      </c>
      <c r="E496" s="31" t="str">
        <f>IFERROR(MATCH($A496,'Tournament Log'!$O$4:$O$203,0)+3,"")</f>
        <v/>
      </c>
      <c r="F496" s="12" t="str">
        <f>IF(C496="","",IF(C496="Match",INDEX('Match Log'!$B:$B,D496),IF(C496="Tournament",INDEX('Tournament Log'!$C:$C,E496),INDEX('Guest Log'!$B:$B,Q496))))</f>
        <v/>
      </c>
      <c r="G496" s="12" t="str">
        <f>IF(C496="","",IF(C496="Match",INDEX('Match Log'!$C:$C,D496),IF(C496="Tournament",INDEX('Tournament Log'!$B:$B,E496)&amp;" (Phantom)",INDEX('Guest Log'!$H:$H,Q496)&amp;" (Guest)")))</f>
        <v/>
      </c>
      <c r="H496" s="32" t="str">
        <f t="array" ref="H496">IF(C496="","",IFERROR(LOOKUP(2,1/(($F$1:F495=F496)+($G$1:G495=F496)),IF($F$1:F495=F496,$N$1:N495,$O$1:O495)),1000))</f>
        <v/>
      </c>
      <c r="I496" s="12" t="str">
        <f t="array" ref="I496">IF(C496="","",IF(C496="Tournament",INDEX('Tournament Log'!$J:$J,E496),IF(C496="Guest",IF(INDEX('Guest Log'!$I:$I,Q496)="",1000,INDEX('Guest Log'!$I:$I,Q496)),IFERROR(LOOKUP(2,1/(($F$1:F495=G496)+($G$1:G495=G496)),IF($F$1:F495=G496,$N$1:N495,$O$1:O495)),1000))))</f>
        <v/>
      </c>
      <c r="J496" s="12" t="str">
        <f t="shared" si="36"/>
        <v/>
      </c>
      <c r="K496" s="12" t="str">
        <f>IF(C496="","",IF(C496="Match",IF(INDEX('Match Log'!$D:$D,D496)="Win",1,IF(INDEX('Match Log'!$D:$D,D496)="Draw",0.5,0)),IF(C496="Tournament",INDEX('Tournament Log'!$K:$K,E496),IF(INDEX('Guest Log'!$C:$C,Q496)="Win",1,IF(INDEX('Guest Log'!$C:$C,Q496)="Draw",0.5,0)))))</f>
        <v/>
      </c>
      <c r="L496" s="12" t="str">
        <f>IF(C496="","",IF(C496="Match",32,IF(C496="Tournament",MIN(32*INDEX('Tournament Log'!$D:$D,E496),96),32)))</f>
        <v/>
      </c>
      <c r="M496" s="12" t="str">
        <f t="shared" si="37"/>
        <v/>
      </c>
      <c r="N496" s="12" t="str">
        <f t="shared" si="38"/>
        <v/>
      </c>
      <c r="O496" s="12" t="str">
        <f t="shared" si="39"/>
        <v/>
      </c>
      <c r="P496" s="12" t="str">
        <f>IF(C496="Tournament",INDEX('Tournament Log'!$B:$B,E496),IF(C496="Guest","Guest: "&amp;INDEX('Guest Log'!$H:$H,Q496),""))</f>
        <v/>
      </c>
      <c r="Q496" t="str">
        <f>IFERROR(MATCH($A496,'Guest Log'!$L$4:$L$203,0)+3,"")</f>
        <v/>
      </c>
    </row>
    <row r="497" spans="1:17" ht="15" customHeight="1" x14ac:dyDescent="0.2">
      <c r="A497" s="12">
        <f>496</f>
        <v>496</v>
      </c>
      <c r="B497" s="12" t="str">
        <f>IF(C497="","",IF(C497="Match",INDEX('Match Log'!$A:$A,D497),IF(C497="Tournament",INDEX('Tournament Log'!$A:$A,E497),INDEX('Guest Log'!$A:$A,Q497))))</f>
        <v/>
      </c>
      <c r="C497" s="12" t="str">
        <f t="shared" si="35"/>
        <v/>
      </c>
      <c r="D497" s="31" t="str">
        <f>IFERROR(MATCH($A497,'Match Log'!$K$3:$K$501,0)+2,"")</f>
        <v/>
      </c>
      <c r="E497" s="31" t="str">
        <f>IFERROR(MATCH($A497,'Tournament Log'!$O$4:$O$203,0)+3,"")</f>
        <v/>
      </c>
      <c r="F497" s="12" t="str">
        <f>IF(C497="","",IF(C497="Match",INDEX('Match Log'!$B:$B,D497),IF(C497="Tournament",INDEX('Tournament Log'!$C:$C,E497),INDEX('Guest Log'!$B:$B,Q497))))</f>
        <v/>
      </c>
      <c r="G497" s="12" t="str">
        <f>IF(C497="","",IF(C497="Match",INDEX('Match Log'!$C:$C,D497),IF(C497="Tournament",INDEX('Tournament Log'!$B:$B,E497)&amp;" (Phantom)",INDEX('Guest Log'!$H:$H,Q497)&amp;" (Guest)")))</f>
        <v/>
      </c>
      <c r="H497" s="32" t="str">
        <f t="array" ref="H497">IF(C497="","",IFERROR(LOOKUP(2,1/(($F$1:F496=F497)+($G$1:G496=F497)),IF($F$1:F496=F497,$N$1:N496,$O$1:O496)),1000))</f>
        <v/>
      </c>
      <c r="I497" s="12" t="str">
        <f t="array" ref="I497">IF(C497="","",IF(C497="Tournament",INDEX('Tournament Log'!$J:$J,E497),IF(C497="Guest",IF(INDEX('Guest Log'!$I:$I,Q497)="",1000,INDEX('Guest Log'!$I:$I,Q497)),IFERROR(LOOKUP(2,1/(($F$1:F496=G497)+($G$1:G496=G497)),IF($F$1:F496=G497,$N$1:N496,$O$1:O496)),1000))))</f>
        <v/>
      </c>
      <c r="J497" s="12" t="str">
        <f t="shared" si="36"/>
        <v/>
      </c>
      <c r="K497" s="12" t="str">
        <f>IF(C497="","",IF(C497="Match",IF(INDEX('Match Log'!$D:$D,D497)="Win",1,IF(INDEX('Match Log'!$D:$D,D497)="Draw",0.5,0)),IF(C497="Tournament",INDEX('Tournament Log'!$K:$K,E497),IF(INDEX('Guest Log'!$C:$C,Q497)="Win",1,IF(INDEX('Guest Log'!$C:$C,Q497)="Draw",0.5,0)))))</f>
        <v/>
      </c>
      <c r="L497" s="12" t="str">
        <f>IF(C497="","",IF(C497="Match",32,IF(C497="Tournament",MIN(32*INDEX('Tournament Log'!$D:$D,E497),96),32)))</f>
        <v/>
      </c>
      <c r="M497" s="12" t="str">
        <f t="shared" si="37"/>
        <v/>
      </c>
      <c r="N497" s="12" t="str">
        <f t="shared" si="38"/>
        <v/>
      </c>
      <c r="O497" s="12" t="str">
        <f t="shared" si="39"/>
        <v/>
      </c>
      <c r="P497" s="12" t="str">
        <f>IF(C497="Tournament",INDEX('Tournament Log'!$B:$B,E497),IF(C497="Guest","Guest: "&amp;INDEX('Guest Log'!$H:$H,Q497),""))</f>
        <v/>
      </c>
      <c r="Q497" t="str">
        <f>IFERROR(MATCH($A497,'Guest Log'!$L$4:$L$203,0)+3,"")</f>
        <v/>
      </c>
    </row>
    <row r="498" spans="1:17" ht="15" customHeight="1" x14ac:dyDescent="0.2">
      <c r="A498" s="12">
        <f>497</f>
        <v>497</v>
      </c>
      <c r="B498" s="12" t="str">
        <f>IF(C498="","",IF(C498="Match",INDEX('Match Log'!$A:$A,D498),IF(C498="Tournament",INDEX('Tournament Log'!$A:$A,E498),INDEX('Guest Log'!$A:$A,Q498))))</f>
        <v/>
      </c>
      <c r="C498" s="12" t="str">
        <f t="shared" si="35"/>
        <v/>
      </c>
      <c r="D498" s="31" t="str">
        <f>IFERROR(MATCH($A498,'Match Log'!$K$3:$K$501,0)+2,"")</f>
        <v/>
      </c>
      <c r="E498" s="31" t="str">
        <f>IFERROR(MATCH($A498,'Tournament Log'!$O$4:$O$203,0)+3,"")</f>
        <v/>
      </c>
      <c r="F498" s="12" t="str">
        <f>IF(C498="","",IF(C498="Match",INDEX('Match Log'!$B:$B,D498),IF(C498="Tournament",INDEX('Tournament Log'!$C:$C,E498),INDEX('Guest Log'!$B:$B,Q498))))</f>
        <v/>
      </c>
      <c r="G498" s="12" t="str">
        <f>IF(C498="","",IF(C498="Match",INDEX('Match Log'!$C:$C,D498),IF(C498="Tournament",INDEX('Tournament Log'!$B:$B,E498)&amp;" (Phantom)",INDEX('Guest Log'!$H:$H,Q498)&amp;" (Guest)")))</f>
        <v/>
      </c>
      <c r="H498" s="32" t="str">
        <f t="array" ref="H498">IF(C498="","",IFERROR(LOOKUP(2,1/(($F$1:F497=F498)+($G$1:G497=F498)),IF($F$1:F497=F498,$N$1:N497,$O$1:O497)),1000))</f>
        <v/>
      </c>
      <c r="I498" s="12" t="str">
        <f t="array" ref="I498">IF(C498="","",IF(C498="Tournament",INDEX('Tournament Log'!$J:$J,E498),IF(C498="Guest",IF(INDEX('Guest Log'!$I:$I,Q498)="",1000,INDEX('Guest Log'!$I:$I,Q498)),IFERROR(LOOKUP(2,1/(($F$1:F497=G498)+($G$1:G497=G498)),IF($F$1:F497=G498,$N$1:N497,$O$1:O497)),1000))))</f>
        <v/>
      </c>
      <c r="J498" s="12" t="str">
        <f t="shared" si="36"/>
        <v/>
      </c>
      <c r="K498" s="12" t="str">
        <f>IF(C498="","",IF(C498="Match",IF(INDEX('Match Log'!$D:$D,D498)="Win",1,IF(INDEX('Match Log'!$D:$D,D498)="Draw",0.5,0)),IF(C498="Tournament",INDEX('Tournament Log'!$K:$K,E498),IF(INDEX('Guest Log'!$C:$C,Q498)="Win",1,IF(INDEX('Guest Log'!$C:$C,Q498)="Draw",0.5,0)))))</f>
        <v/>
      </c>
      <c r="L498" s="12" t="str">
        <f>IF(C498="","",IF(C498="Match",32,IF(C498="Tournament",MIN(32*INDEX('Tournament Log'!$D:$D,E498),96),32)))</f>
        <v/>
      </c>
      <c r="M498" s="12" t="str">
        <f t="shared" si="37"/>
        <v/>
      </c>
      <c r="N498" s="12" t="str">
        <f t="shared" si="38"/>
        <v/>
      </c>
      <c r="O498" s="12" t="str">
        <f t="shared" si="39"/>
        <v/>
      </c>
      <c r="P498" s="12" t="str">
        <f>IF(C498="Tournament",INDEX('Tournament Log'!$B:$B,E498),IF(C498="Guest","Guest: "&amp;INDEX('Guest Log'!$H:$H,Q498),""))</f>
        <v/>
      </c>
      <c r="Q498" t="str">
        <f>IFERROR(MATCH($A498,'Guest Log'!$L$4:$L$203,0)+3,"")</f>
        <v/>
      </c>
    </row>
    <row r="499" spans="1:17" ht="15" customHeight="1" x14ac:dyDescent="0.2">
      <c r="A499" s="12">
        <f>498</f>
        <v>498</v>
      </c>
      <c r="B499" s="12" t="str">
        <f>IF(C499="","",IF(C499="Match",INDEX('Match Log'!$A:$A,D499),IF(C499="Tournament",INDEX('Tournament Log'!$A:$A,E499),INDEX('Guest Log'!$A:$A,Q499))))</f>
        <v/>
      </c>
      <c r="C499" s="12" t="str">
        <f t="shared" si="35"/>
        <v/>
      </c>
      <c r="D499" s="31" t="str">
        <f>IFERROR(MATCH($A499,'Match Log'!$K$3:$K$501,0)+2,"")</f>
        <v/>
      </c>
      <c r="E499" s="31" t="str">
        <f>IFERROR(MATCH($A499,'Tournament Log'!$O$4:$O$203,0)+3,"")</f>
        <v/>
      </c>
      <c r="F499" s="12" t="str">
        <f>IF(C499="","",IF(C499="Match",INDEX('Match Log'!$B:$B,D499),IF(C499="Tournament",INDEX('Tournament Log'!$C:$C,E499),INDEX('Guest Log'!$B:$B,Q499))))</f>
        <v/>
      </c>
      <c r="G499" s="12" t="str">
        <f>IF(C499="","",IF(C499="Match",INDEX('Match Log'!$C:$C,D499),IF(C499="Tournament",INDEX('Tournament Log'!$B:$B,E499)&amp;" (Phantom)",INDEX('Guest Log'!$H:$H,Q499)&amp;" (Guest)")))</f>
        <v/>
      </c>
      <c r="H499" s="32" t="str">
        <f t="array" ref="H499">IF(C499="","",IFERROR(LOOKUP(2,1/(($F$1:F498=F499)+($G$1:G498=F499)),IF($F$1:F498=F499,$N$1:N498,$O$1:O498)),1000))</f>
        <v/>
      </c>
      <c r="I499" s="12" t="str">
        <f t="array" ref="I499">IF(C499="","",IF(C499="Tournament",INDEX('Tournament Log'!$J:$J,E499),IF(C499="Guest",IF(INDEX('Guest Log'!$I:$I,Q499)="",1000,INDEX('Guest Log'!$I:$I,Q499)),IFERROR(LOOKUP(2,1/(($F$1:F498=G499)+($G$1:G498=G499)),IF($F$1:F498=G499,$N$1:N498,$O$1:O498)),1000))))</f>
        <v/>
      </c>
      <c r="J499" s="12" t="str">
        <f t="shared" si="36"/>
        <v/>
      </c>
      <c r="K499" s="12" t="str">
        <f>IF(C499="","",IF(C499="Match",IF(INDEX('Match Log'!$D:$D,D499)="Win",1,IF(INDEX('Match Log'!$D:$D,D499)="Draw",0.5,0)),IF(C499="Tournament",INDEX('Tournament Log'!$K:$K,E499),IF(INDEX('Guest Log'!$C:$C,Q499)="Win",1,IF(INDEX('Guest Log'!$C:$C,Q499)="Draw",0.5,0)))))</f>
        <v/>
      </c>
      <c r="L499" s="12" t="str">
        <f>IF(C499="","",IF(C499="Match",32,IF(C499="Tournament",MIN(32*INDEX('Tournament Log'!$D:$D,E499),96),32)))</f>
        <v/>
      </c>
      <c r="M499" s="12" t="str">
        <f t="shared" si="37"/>
        <v/>
      </c>
      <c r="N499" s="12" t="str">
        <f t="shared" si="38"/>
        <v/>
      </c>
      <c r="O499" s="12" t="str">
        <f t="shared" si="39"/>
        <v/>
      </c>
      <c r="P499" s="12" t="str">
        <f>IF(C499="Tournament",INDEX('Tournament Log'!$B:$B,E499),IF(C499="Guest","Guest: "&amp;INDEX('Guest Log'!$H:$H,Q499),""))</f>
        <v/>
      </c>
      <c r="Q499" t="str">
        <f>IFERROR(MATCH($A499,'Guest Log'!$L$4:$L$203,0)+3,"")</f>
        <v/>
      </c>
    </row>
    <row r="500" spans="1:17" ht="15" customHeight="1" x14ac:dyDescent="0.2">
      <c r="A500" s="12">
        <f>499</f>
        <v>499</v>
      </c>
      <c r="B500" s="12" t="str">
        <f>IF(C500="","",IF(C500="Match",INDEX('Match Log'!$A:$A,D500),IF(C500="Tournament",INDEX('Tournament Log'!$A:$A,E500),INDEX('Guest Log'!$A:$A,Q500))))</f>
        <v/>
      </c>
      <c r="C500" s="12" t="str">
        <f t="shared" si="35"/>
        <v/>
      </c>
      <c r="D500" s="31" t="str">
        <f>IFERROR(MATCH($A500,'Match Log'!$K$3:$K$501,0)+2,"")</f>
        <v/>
      </c>
      <c r="E500" s="31" t="str">
        <f>IFERROR(MATCH($A500,'Tournament Log'!$O$4:$O$203,0)+3,"")</f>
        <v/>
      </c>
      <c r="F500" s="12" t="str">
        <f>IF(C500="","",IF(C500="Match",INDEX('Match Log'!$B:$B,D500),IF(C500="Tournament",INDEX('Tournament Log'!$C:$C,E500),INDEX('Guest Log'!$B:$B,Q500))))</f>
        <v/>
      </c>
      <c r="G500" s="12" t="str">
        <f>IF(C500="","",IF(C500="Match",INDEX('Match Log'!$C:$C,D500),IF(C500="Tournament",INDEX('Tournament Log'!$B:$B,E500)&amp;" (Phantom)",INDEX('Guest Log'!$H:$H,Q500)&amp;" (Guest)")))</f>
        <v/>
      </c>
      <c r="H500" s="32" t="str">
        <f t="array" ref="H500">IF(C500="","",IFERROR(LOOKUP(2,1/(($F$1:F499=F500)+($G$1:G499=F500)),IF($F$1:F499=F500,$N$1:N499,$O$1:O499)),1000))</f>
        <v/>
      </c>
      <c r="I500" s="12" t="str">
        <f t="array" ref="I500">IF(C500="","",IF(C500="Tournament",INDEX('Tournament Log'!$J:$J,E500),IF(C500="Guest",IF(INDEX('Guest Log'!$I:$I,Q500)="",1000,INDEX('Guest Log'!$I:$I,Q500)),IFERROR(LOOKUP(2,1/(($F$1:F499=G500)+($G$1:G499=G500)),IF($F$1:F499=G500,$N$1:N499,$O$1:O499)),1000))))</f>
        <v/>
      </c>
      <c r="J500" s="12" t="str">
        <f t="shared" si="36"/>
        <v/>
      </c>
      <c r="K500" s="12" t="str">
        <f>IF(C500="","",IF(C500="Match",IF(INDEX('Match Log'!$D:$D,D500)="Win",1,IF(INDEX('Match Log'!$D:$D,D500)="Draw",0.5,0)),IF(C500="Tournament",INDEX('Tournament Log'!$K:$K,E500),IF(INDEX('Guest Log'!$C:$C,Q500)="Win",1,IF(INDEX('Guest Log'!$C:$C,Q500)="Draw",0.5,0)))))</f>
        <v/>
      </c>
      <c r="L500" s="12" t="str">
        <f>IF(C500="","",IF(C500="Match",32,IF(C500="Tournament",MIN(32*INDEX('Tournament Log'!$D:$D,E500),96),32)))</f>
        <v/>
      </c>
      <c r="M500" s="12" t="str">
        <f t="shared" si="37"/>
        <v/>
      </c>
      <c r="N500" s="12" t="str">
        <f t="shared" si="38"/>
        <v/>
      </c>
      <c r="O500" s="12" t="str">
        <f t="shared" si="39"/>
        <v/>
      </c>
      <c r="P500" s="12" t="str">
        <f>IF(C500="Tournament",INDEX('Tournament Log'!$B:$B,E500),IF(C500="Guest","Guest: "&amp;INDEX('Guest Log'!$H:$H,Q500),""))</f>
        <v/>
      </c>
      <c r="Q500" t="str">
        <f>IFERROR(MATCH($A500,'Guest Log'!$L$4:$L$203,0)+3,"")</f>
        <v/>
      </c>
    </row>
    <row r="501" spans="1:17" ht="15" customHeight="1" x14ac:dyDescent="0.2">
      <c r="A501" s="12">
        <f>500</f>
        <v>500</v>
      </c>
      <c r="B501" s="12" t="str">
        <f>IF(C501="","",IF(C501="Match",INDEX('Match Log'!$A:$A,D501),IF(C501="Tournament",INDEX('Tournament Log'!$A:$A,E501),INDEX('Guest Log'!$A:$A,Q501))))</f>
        <v/>
      </c>
      <c r="C501" s="12" t="str">
        <f t="shared" si="35"/>
        <v/>
      </c>
      <c r="D501" s="31" t="str">
        <f>IFERROR(MATCH($A501,'Match Log'!$K$3:$K$501,0)+2,"")</f>
        <v/>
      </c>
      <c r="E501" s="31" t="str">
        <f>IFERROR(MATCH($A501,'Tournament Log'!$O$4:$O$203,0)+3,"")</f>
        <v/>
      </c>
      <c r="F501" s="12" t="str">
        <f>IF(C501="","",IF(C501="Match",INDEX('Match Log'!$B:$B,D501),IF(C501="Tournament",INDEX('Tournament Log'!$C:$C,E501),INDEX('Guest Log'!$B:$B,Q501))))</f>
        <v/>
      </c>
      <c r="G501" s="12" t="str">
        <f>IF(C501="","",IF(C501="Match",INDEX('Match Log'!$C:$C,D501),IF(C501="Tournament",INDEX('Tournament Log'!$B:$B,E501)&amp;" (Phantom)",INDEX('Guest Log'!$H:$H,Q501)&amp;" (Guest)")))</f>
        <v/>
      </c>
      <c r="H501" s="32" t="str">
        <f t="array" ref="H501">IF(C501="","",IFERROR(LOOKUP(2,1/(($F$1:F500=F501)+($G$1:G500=F501)),IF($F$1:F500=F501,$N$1:N500,$O$1:O500)),1000))</f>
        <v/>
      </c>
      <c r="I501" s="12" t="str">
        <f t="array" ref="I501">IF(C501="","",IF(C501="Tournament",INDEX('Tournament Log'!$J:$J,E501),IF(C501="Guest",IF(INDEX('Guest Log'!$I:$I,Q501)="",1000,INDEX('Guest Log'!$I:$I,Q501)),IFERROR(LOOKUP(2,1/(($F$1:F500=G501)+($G$1:G500=G501)),IF($F$1:F500=G501,$N$1:N500,$O$1:O500)),1000))))</f>
        <v/>
      </c>
      <c r="J501" s="12" t="str">
        <f t="shared" si="36"/>
        <v/>
      </c>
      <c r="K501" s="12" t="str">
        <f>IF(C501="","",IF(C501="Match",IF(INDEX('Match Log'!$D:$D,D501)="Win",1,IF(INDEX('Match Log'!$D:$D,D501)="Draw",0.5,0)),IF(C501="Tournament",INDEX('Tournament Log'!$K:$K,E501),IF(INDEX('Guest Log'!$C:$C,Q501)="Win",1,IF(INDEX('Guest Log'!$C:$C,Q501)="Draw",0.5,0)))))</f>
        <v/>
      </c>
      <c r="L501" s="12" t="str">
        <f>IF(C501="","",IF(C501="Match",32,IF(C501="Tournament",MIN(32*INDEX('Tournament Log'!$D:$D,E501),96),32)))</f>
        <v/>
      </c>
      <c r="M501" s="12" t="str">
        <f t="shared" si="37"/>
        <v/>
      </c>
      <c r="N501" s="12" t="str">
        <f t="shared" si="38"/>
        <v/>
      </c>
      <c r="O501" s="12" t="str">
        <f t="shared" si="39"/>
        <v/>
      </c>
      <c r="P501" s="12" t="str">
        <f>IF(C501="Tournament",INDEX('Tournament Log'!$B:$B,E501),IF(C501="Guest","Guest: "&amp;INDEX('Guest Log'!$H:$H,Q501),""))</f>
        <v/>
      </c>
      <c r="Q501" t="str">
        <f>IFERROR(MATCH($A501,'Guest Log'!$L$4:$L$203,0)+3,"")</f>
        <v/>
      </c>
    </row>
    <row r="502" spans="1:17" ht="21.75" customHeight="1" x14ac:dyDescent="0.2">
      <c r="A502" s="34">
        <f>501</f>
        <v>501</v>
      </c>
      <c r="B502" s="12" t="str">
        <f>IF(C502="","",IF(C502="Match",INDEX('Match Log'!$A:$A,D502),IF(C502="Tournament",INDEX('Tournament Log'!$A:$A,E502),INDEX('Guest Log'!$A:$A,Q502))))</f>
        <v/>
      </c>
      <c r="C502" s="12" t="str">
        <f t="shared" si="35"/>
        <v/>
      </c>
      <c r="D502" s="31" t="str">
        <f>IFERROR(MATCH($A502,'Match Log'!$K$3:$K$501,0)+2,"")</f>
        <v/>
      </c>
      <c r="E502" s="31" t="str">
        <f>IFERROR(MATCH($A502,'Tournament Log'!$O$4:$O$203,0)+3,"")</f>
        <v/>
      </c>
      <c r="F502" s="12" t="str">
        <f>IF(C502="","",IF(C502="Match",INDEX('Match Log'!$B:$B,D502),IF(C502="Tournament",INDEX('Tournament Log'!$C:$C,E502),INDEX('Guest Log'!$B:$B,Q502))))</f>
        <v/>
      </c>
      <c r="G502" s="12" t="str">
        <f>IF(C502="","",IF(C502="Match",INDEX('Match Log'!$C:$C,D502),IF(C502="Tournament",INDEX('Tournament Log'!$B:$B,E502)&amp;" (Phantom)",INDEX('Guest Log'!$H:$H,Q502)&amp;" (Guest)")))</f>
        <v/>
      </c>
      <c r="H502" s="12" t="str">
        <f t="array" ref="H502">IF(C502="","",IFERROR(LOOKUP(2,1/(($F$1:F501=F502)+($G$1:G501=F502)),IF($F$1:F501=F502,$N$1:N501,$O$1:O501)),1000))</f>
        <v/>
      </c>
      <c r="I502" s="12" t="str">
        <f t="array" ref="I502">IF(C502="","",IF(C502="Tournament",INDEX('Tournament Log'!$J:$J,E502),IF(C502="Guest",IF(INDEX('Guest Log'!$I:$I,Q502)="",1000,INDEX('Guest Log'!$I:$I,Q502)),IFERROR(LOOKUP(2,1/(($F$1:F501=G502)+($G$1:G501=G502)),IF($F$1:F501=G502,$N$1:N501,$O$1:O501)),1000))))</f>
        <v/>
      </c>
      <c r="J502" s="12" t="str">
        <f t="shared" si="36"/>
        <v/>
      </c>
      <c r="K502" s="12" t="str">
        <f>IF(C502="","",IF(C502="Match",IF(INDEX('Match Log'!$D:$D,D502)="Win",1,IF(INDEX('Match Log'!$D:$D,D502)="Draw",0.5,0)),IF(C502="Tournament",INDEX('Tournament Log'!$K:$K,E502),IF(INDEX('Guest Log'!$C:$C,Q502)="Win",1,IF(INDEX('Guest Log'!$C:$C,Q502)="Draw",0.5,0)))))</f>
        <v/>
      </c>
      <c r="L502" s="12" t="str">
        <f>IF(C502="","",IF(C502="Match",32,IF(C502="Tournament",MIN(32*INDEX('Tournament Log'!$D:$D,E502),96),32)))</f>
        <v/>
      </c>
      <c r="M502" s="12" t="str">
        <f t="shared" si="37"/>
        <v/>
      </c>
      <c r="N502" s="12" t="str">
        <f t="shared" si="38"/>
        <v/>
      </c>
      <c r="O502" s="12" t="str">
        <f t="shared" si="39"/>
        <v/>
      </c>
      <c r="P502" s="12" t="str">
        <f>IF(C502="Tournament",INDEX('Tournament Log'!$B:$B,E502),IF(C502="Guest","Guest: "&amp;INDEX('Guest Log'!$H:$H,Q502),""))</f>
        <v/>
      </c>
      <c r="Q502" t="str">
        <f>IFERROR(MATCH($A502,'Guest Log'!$L$4:$L$203,0)+3,"")</f>
        <v/>
      </c>
    </row>
    <row r="503" spans="1:17" ht="27.75" customHeight="1" x14ac:dyDescent="0.2">
      <c r="A503" s="35">
        <f>502</f>
        <v>502</v>
      </c>
      <c r="B503" s="35" t="str">
        <f>IF(C503="","",IF(C503="Match",INDEX('Match Log'!$A:$A,D503),IF(C503="Tournament",INDEX('Tournament Log'!$A:$A,E503),INDEX('Guest Log'!$A:$A,Q503))))</f>
        <v/>
      </c>
      <c r="C503" s="35" t="str">
        <f t="shared" si="35"/>
        <v/>
      </c>
      <c r="D503" s="36" t="str">
        <f>IFERROR(MATCH($A503,'Match Log'!$K$3:$K$501,0)+2,"")</f>
        <v/>
      </c>
      <c r="E503" s="36" t="str">
        <f>IFERROR(MATCH($A503,'Tournament Log'!$O$4:$O$203,0)+3,"")</f>
        <v/>
      </c>
      <c r="F503" s="35" t="str">
        <f>IF(C503="","",IF(C503="Match",INDEX('Match Log'!$B:$B,D503),IF(C503="Tournament",INDEX('Tournament Log'!$C:$C,E503),INDEX('Guest Log'!$B:$B,Q503))))</f>
        <v/>
      </c>
      <c r="G503" s="35" t="str">
        <f>IF(C503="","",IF(C503="Match",INDEX('Match Log'!$C:$C,D503),IF(C503="Tournament",INDEX('Tournament Log'!$B:$B,E503)&amp;" (Phantom)",INDEX('Guest Log'!$H:$H,Q503)&amp;" (Guest)")))</f>
        <v/>
      </c>
      <c r="H503" s="35" t="str">
        <f t="array" ref="H503">IF(C503="","",IFERROR(LOOKUP(2,1/(($F$1:F502=F503)+($G$1:G502=F503)),IF($F$1:F502=F503,$N$1:N502,$O$1:O502)),1000))</f>
        <v/>
      </c>
      <c r="I503" s="35" t="str">
        <f t="array" ref="I503">IF(C503="","",IF(C503="Tournament",INDEX('Tournament Log'!$J:$J,E503),IF(C503="Guest",IF(INDEX('Guest Log'!$I:$I,Q503)="",1000,INDEX('Guest Log'!$I:$I,Q503)),IFERROR(LOOKUP(2,1/(($F$1:F502=G503)+($G$1:G502=G503)),IF($F$1:F502=G503,$N$1:N502,$O$1:O502)),1000))))</f>
        <v/>
      </c>
      <c r="J503" s="35" t="str">
        <f t="shared" si="36"/>
        <v/>
      </c>
      <c r="K503" s="12" t="str">
        <f>IF(C503="","",IF(C503="Match",IF(INDEX('Match Log'!$D:$D,D503)="Win",1,IF(INDEX('Match Log'!$D:$D,D503)="Draw",0.5,0)),IF(C503="Tournament",INDEX('Tournament Log'!$K:$K,E503),IF(INDEX('Guest Log'!$C:$C,Q503)="Win",1,IF(INDEX('Guest Log'!$C:$C,Q503)="Draw",0.5,0)))))</f>
        <v/>
      </c>
      <c r="L503" s="12" t="str">
        <f>IF(C503="","",IF(C503="Match",32,IF(C503="Tournament",MIN(32*INDEX('Tournament Log'!$D:$D,E503),96),32)))</f>
        <v/>
      </c>
      <c r="M503" s="12" t="str">
        <f t="shared" si="37"/>
        <v/>
      </c>
      <c r="N503" s="12" t="str">
        <f t="shared" si="38"/>
        <v/>
      </c>
      <c r="O503" s="12" t="str">
        <f t="shared" si="39"/>
        <v/>
      </c>
      <c r="P503" s="12" t="str">
        <f>IF(C503="Tournament",INDEX('Tournament Log'!$B:$B,E503),IF(C503="Guest","Guest: "&amp;INDEX('Guest Log'!$H:$H,Q503),""))</f>
        <v/>
      </c>
      <c r="Q503" t="str">
        <f>IFERROR(MATCH($A503,'Guest Log'!$L$4:$L$203,0)+3,"")</f>
        <v/>
      </c>
    </row>
    <row r="504" spans="1:17" ht="15" customHeight="1" x14ac:dyDescent="0.2">
      <c r="A504" s="37">
        <f>503</f>
        <v>503</v>
      </c>
      <c r="B504" s="37" t="str">
        <f>IF(C504="","",IF(C504="Match",INDEX('Match Log'!$A:$A,D504),IF(C504="Tournament",INDEX('Tournament Log'!$A:$A,E504),INDEX('Guest Log'!$A:$A,Q504))))</f>
        <v/>
      </c>
      <c r="C504" s="37" t="str">
        <f t="shared" si="35"/>
        <v/>
      </c>
      <c r="D504" s="38" t="str">
        <f>IFERROR(MATCH($A504,'Match Log'!$K$3:$K$501,0)+2,"")</f>
        <v/>
      </c>
      <c r="E504" s="38" t="str">
        <f>IFERROR(MATCH($A504,'Tournament Log'!$O$4:$O$203,0)+3,"")</f>
        <v/>
      </c>
      <c r="F504" s="37" t="str">
        <f>IF(C504="","",IF(C504="Match",INDEX('Match Log'!$B:$B,D504),IF(C504="Tournament",INDEX('Tournament Log'!$C:$C,E504),INDEX('Guest Log'!$B:$B,Q504))))</f>
        <v/>
      </c>
      <c r="G504" s="37" t="str">
        <f>IF(C504="","",IF(C504="Match",INDEX('Match Log'!$C:$C,D504),IF(C504="Tournament",INDEX('Tournament Log'!$B:$B,E504)&amp;" (Phantom)",INDEX('Guest Log'!$H:$H,Q504)&amp;" (Guest)")))</f>
        <v/>
      </c>
      <c r="H504" s="37" t="str">
        <f t="array" ref="H504">IF(C504="","",IFERROR(LOOKUP(2,1/(($F$1:F503=F504)+($G$1:G503=F504)),IF($F$1:F503=F504,$N$1:N503,$O$1:O503)),1000))</f>
        <v/>
      </c>
      <c r="I504" s="37" t="str">
        <f t="array" ref="I504">IF(C504="","",IF(C504="Tournament",INDEX('Tournament Log'!$J:$J,E504),IF(C504="Guest",IF(INDEX('Guest Log'!$I:$I,Q504)="",1000,INDEX('Guest Log'!$I:$I,Q504)),IFERROR(LOOKUP(2,1/(($F$1:F503=G504)+($G$1:G503=G504)),IF($F$1:F503=G504,$N$1:N503,$O$1:O503)),1000))))</f>
        <v/>
      </c>
      <c r="J504" s="37" t="str">
        <f t="shared" si="36"/>
        <v/>
      </c>
      <c r="K504" s="12" t="str">
        <f>IF(C504="","",IF(C504="Match",IF(INDEX('Match Log'!$D:$D,D504)="Win",1,IF(INDEX('Match Log'!$D:$D,D504)="Draw",0.5,0)),IF(C504="Tournament",INDEX('Tournament Log'!$K:$K,E504),IF(INDEX('Guest Log'!$C:$C,Q504)="Win",1,IF(INDEX('Guest Log'!$C:$C,Q504)="Draw",0.5,0)))))</f>
        <v/>
      </c>
      <c r="L504" s="12" t="str">
        <f>IF(C504="","",IF(C504="Match",32,IF(C504="Tournament",MIN(32*INDEX('Tournament Log'!$D:$D,E504),96),32)))</f>
        <v/>
      </c>
      <c r="M504" s="12" t="str">
        <f t="shared" si="37"/>
        <v/>
      </c>
      <c r="N504" s="12" t="str">
        <f t="shared" si="38"/>
        <v/>
      </c>
      <c r="O504" s="12" t="str">
        <f t="shared" si="39"/>
        <v/>
      </c>
      <c r="P504" s="12" t="str">
        <f>IF(C504="Tournament",INDEX('Tournament Log'!$B:$B,E504),IF(C504="Guest","Guest: "&amp;INDEX('Guest Log'!$H:$H,Q504),""))</f>
        <v/>
      </c>
      <c r="Q504" t="str">
        <f>IFERROR(MATCH($A504,'Guest Log'!$L$4:$L$203,0)+3,"")</f>
        <v/>
      </c>
    </row>
    <row r="505" spans="1:17" ht="15" customHeight="1" x14ac:dyDescent="0.2">
      <c r="A505" s="22">
        <f>504</f>
        <v>504</v>
      </c>
      <c r="B505" s="22" t="str">
        <f>IF(C505="","",IF(C505="Match",INDEX('Match Log'!$A:$A,D505),IF(C505="Tournament",INDEX('Tournament Log'!$A:$A,E505),INDEX('Guest Log'!$A:$A,Q505))))</f>
        <v/>
      </c>
      <c r="C505" s="22" t="str">
        <f t="shared" si="35"/>
        <v/>
      </c>
      <c r="D505" s="39" t="str">
        <f>IFERROR(MATCH($A505,'Match Log'!$K$3:$K$501,0)+2,"")</f>
        <v/>
      </c>
      <c r="E505" s="39" t="str">
        <f>IFERROR(MATCH($A505,'Tournament Log'!$O$4:$O$203,0)+3,"")</f>
        <v/>
      </c>
      <c r="F505" s="22" t="str">
        <f>IF(C505="","",IF(C505="Match",INDEX('Match Log'!$B:$B,D505),IF(C505="Tournament",INDEX('Tournament Log'!$C:$C,E505),INDEX('Guest Log'!$B:$B,Q505))))</f>
        <v/>
      </c>
      <c r="G505" s="22" t="str">
        <f>IF(C505="","",IF(C505="Match",INDEX('Match Log'!$C:$C,D505),IF(C505="Tournament",INDEX('Tournament Log'!$B:$B,E505)&amp;" (Phantom)",INDEX('Guest Log'!$H:$H,Q505)&amp;" (Guest)")))</f>
        <v/>
      </c>
      <c r="H505" s="22" t="str">
        <f t="array" ref="H505">IF(C505="","",IFERROR(LOOKUP(2,1/(($F$1:F504=F505)+($G$1:G504=F505)),IF($F$1:F504=F505,$N$1:N504,$O$1:O504)),1000))</f>
        <v/>
      </c>
      <c r="I505" s="22" t="str">
        <f t="array" ref="I505">IF(C505="","",IF(C505="Tournament",INDEX('Tournament Log'!$J:$J,E505),IF(C505="Guest",IF(INDEX('Guest Log'!$I:$I,Q505)="",1000,INDEX('Guest Log'!$I:$I,Q505)),IFERROR(LOOKUP(2,1/(($F$1:F504=G505)+($G$1:G504=G505)),IF($F$1:F504=G505,$N$1:N504,$O$1:O504)),1000))))</f>
        <v/>
      </c>
      <c r="J505" s="22" t="str">
        <f t="shared" si="36"/>
        <v/>
      </c>
      <c r="K505" s="12" t="str">
        <f>IF(C505="","",IF(C505="Match",IF(INDEX('Match Log'!$D:$D,D505)="Win",1,IF(INDEX('Match Log'!$D:$D,D505)="Draw",0.5,0)),IF(C505="Tournament",INDEX('Tournament Log'!$K:$K,E505),IF(INDEX('Guest Log'!$C:$C,Q505)="Win",1,IF(INDEX('Guest Log'!$C:$C,Q505)="Draw",0.5,0)))))</f>
        <v/>
      </c>
      <c r="L505" s="12" t="str">
        <f>IF(C505="","",IF(C505="Match",32,IF(C505="Tournament",MIN(32*INDEX('Tournament Log'!$D:$D,E505),96),32)))</f>
        <v/>
      </c>
      <c r="M505" s="12" t="str">
        <f t="shared" si="37"/>
        <v/>
      </c>
      <c r="N505" s="12" t="str">
        <f t="shared" si="38"/>
        <v/>
      </c>
      <c r="O505" s="12" t="str">
        <f t="shared" si="39"/>
        <v/>
      </c>
      <c r="P505" s="12" t="str">
        <f>IF(C505="Tournament",INDEX('Tournament Log'!$B:$B,E505),IF(C505="Guest","Guest: "&amp;INDEX('Guest Log'!$H:$H,Q505),""))</f>
        <v/>
      </c>
      <c r="Q505" t="str">
        <f>IFERROR(MATCH($A505,'Guest Log'!$L$4:$L$203,0)+3,"")</f>
        <v/>
      </c>
    </row>
    <row r="506" spans="1:17" ht="15" customHeight="1" x14ac:dyDescent="0.2">
      <c r="A506" s="37">
        <f>505</f>
        <v>505</v>
      </c>
      <c r="B506" s="37" t="str">
        <f>IF(C506="","",IF(C506="Match",INDEX('Match Log'!$A:$A,D506),IF(C506="Tournament",INDEX('Tournament Log'!$A:$A,E506),INDEX('Guest Log'!$A:$A,Q506))))</f>
        <v/>
      </c>
      <c r="C506" s="37" t="str">
        <f t="shared" si="35"/>
        <v/>
      </c>
      <c r="D506" s="38" t="str">
        <f>IFERROR(MATCH($A506,'Match Log'!$K$3:$K$501,0)+2,"")</f>
        <v/>
      </c>
      <c r="E506" s="38" t="str">
        <f>IFERROR(MATCH($A506,'Tournament Log'!$O$4:$O$203,0)+3,"")</f>
        <v/>
      </c>
      <c r="F506" s="37" t="str">
        <f>IF(C506="","",IF(C506="Match",INDEX('Match Log'!$B:$B,D506),IF(C506="Tournament",INDEX('Tournament Log'!$C:$C,E506),INDEX('Guest Log'!$B:$B,Q506))))</f>
        <v/>
      </c>
      <c r="G506" s="37" t="str">
        <f>IF(C506="","",IF(C506="Match",INDEX('Match Log'!$C:$C,D506),IF(C506="Tournament",INDEX('Tournament Log'!$B:$B,E506)&amp;" (Phantom)",INDEX('Guest Log'!$H:$H,Q506)&amp;" (Guest)")))</f>
        <v/>
      </c>
      <c r="H506" s="37" t="str">
        <f t="array" ref="H506">IF(C506="","",IFERROR(LOOKUP(2,1/(($F$1:F505=F506)+($G$1:G505=F506)),IF($F$1:F505=F506,$N$1:N505,$O$1:O505)),1000))</f>
        <v/>
      </c>
      <c r="I506" s="37" t="str">
        <f t="array" ref="I506">IF(C506="","",IF(C506="Tournament",INDEX('Tournament Log'!$J:$J,E506),IF(C506="Guest",IF(INDEX('Guest Log'!$I:$I,Q506)="",1000,INDEX('Guest Log'!$I:$I,Q506)),IFERROR(LOOKUP(2,1/(($F$1:F505=G506)+($G$1:G505=G506)),IF($F$1:F505=G506,$N$1:N505,$O$1:O505)),1000))))</f>
        <v/>
      </c>
      <c r="J506" s="37" t="str">
        <f t="shared" si="36"/>
        <v/>
      </c>
      <c r="K506" s="12" t="str">
        <f>IF(C506="","",IF(C506="Match",IF(INDEX('Match Log'!$D:$D,D506)="Win",1,IF(INDEX('Match Log'!$D:$D,D506)="Draw",0.5,0)),IF(C506="Tournament",INDEX('Tournament Log'!$K:$K,E506),IF(INDEX('Guest Log'!$C:$C,Q506)="Win",1,IF(INDEX('Guest Log'!$C:$C,Q506)="Draw",0.5,0)))))</f>
        <v/>
      </c>
      <c r="L506" s="12" t="str">
        <f>IF(C506="","",IF(C506="Match",32,IF(C506="Tournament",MIN(32*INDEX('Tournament Log'!$D:$D,E506),96),32)))</f>
        <v/>
      </c>
      <c r="M506" s="12" t="str">
        <f t="shared" si="37"/>
        <v/>
      </c>
      <c r="N506" s="12" t="str">
        <f t="shared" si="38"/>
        <v/>
      </c>
      <c r="O506" s="12" t="str">
        <f t="shared" si="39"/>
        <v/>
      </c>
      <c r="P506" s="12" t="str">
        <f>IF(C506="Tournament",INDEX('Tournament Log'!$B:$B,E506),IF(C506="Guest","Guest: "&amp;INDEX('Guest Log'!$H:$H,Q506),""))</f>
        <v/>
      </c>
      <c r="Q506" t="str">
        <f>IFERROR(MATCH($A506,'Guest Log'!$L$4:$L$203,0)+3,"")</f>
        <v/>
      </c>
    </row>
    <row r="507" spans="1:17" ht="15" customHeight="1" x14ac:dyDescent="0.2">
      <c r="A507" s="22">
        <f>506</f>
        <v>506</v>
      </c>
      <c r="B507" s="22" t="str">
        <f>IF(C507="","",IF(C507="Match",INDEX('Match Log'!$A:$A,D507),IF(C507="Tournament",INDEX('Tournament Log'!$A:$A,E507),INDEX('Guest Log'!$A:$A,Q507))))</f>
        <v/>
      </c>
      <c r="C507" s="22" t="str">
        <f t="shared" si="35"/>
        <v/>
      </c>
      <c r="D507" s="39" t="str">
        <f>IFERROR(MATCH($A507,'Match Log'!$K$3:$K$501,0)+2,"")</f>
        <v/>
      </c>
      <c r="E507" s="39" t="str">
        <f>IFERROR(MATCH($A507,'Tournament Log'!$O$4:$O$203,0)+3,"")</f>
        <v/>
      </c>
      <c r="F507" s="22" t="str">
        <f>IF(C507="","",IF(C507="Match",INDEX('Match Log'!$B:$B,D507),IF(C507="Tournament",INDEX('Tournament Log'!$C:$C,E507),INDEX('Guest Log'!$B:$B,Q507))))</f>
        <v/>
      </c>
      <c r="G507" s="22" t="str">
        <f>IF(C507="","",IF(C507="Match",INDEX('Match Log'!$C:$C,D507),IF(C507="Tournament",INDEX('Tournament Log'!$B:$B,E507)&amp;" (Phantom)",INDEX('Guest Log'!$H:$H,Q507)&amp;" (Guest)")))</f>
        <v/>
      </c>
      <c r="H507" s="22" t="str">
        <f t="array" ref="H507">IF(C507="","",IFERROR(LOOKUP(2,1/(($F$1:F506=F507)+($G$1:G506=F507)),IF($F$1:F506=F507,$N$1:N506,$O$1:O506)),1000))</f>
        <v/>
      </c>
      <c r="I507" s="22" t="str">
        <f t="array" ref="I507">IF(C507="","",IF(C507="Tournament",INDEX('Tournament Log'!$J:$J,E507),IF(C507="Guest",IF(INDEX('Guest Log'!$I:$I,Q507)="",1000,INDEX('Guest Log'!$I:$I,Q507)),IFERROR(LOOKUP(2,1/(($F$1:F506=G507)+($G$1:G506=G507)),IF($F$1:F506=G507,$N$1:N506,$O$1:O506)),1000))))</f>
        <v/>
      </c>
      <c r="J507" s="22" t="str">
        <f t="shared" si="36"/>
        <v/>
      </c>
      <c r="K507" s="12" t="str">
        <f>IF(C507="","",IF(C507="Match",IF(INDEX('Match Log'!$D:$D,D507)="Win",1,IF(INDEX('Match Log'!$D:$D,D507)="Draw",0.5,0)),IF(C507="Tournament",INDEX('Tournament Log'!$K:$K,E507),IF(INDEX('Guest Log'!$C:$C,Q507)="Win",1,IF(INDEX('Guest Log'!$C:$C,Q507)="Draw",0.5,0)))))</f>
        <v/>
      </c>
      <c r="L507" s="12" t="str">
        <f>IF(C507="","",IF(C507="Match",32,IF(C507="Tournament",MIN(32*INDEX('Tournament Log'!$D:$D,E507),96),32)))</f>
        <v/>
      </c>
      <c r="M507" s="12" t="str">
        <f t="shared" si="37"/>
        <v/>
      </c>
      <c r="N507" s="12" t="str">
        <f t="shared" si="38"/>
        <v/>
      </c>
      <c r="O507" s="12" t="str">
        <f t="shared" si="39"/>
        <v/>
      </c>
      <c r="P507" s="12" t="str">
        <f>IF(C507="Tournament",INDEX('Tournament Log'!$B:$B,E507),IF(C507="Guest","Guest: "&amp;INDEX('Guest Log'!$H:$H,Q507),""))</f>
        <v/>
      </c>
      <c r="Q507" t="str">
        <f>IFERROR(MATCH($A507,'Guest Log'!$L$4:$L$203,0)+3,"")</f>
        <v/>
      </c>
    </row>
    <row r="508" spans="1:17" ht="15" customHeight="1" x14ac:dyDescent="0.2">
      <c r="A508" s="37">
        <f>507</f>
        <v>507</v>
      </c>
      <c r="B508" s="37" t="str">
        <f>IF(C508="","",IF(C508="Match",INDEX('Match Log'!$A:$A,D508),IF(C508="Tournament",INDEX('Tournament Log'!$A:$A,E508),INDEX('Guest Log'!$A:$A,Q508))))</f>
        <v/>
      </c>
      <c r="C508" s="37" t="str">
        <f t="shared" si="35"/>
        <v/>
      </c>
      <c r="D508" s="38" t="str">
        <f>IFERROR(MATCH($A508,'Match Log'!$K$3:$K$501,0)+2,"")</f>
        <v/>
      </c>
      <c r="E508" s="38" t="str">
        <f>IFERROR(MATCH($A508,'Tournament Log'!$O$4:$O$203,0)+3,"")</f>
        <v/>
      </c>
      <c r="F508" s="37" t="str">
        <f>IF(C508="","",IF(C508="Match",INDEX('Match Log'!$B:$B,D508),IF(C508="Tournament",INDEX('Tournament Log'!$C:$C,E508),INDEX('Guest Log'!$B:$B,Q508))))</f>
        <v/>
      </c>
      <c r="G508" s="37" t="str">
        <f>IF(C508="","",IF(C508="Match",INDEX('Match Log'!$C:$C,D508),IF(C508="Tournament",INDEX('Tournament Log'!$B:$B,E508)&amp;" (Phantom)",INDEX('Guest Log'!$H:$H,Q508)&amp;" (Guest)")))</f>
        <v/>
      </c>
      <c r="H508" s="37" t="str">
        <f t="array" ref="H508">IF(C508="","",IFERROR(LOOKUP(2,1/(($F$1:F507=F508)+($G$1:G507=F508)),IF($F$1:F507=F508,$N$1:N507,$O$1:O507)),1000))</f>
        <v/>
      </c>
      <c r="I508" s="37" t="str">
        <f t="array" ref="I508">IF(C508="","",IF(C508="Tournament",INDEX('Tournament Log'!$J:$J,E508),IF(C508="Guest",IF(INDEX('Guest Log'!$I:$I,Q508)="",1000,INDEX('Guest Log'!$I:$I,Q508)),IFERROR(LOOKUP(2,1/(($F$1:F507=G508)+($G$1:G507=G508)),IF($F$1:F507=G508,$N$1:N507,$O$1:O507)),1000))))</f>
        <v/>
      </c>
      <c r="J508" s="37" t="str">
        <f t="shared" si="36"/>
        <v/>
      </c>
      <c r="K508" s="12" t="str">
        <f>IF(C508="","",IF(C508="Match",IF(INDEX('Match Log'!$D:$D,D508)="Win",1,IF(INDEX('Match Log'!$D:$D,D508)="Draw",0.5,0)),IF(C508="Tournament",INDEX('Tournament Log'!$K:$K,E508),IF(INDEX('Guest Log'!$C:$C,Q508)="Win",1,IF(INDEX('Guest Log'!$C:$C,Q508)="Draw",0.5,0)))))</f>
        <v/>
      </c>
      <c r="L508" s="12" t="str">
        <f>IF(C508="","",IF(C508="Match",32,IF(C508="Tournament",MIN(32*INDEX('Tournament Log'!$D:$D,E508),96),32)))</f>
        <v/>
      </c>
      <c r="M508" s="12" t="str">
        <f t="shared" si="37"/>
        <v/>
      </c>
      <c r="N508" s="12" t="str">
        <f t="shared" si="38"/>
        <v/>
      </c>
      <c r="O508" s="12" t="str">
        <f t="shared" si="39"/>
        <v/>
      </c>
      <c r="P508" s="12" t="str">
        <f>IF(C508="Tournament",INDEX('Tournament Log'!$B:$B,E508),IF(C508="Guest","Guest: "&amp;INDEX('Guest Log'!$H:$H,Q508),""))</f>
        <v/>
      </c>
      <c r="Q508" t="str">
        <f>IFERROR(MATCH($A508,'Guest Log'!$L$4:$L$203,0)+3,"")</f>
        <v/>
      </c>
    </row>
    <row r="509" spans="1:17" ht="15" customHeight="1" x14ac:dyDescent="0.2">
      <c r="A509" s="22">
        <f>508</f>
        <v>508</v>
      </c>
      <c r="B509" s="22" t="str">
        <f>IF(C509="","",IF(C509="Match",INDEX('Match Log'!$A:$A,D509),IF(C509="Tournament",INDEX('Tournament Log'!$A:$A,E509),INDEX('Guest Log'!$A:$A,Q509))))</f>
        <v/>
      </c>
      <c r="C509" s="22" t="str">
        <f t="shared" si="35"/>
        <v/>
      </c>
      <c r="D509" s="39" t="str">
        <f>IFERROR(MATCH($A509,'Match Log'!$K$3:$K$501,0)+2,"")</f>
        <v/>
      </c>
      <c r="E509" s="39" t="str">
        <f>IFERROR(MATCH($A509,'Tournament Log'!$O$4:$O$203,0)+3,"")</f>
        <v/>
      </c>
      <c r="F509" s="22" t="str">
        <f>IF(C509="","",IF(C509="Match",INDEX('Match Log'!$B:$B,D509),IF(C509="Tournament",INDEX('Tournament Log'!$C:$C,E509),INDEX('Guest Log'!$B:$B,Q509))))</f>
        <v/>
      </c>
      <c r="G509" s="22" t="str">
        <f>IF(C509="","",IF(C509="Match",INDEX('Match Log'!$C:$C,D509),IF(C509="Tournament",INDEX('Tournament Log'!$B:$B,E509)&amp;" (Phantom)",INDEX('Guest Log'!$H:$H,Q509)&amp;" (Guest)")))</f>
        <v/>
      </c>
      <c r="H509" s="22" t="str">
        <f t="array" ref="H509">IF(C509="","",IFERROR(LOOKUP(2,1/(($F$1:F508=F509)+($G$1:G508=F509)),IF($F$1:F508=F509,$N$1:N508,$O$1:O508)),1000))</f>
        <v/>
      </c>
      <c r="I509" s="22" t="str">
        <f t="array" ref="I509">IF(C509="","",IF(C509="Tournament",INDEX('Tournament Log'!$J:$J,E509),IF(C509="Guest",IF(INDEX('Guest Log'!$I:$I,Q509)="",1000,INDEX('Guest Log'!$I:$I,Q509)),IFERROR(LOOKUP(2,1/(($F$1:F508=G509)+($G$1:G508=G509)),IF($F$1:F508=G509,$N$1:N508,$O$1:O508)),1000))))</f>
        <v/>
      </c>
      <c r="J509" s="22" t="str">
        <f t="shared" si="36"/>
        <v/>
      </c>
      <c r="K509" s="12" t="str">
        <f>IF(C509="","",IF(C509="Match",IF(INDEX('Match Log'!$D:$D,D509)="Win",1,IF(INDEX('Match Log'!$D:$D,D509)="Draw",0.5,0)),IF(C509="Tournament",INDEX('Tournament Log'!$K:$K,E509),IF(INDEX('Guest Log'!$C:$C,Q509)="Win",1,IF(INDEX('Guest Log'!$C:$C,Q509)="Draw",0.5,0)))))</f>
        <v/>
      </c>
      <c r="L509" s="12" t="str">
        <f>IF(C509="","",IF(C509="Match",32,IF(C509="Tournament",MIN(32*INDEX('Tournament Log'!$D:$D,E509),96),32)))</f>
        <v/>
      </c>
      <c r="M509" s="12" t="str">
        <f t="shared" si="37"/>
        <v/>
      </c>
      <c r="N509" s="12" t="str">
        <f t="shared" si="38"/>
        <v/>
      </c>
      <c r="O509" s="12" t="str">
        <f t="shared" si="39"/>
        <v/>
      </c>
      <c r="P509" s="12" t="str">
        <f>IF(C509="Tournament",INDEX('Tournament Log'!$B:$B,E509),IF(C509="Guest","Guest: "&amp;INDEX('Guest Log'!$H:$H,Q509),""))</f>
        <v/>
      </c>
      <c r="Q509" t="str">
        <f>IFERROR(MATCH($A509,'Guest Log'!$L$4:$L$203,0)+3,"")</f>
        <v/>
      </c>
    </row>
    <row r="510" spans="1:17" ht="15" customHeight="1" x14ac:dyDescent="0.2">
      <c r="A510" s="37">
        <f>509</f>
        <v>509</v>
      </c>
      <c r="B510" s="37" t="str">
        <f>IF(C510="","",IF(C510="Match",INDEX('Match Log'!$A:$A,D510),IF(C510="Tournament",INDEX('Tournament Log'!$A:$A,E510),INDEX('Guest Log'!$A:$A,Q510))))</f>
        <v/>
      </c>
      <c r="C510" s="37" t="str">
        <f t="shared" si="35"/>
        <v/>
      </c>
      <c r="D510" s="38" t="str">
        <f>IFERROR(MATCH($A510,'Match Log'!$K$3:$K$501,0)+2,"")</f>
        <v/>
      </c>
      <c r="E510" s="38" t="str">
        <f>IFERROR(MATCH($A510,'Tournament Log'!$O$4:$O$203,0)+3,"")</f>
        <v/>
      </c>
      <c r="F510" s="37" t="str">
        <f>IF(C510="","",IF(C510="Match",INDEX('Match Log'!$B:$B,D510),IF(C510="Tournament",INDEX('Tournament Log'!$C:$C,E510),INDEX('Guest Log'!$B:$B,Q510))))</f>
        <v/>
      </c>
      <c r="G510" s="37" t="str">
        <f>IF(C510="","",IF(C510="Match",INDEX('Match Log'!$C:$C,D510),IF(C510="Tournament",INDEX('Tournament Log'!$B:$B,E510)&amp;" (Phantom)",INDEX('Guest Log'!$H:$H,Q510)&amp;" (Guest)")))</f>
        <v/>
      </c>
      <c r="H510" s="37" t="str">
        <f t="array" ref="H510">IF(C510="","",IFERROR(LOOKUP(2,1/(($F$1:F509=F510)+($G$1:G509=F510)),IF($F$1:F509=F510,$N$1:N509,$O$1:O509)),1000))</f>
        <v/>
      </c>
      <c r="I510" s="37" t="str">
        <f t="array" ref="I510">IF(C510="","",IF(C510="Tournament",INDEX('Tournament Log'!$J:$J,E510),IF(C510="Guest",IF(INDEX('Guest Log'!$I:$I,Q510)="",1000,INDEX('Guest Log'!$I:$I,Q510)),IFERROR(LOOKUP(2,1/(($F$1:F509=G510)+($G$1:G509=G510)),IF($F$1:F509=G510,$N$1:N509,$O$1:O509)),1000))))</f>
        <v/>
      </c>
      <c r="J510" s="37" t="str">
        <f t="shared" si="36"/>
        <v/>
      </c>
      <c r="K510" s="12" t="str">
        <f>IF(C510="","",IF(C510="Match",IF(INDEX('Match Log'!$D:$D,D510)="Win",1,IF(INDEX('Match Log'!$D:$D,D510)="Draw",0.5,0)),IF(C510="Tournament",INDEX('Tournament Log'!$K:$K,E510),IF(INDEX('Guest Log'!$C:$C,Q510)="Win",1,IF(INDEX('Guest Log'!$C:$C,Q510)="Draw",0.5,0)))))</f>
        <v/>
      </c>
      <c r="L510" s="12" t="str">
        <f>IF(C510="","",IF(C510="Match",32,IF(C510="Tournament",MIN(32*INDEX('Tournament Log'!$D:$D,E510),96),32)))</f>
        <v/>
      </c>
      <c r="M510" s="12" t="str">
        <f t="shared" si="37"/>
        <v/>
      </c>
      <c r="N510" s="12" t="str">
        <f t="shared" si="38"/>
        <v/>
      </c>
      <c r="O510" s="12" t="str">
        <f t="shared" si="39"/>
        <v/>
      </c>
      <c r="P510" s="12" t="str">
        <f>IF(C510="Tournament",INDEX('Tournament Log'!$B:$B,E510),IF(C510="Guest","Guest: "&amp;INDEX('Guest Log'!$H:$H,Q510),""))</f>
        <v/>
      </c>
      <c r="Q510" t="str">
        <f>IFERROR(MATCH($A510,'Guest Log'!$L$4:$L$203,0)+3,"")</f>
        <v/>
      </c>
    </row>
    <row r="511" spans="1:17" ht="15" customHeight="1" x14ac:dyDescent="0.2">
      <c r="A511" s="22">
        <f>510</f>
        <v>510</v>
      </c>
      <c r="B511" s="22" t="str">
        <f>IF(C511="","",IF(C511="Match",INDEX('Match Log'!$A:$A,D511),IF(C511="Tournament",INDEX('Tournament Log'!$A:$A,E511),INDEX('Guest Log'!$A:$A,Q511))))</f>
        <v/>
      </c>
      <c r="C511" s="22" t="str">
        <f t="shared" si="35"/>
        <v/>
      </c>
      <c r="D511" s="39" t="str">
        <f>IFERROR(MATCH($A511,'Match Log'!$K$3:$K$501,0)+2,"")</f>
        <v/>
      </c>
      <c r="E511" s="39" t="str">
        <f>IFERROR(MATCH($A511,'Tournament Log'!$O$4:$O$203,0)+3,"")</f>
        <v/>
      </c>
      <c r="F511" s="22" t="str">
        <f>IF(C511="","",IF(C511="Match",INDEX('Match Log'!$B:$B,D511),IF(C511="Tournament",INDEX('Tournament Log'!$C:$C,E511),INDEX('Guest Log'!$B:$B,Q511))))</f>
        <v/>
      </c>
      <c r="G511" s="22" t="str">
        <f>IF(C511="","",IF(C511="Match",INDEX('Match Log'!$C:$C,D511),IF(C511="Tournament",INDEX('Tournament Log'!$B:$B,E511)&amp;" (Phantom)",INDEX('Guest Log'!$H:$H,Q511)&amp;" (Guest)")))</f>
        <v/>
      </c>
      <c r="H511" s="22" t="str">
        <f t="array" ref="H511">IF(C511="","",IFERROR(LOOKUP(2,1/(($F$1:F510=F511)+($G$1:G510=F511)),IF($F$1:F510=F511,$N$1:N510,$O$1:O510)),1000))</f>
        <v/>
      </c>
      <c r="I511" s="22" t="str">
        <f t="array" ref="I511">IF(C511="","",IF(C511="Tournament",INDEX('Tournament Log'!$J:$J,E511),IF(C511="Guest",IF(INDEX('Guest Log'!$I:$I,Q511)="",1000,INDEX('Guest Log'!$I:$I,Q511)),IFERROR(LOOKUP(2,1/(($F$1:F510=G511)+($G$1:G510=G511)),IF($F$1:F510=G511,$N$1:N510,$O$1:O510)),1000))))</f>
        <v/>
      </c>
      <c r="J511" s="22" t="str">
        <f t="shared" si="36"/>
        <v/>
      </c>
      <c r="K511" s="12" t="str">
        <f>IF(C511="","",IF(C511="Match",IF(INDEX('Match Log'!$D:$D,D511)="Win",1,IF(INDEX('Match Log'!$D:$D,D511)="Draw",0.5,0)),IF(C511="Tournament",INDEX('Tournament Log'!$K:$K,E511),IF(INDEX('Guest Log'!$C:$C,Q511)="Win",1,IF(INDEX('Guest Log'!$C:$C,Q511)="Draw",0.5,0)))))</f>
        <v/>
      </c>
      <c r="L511" s="12" t="str">
        <f>IF(C511="","",IF(C511="Match",32,IF(C511="Tournament",MIN(32*INDEX('Tournament Log'!$D:$D,E511),96),32)))</f>
        <v/>
      </c>
      <c r="M511" s="12" t="str">
        <f t="shared" si="37"/>
        <v/>
      </c>
      <c r="N511" s="12" t="str">
        <f t="shared" si="38"/>
        <v/>
      </c>
      <c r="O511" s="12" t="str">
        <f t="shared" si="39"/>
        <v/>
      </c>
      <c r="P511" s="12" t="str">
        <f>IF(C511="Tournament",INDEX('Tournament Log'!$B:$B,E511),IF(C511="Guest","Guest: "&amp;INDEX('Guest Log'!$H:$H,Q511),""))</f>
        <v/>
      </c>
      <c r="Q511" t="str">
        <f>IFERROR(MATCH($A511,'Guest Log'!$L$4:$L$203,0)+3,"")</f>
        <v/>
      </c>
    </row>
    <row r="512" spans="1:17" ht="15" customHeight="1" x14ac:dyDescent="0.2">
      <c r="A512" s="37">
        <f>511</f>
        <v>511</v>
      </c>
      <c r="B512" s="37" t="str">
        <f>IF(C512="","",IF(C512="Match",INDEX('Match Log'!$A:$A,D512),IF(C512="Tournament",INDEX('Tournament Log'!$A:$A,E512),INDEX('Guest Log'!$A:$A,Q512))))</f>
        <v/>
      </c>
      <c r="C512" s="37" t="str">
        <f t="shared" si="35"/>
        <v/>
      </c>
      <c r="D512" s="38" t="str">
        <f>IFERROR(MATCH($A512,'Match Log'!$K$3:$K$501,0)+2,"")</f>
        <v/>
      </c>
      <c r="E512" s="38" t="str">
        <f>IFERROR(MATCH($A512,'Tournament Log'!$O$4:$O$203,0)+3,"")</f>
        <v/>
      </c>
      <c r="F512" s="37" t="str">
        <f>IF(C512="","",IF(C512="Match",INDEX('Match Log'!$B:$B,D512),IF(C512="Tournament",INDEX('Tournament Log'!$C:$C,E512),INDEX('Guest Log'!$B:$B,Q512))))</f>
        <v/>
      </c>
      <c r="G512" s="37" t="str">
        <f>IF(C512="","",IF(C512="Match",INDEX('Match Log'!$C:$C,D512),IF(C512="Tournament",INDEX('Tournament Log'!$B:$B,E512)&amp;" (Phantom)",INDEX('Guest Log'!$H:$H,Q512)&amp;" (Guest)")))</f>
        <v/>
      </c>
      <c r="H512" s="37" t="str">
        <f t="array" ref="H512">IF(C512="","",IFERROR(LOOKUP(2,1/(($F$1:F511=F512)+($G$1:G511=F512)),IF($F$1:F511=F512,$N$1:N511,$O$1:O511)),1000))</f>
        <v/>
      </c>
      <c r="I512" s="37" t="str">
        <f t="array" ref="I512">IF(C512="","",IF(C512="Tournament",INDEX('Tournament Log'!$J:$J,E512),IF(C512="Guest",IF(INDEX('Guest Log'!$I:$I,Q512)="",1000,INDEX('Guest Log'!$I:$I,Q512)),IFERROR(LOOKUP(2,1/(($F$1:F511=G512)+($G$1:G511=G512)),IF($F$1:F511=G512,$N$1:N511,$O$1:O511)),1000))))</f>
        <v/>
      </c>
      <c r="J512" s="37" t="str">
        <f t="shared" si="36"/>
        <v/>
      </c>
      <c r="K512" s="12" t="str">
        <f>IF(C512="","",IF(C512="Match",IF(INDEX('Match Log'!$D:$D,D512)="Win",1,IF(INDEX('Match Log'!$D:$D,D512)="Draw",0.5,0)),IF(C512="Tournament",INDEX('Tournament Log'!$K:$K,E512),IF(INDEX('Guest Log'!$C:$C,Q512)="Win",1,IF(INDEX('Guest Log'!$C:$C,Q512)="Draw",0.5,0)))))</f>
        <v/>
      </c>
      <c r="L512" s="12" t="str">
        <f>IF(C512="","",IF(C512="Match",32,IF(C512="Tournament",MIN(32*INDEX('Tournament Log'!$D:$D,E512),96),32)))</f>
        <v/>
      </c>
      <c r="M512" s="12" t="str">
        <f t="shared" si="37"/>
        <v/>
      </c>
      <c r="N512" s="12" t="str">
        <f t="shared" si="38"/>
        <v/>
      </c>
      <c r="O512" s="12" t="str">
        <f t="shared" si="39"/>
        <v/>
      </c>
      <c r="P512" s="12" t="str">
        <f>IF(C512="Tournament",INDEX('Tournament Log'!$B:$B,E512),IF(C512="Guest","Guest: "&amp;INDEX('Guest Log'!$H:$H,Q512),""))</f>
        <v/>
      </c>
      <c r="Q512" t="str">
        <f>IFERROR(MATCH($A512,'Guest Log'!$L$4:$L$203,0)+3,"")</f>
        <v/>
      </c>
    </row>
    <row r="513" spans="1:17" ht="15" customHeight="1" x14ac:dyDescent="0.2">
      <c r="A513" s="22">
        <f>512</f>
        <v>512</v>
      </c>
      <c r="B513" s="22" t="str">
        <f>IF(C513="","",IF(C513="Match",INDEX('Match Log'!$A:$A,D513),IF(C513="Tournament",INDEX('Tournament Log'!$A:$A,E513),INDEX('Guest Log'!$A:$A,Q513))))</f>
        <v/>
      </c>
      <c r="C513" s="22" t="str">
        <f t="shared" si="35"/>
        <v/>
      </c>
      <c r="D513" s="39" t="str">
        <f>IFERROR(MATCH($A513,'Match Log'!$K$3:$K$501,0)+2,"")</f>
        <v/>
      </c>
      <c r="E513" s="39" t="str">
        <f>IFERROR(MATCH($A513,'Tournament Log'!$O$4:$O$203,0)+3,"")</f>
        <v/>
      </c>
      <c r="F513" s="22" t="str">
        <f>IF(C513="","",IF(C513="Match",INDEX('Match Log'!$B:$B,D513),IF(C513="Tournament",INDEX('Tournament Log'!$C:$C,E513),INDEX('Guest Log'!$B:$B,Q513))))</f>
        <v/>
      </c>
      <c r="G513" s="22" t="str">
        <f>IF(C513="","",IF(C513="Match",INDEX('Match Log'!$C:$C,D513),IF(C513="Tournament",INDEX('Tournament Log'!$B:$B,E513)&amp;" (Phantom)",INDEX('Guest Log'!$H:$H,Q513)&amp;" (Guest)")))</f>
        <v/>
      </c>
      <c r="H513" s="22" t="str">
        <f t="array" ref="H513">IF(C513="","",IFERROR(LOOKUP(2,1/(($F$1:F512=F513)+($G$1:G512=F513)),IF($F$1:F512=F513,$N$1:N512,$O$1:O512)),1000))</f>
        <v/>
      </c>
      <c r="I513" s="22" t="str">
        <f t="array" ref="I513">IF(C513="","",IF(C513="Tournament",INDEX('Tournament Log'!$J:$J,E513),IF(C513="Guest",IF(INDEX('Guest Log'!$I:$I,Q513)="",1000,INDEX('Guest Log'!$I:$I,Q513)),IFERROR(LOOKUP(2,1/(($F$1:F512=G513)+($G$1:G512=G513)),IF($F$1:F512=G513,$N$1:N512,$O$1:O512)),1000))))</f>
        <v/>
      </c>
      <c r="J513" s="22" t="str">
        <f t="shared" si="36"/>
        <v/>
      </c>
      <c r="K513" s="12" t="str">
        <f>IF(C513="","",IF(C513="Match",IF(INDEX('Match Log'!$D:$D,D513)="Win",1,IF(INDEX('Match Log'!$D:$D,D513)="Draw",0.5,0)),IF(C513="Tournament",INDEX('Tournament Log'!$K:$K,E513),IF(INDEX('Guest Log'!$C:$C,Q513)="Win",1,IF(INDEX('Guest Log'!$C:$C,Q513)="Draw",0.5,0)))))</f>
        <v/>
      </c>
      <c r="L513" s="12" t="str">
        <f>IF(C513="","",IF(C513="Match",32,IF(C513="Tournament",MIN(32*INDEX('Tournament Log'!$D:$D,E513),96),32)))</f>
        <v/>
      </c>
      <c r="M513" s="12" t="str">
        <f t="shared" si="37"/>
        <v/>
      </c>
      <c r="N513" s="12" t="str">
        <f t="shared" si="38"/>
        <v/>
      </c>
      <c r="O513" s="12" t="str">
        <f t="shared" si="39"/>
        <v/>
      </c>
      <c r="P513" s="12" t="str">
        <f>IF(C513="Tournament",INDEX('Tournament Log'!$B:$B,E513),IF(C513="Guest","Guest: "&amp;INDEX('Guest Log'!$H:$H,Q513),""))</f>
        <v/>
      </c>
      <c r="Q513" t="str">
        <f>IFERROR(MATCH($A513,'Guest Log'!$L$4:$L$203,0)+3,"")</f>
        <v/>
      </c>
    </row>
    <row r="514" spans="1:17" ht="15" customHeight="1" x14ac:dyDescent="0.2">
      <c r="A514" s="37">
        <f>513</f>
        <v>513</v>
      </c>
      <c r="B514" s="37" t="str">
        <f>IF(C514="","",IF(C514="Match",INDEX('Match Log'!$A:$A,D514),IF(C514="Tournament",INDEX('Tournament Log'!$A:$A,E514),INDEX('Guest Log'!$A:$A,Q514))))</f>
        <v/>
      </c>
      <c r="C514" s="37" t="str">
        <f t="shared" ref="C514:C577" si="40">IF(D514&lt;&gt;"","Match",IF(E514&lt;&gt;"","Tournament",IF(Q514&lt;&gt;"","Guest","")))</f>
        <v/>
      </c>
      <c r="D514" s="38" t="str">
        <f>IFERROR(MATCH($A514,'Match Log'!$K$3:$K$501,0)+2,"")</f>
        <v/>
      </c>
      <c r="E514" s="38" t="str">
        <f>IFERROR(MATCH($A514,'Tournament Log'!$O$4:$O$203,0)+3,"")</f>
        <v/>
      </c>
      <c r="F514" s="37" t="str">
        <f>IF(C514="","",IF(C514="Match",INDEX('Match Log'!$B:$B,D514),IF(C514="Tournament",INDEX('Tournament Log'!$C:$C,E514),INDEX('Guest Log'!$B:$B,Q514))))</f>
        <v/>
      </c>
      <c r="G514" s="37" t="str">
        <f>IF(C514="","",IF(C514="Match",INDEX('Match Log'!$C:$C,D514),IF(C514="Tournament",INDEX('Tournament Log'!$B:$B,E514)&amp;" (Phantom)",INDEX('Guest Log'!$H:$H,Q514)&amp;" (Guest)")))</f>
        <v/>
      </c>
      <c r="H514" s="37" t="str">
        <f t="array" ref="H514">IF(C514="","",IFERROR(LOOKUP(2,1/(($F$1:F513=F514)+($G$1:G513=F514)),IF($F$1:F513=F514,$N$1:N513,$O$1:O513)),1000))</f>
        <v/>
      </c>
      <c r="I514" s="37" t="str">
        <f t="array" ref="I514">IF(C514="","",IF(C514="Tournament",INDEX('Tournament Log'!$J:$J,E514),IF(C514="Guest",IF(INDEX('Guest Log'!$I:$I,Q514)="",1000,INDEX('Guest Log'!$I:$I,Q514)),IFERROR(LOOKUP(2,1/(($F$1:F513=G514)+($G$1:G513=G514)),IF($F$1:F513=G514,$N$1:N513,$O$1:O513)),1000))))</f>
        <v/>
      </c>
      <c r="J514" s="37" t="str">
        <f t="shared" ref="J514:J577" si="41">IF(C514="","",1/(1+10^((I514-H514)/400)))</f>
        <v/>
      </c>
      <c r="K514" s="12" t="str">
        <f>IF(C514="","",IF(C514="Match",IF(INDEX('Match Log'!$D:$D,D514)="Win",1,IF(INDEX('Match Log'!$D:$D,D514)="Draw",0.5,0)),IF(C514="Tournament",INDEX('Tournament Log'!$K:$K,E514),IF(INDEX('Guest Log'!$C:$C,Q514)="Win",1,IF(INDEX('Guest Log'!$C:$C,Q514)="Draw",0.5,0)))))</f>
        <v/>
      </c>
      <c r="L514" s="12" t="str">
        <f>IF(C514="","",IF(C514="Match",32,IF(C514="Tournament",MIN(32*INDEX('Tournament Log'!$D:$D,E514),96),32)))</f>
        <v/>
      </c>
      <c r="M514" s="12" t="str">
        <f t="shared" ref="M514:M577" si="42">IF(C514="","",ROUND(L514*(K514-J514),0))</f>
        <v/>
      </c>
      <c r="N514" s="12" t="str">
        <f t="shared" ref="N514:N577" si="43">IF(C514="","",H514+M514)</f>
        <v/>
      </c>
      <c r="O514" s="12" t="str">
        <f t="shared" ref="O514:O577" si="44">IF(C514="","",IF(C514="Match",I514-M514,""))</f>
        <v/>
      </c>
      <c r="P514" s="12" t="str">
        <f>IF(C514="Tournament",INDEX('Tournament Log'!$B:$B,E514),IF(C514="Guest","Guest: "&amp;INDEX('Guest Log'!$H:$H,Q514),""))</f>
        <v/>
      </c>
      <c r="Q514" t="str">
        <f>IFERROR(MATCH($A514,'Guest Log'!$L$4:$L$203,0)+3,"")</f>
        <v/>
      </c>
    </row>
    <row r="515" spans="1:17" ht="15" customHeight="1" x14ac:dyDescent="0.2">
      <c r="A515" s="22">
        <f>514</f>
        <v>514</v>
      </c>
      <c r="B515" s="22" t="str">
        <f>IF(C515="","",IF(C515="Match",INDEX('Match Log'!$A:$A,D515),IF(C515="Tournament",INDEX('Tournament Log'!$A:$A,E515),INDEX('Guest Log'!$A:$A,Q515))))</f>
        <v/>
      </c>
      <c r="C515" s="22" t="str">
        <f t="shared" si="40"/>
        <v/>
      </c>
      <c r="D515" s="39" t="str">
        <f>IFERROR(MATCH($A515,'Match Log'!$K$3:$K$501,0)+2,"")</f>
        <v/>
      </c>
      <c r="E515" s="39" t="str">
        <f>IFERROR(MATCH($A515,'Tournament Log'!$O$4:$O$203,0)+3,"")</f>
        <v/>
      </c>
      <c r="F515" s="22" t="str">
        <f>IF(C515="","",IF(C515="Match",INDEX('Match Log'!$B:$B,D515),IF(C515="Tournament",INDEX('Tournament Log'!$C:$C,E515),INDEX('Guest Log'!$B:$B,Q515))))</f>
        <v/>
      </c>
      <c r="G515" s="22" t="str">
        <f>IF(C515="","",IF(C515="Match",INDEX('Match Log'!$C:$C,D515),IF(C515="Tournament",INDEX('Tournament Log'!$B:$B,E515)&amp;" (Phantom)",INDEX('Guest Log'!$H:$H,Q515)&amp;" (Guest)")))</f>
        <v/>
      </c>
      <c r="H515" s="22" t="str">
        <f t="array" ref="H515">IF(C515="","",IFERROR(LOOKUP(2,1/(($F$1:F514=F515)+($G$1:G514=F515)),IF($F$1:F514=F515,$N$1:N514,$O$1:O514)),1000))</f>
        <v/>
      </c>
      <c r="I515" s="22" t="str">
        <f t="array" ref="I515">IF(C515="","",IF(C515="Tournament",INDEX('Tournament Log'!$J:$J,E515),IF(C515="Guest",IF(INDEX('Guest Log'!$I:$I,Q515)="",1000,INDEX('Guest Log'!$I:$I,Q515)),IFERROR(LOOKUP(2,1/(($F$1:F514=G515)+($G$1:G514=G515)),IF($F$1:F514=G515,$N$1:N514,$O$1:O514)),1000))))</f>
        <v/>
      </c>
      <c r="J515" s="22" t="str">
        <f t="shared" si="41"/>
        <v/>
      </c>
      <c r="K515" s="12" t="str">
        <f>IF(C515="","",IF(C515="Match",IF(INDEX('Match Log'!$D:$D,D515)="Win",1,IF(INDEX('Match Log'!$D:$D,D515)="Draw",0.5,0)),IF(C515="Tournament",INDEX('Tournament Log'!$K:$K,E515),IF(INDEX('Guest Log'!$C:$C,Q515)="Win",1,IF(INDEX('Guest Log'!$C:$C,Q515)="Draw",0.5,0)))))</f>
        <v/>
      </c>
      <c r="L515" s="12" t="str">
        <f>IF(C515="","",IF(C515="Match",32,IF(C515="Tournament",MIN(32*INDEX('Tournament Log'!$D:$D,E515),96),32)))</f>
        <v/>
      </c>
      <c r="M515" s="12" t="str">
        <f t="shared" si="42"/>
        <v/>
      </c>
      <c r="N515" s="12" t="str">
        <f t="shared" si="43"/>
        <v/>
      </c>
      <c r="O515" s="12" t="str">
        <f t="shared" si="44"/>
        <v/>
      </c>
      <c r="P515" s="12" t="str">
        <f>IF(C515="Tournament",INDEX('Tournament Log'!$B:$B,E515),IF(C515="Guest","Guest: "&amp;INDEX('Guest Log'!$H:$H,Q515),""))</f>
        <v/>
      </c>
      <c r="Q515" t="str">
        <f>IFERROR(MATCH($A515,'Guest Log'!$L$4:$L$203,0)+3,"")</f>
        <v/>
      </c>
    </row>
    <row r="516" spans="1:17" ht="15" customHeight="1" x14ac:dyDescent="0.2">
      <c r="A516" s="37">
        <f>515</f>
        <v>515</v>
      </c>
      <c r="B516" s="37" t="str">
        <f>IF(C516="","",IF(C516="Match",INDEX('Match Log'!$A:$A,D516),IF(C516="Tournament",INDEX('Tournament Log'!$A:$A,E516),INDEX('Guest Log'!$A:$A,Q516))))</f>
        <v/>
      </c>
      <c r="C516" s="37" t="str">
        <f t="shared" si="40"/>
        <v/>
      </c>
      <c r="D516" s="38" t="str">
        <f>IFERROR(MATCH($A516,'Match Log'!$K$3:$K$501,0)+2,"")</f>
        <v/>
      </c>
      <c r="E516" s="38" t="str">
        <f>IFERROR(MATCH($A516,'Tournament Log'!$O$4:$O$203,0)+3,"")</f>
        <v/>
      </c>
      <c r="F516" s="37" t="str">
        <f>IF(C516="","",IF(C516="Match",INDEX('Match Log'!$B:$B,D516),IF(C516="Tournament",INDEX('Tournament Log'!$C:$C,E516),INDEX('Guest Log'!$B:$B,Q516))))</f>
        <v/>
      </c>
      <c r="G516" s="37" t="str">
        <f>IF(C516="","",IF(C516="Match",INDEX('Match Log'!$C:$C,D516),IF(C516="Tournament",INDEX('Tournament Log'!$B:$B,E516)&amp;" (Phantom)",INDEX('Guest Log'!$H:$H,Q516)&amp;" (Guest)")))</f>
        <v/>
      </c>
      <c r="H516" s="37" t="str">
        <f t="array" ref="H516">IF(C516="","",IFERROR(LOOKUP(2,1/(($F$1:F515=F516)+($G$1:G515=F516)),IF($F$1:F515=F516,$N$1:N515,$O$1:O515)),1000))</f>
        <v/>
      </c>
      <c r="I516" s="37" t="str">
        <f t="array" ref="I516">IF(C516="","",IF(C516="Tournament",INDEX('Tournament Log'!$J:$J,E516),IF(C516="Guest",IF(INDEX('Guest Log'!$I:$I,Q516)="",1000,INDEX('Guest Log'!$I:$I,Q516)),IFERROR(LOOKUP(2,1/(($F$1:F515=G516)+($G$1:G515=G516)),IF($F$1:F515=G516,$N$1:N515,$O$1:O515)),1000))))</f>
        <v/>
      </c>
      <c r="J516" s="37" t="str">
        <f t="shared" si="41"/>
        <v/>
      </c>
      <c r="K516" s="12" t="str">
        <f>IF(C516="","",IF(C516="Match",IF(INDEX('Match Log'!$D:$D,D516)="Win",1,IF(INDEX('Match Log'!$D:$D,D516)="Draw",0.5,0)),IF(C516="Tournament",INDEX('Tournament Log'!$K:$K,E516),IF(INDEX('Guest Log'!$C:$C,Q516)="Win",1,IF(INDEX('Guest Log'!$C:$C,Q516)="Draw",0.5,0)))))</f>
        <v/>
      </c>
      <c r="L516" s="12" t="str">
        <f>IF(C516="","",IF(C516="Match",32,IF(C516="Tournament",MIN(32*INDEX('Tournament Log'!$D:$D,E516),96),32)))</f>
        <v/>
      </c>
      <c r="M516" s="12" t="str">
        <f t="shared" si="42"/>
        <v/>
      </c>
      <c r="N516" s="12" t="str">
        <f t="shared" si="43"/>
        <v/>
      </c>
      <c r="O516" s="12" t="str">
        <f t="shared" si="44"/>
        <v/>
      </c>
      <c r="P516" s="12" t="str">
        <f>IF(C516="Tournament",INDEX('Tournament Log'!$B:$B,E516),IF(C516="Guest","Guest: "&amp;INDEX('Guest Log'!$H:$H,Q516),""))</f>
        <v/>
      </c>
      <c r="Q516" t="str">
        <f>IFERROR(MATCH($A516,'Guest Log'!$L$4:$L$203,0)+3,"")</f>
        <v/>
      </c>
    </row>
    <row r="517" spans="1:17" ht="15" customHeight="1" x14ac:dyDescent="0.2">
      <c r="A517" s="22">
        <f>516</f>
        <v>516</v>
      </c>
      <c r="B517" s="22" t="str">
        <f>IF(C517="","",IF(C517="Match",INDEX('Match Log'!$A:$A,D517),IF(C517="Tournament",INDEX('Tournament Log'!$A:$A,E517),INDEX('Guest Log'!$A:$A,Q517))))</f>
        <v/>
      </c>
      <c r="C517" s="22" t="str">
        <f t="shared" si="40"/>
        <v/>
      </c>
      <c r="D517" s="39" t="str">
        <f>IFERROR(MATCH($A517,'Match Log'!$K$3:$K$501,0)+2,"")</f>
        <v/>
      </c>
      <c r="E517" s="39" t="str">
        <f>IFERROR(MATCH($A517,'Tournament Log'!$O$4:$O$203,0)+3,"")</f>
        <v/>
      </c>
      <c r="F517" s="22" t="str">
        <f>IF(C517="","",IF(C517="Match",INDEX('Match Log'!$B:$B,D517),IF(C517="Tournament",INDEX('Tournament Log'!$C:$C,E517),INDEX('Guest Log'!$B:$B,Q517))))</f>
        <v/>
      </c>
      <c r="G517" s="22" t="str">
        <f>IF(C517="","",IF(C517="Match",INDEX('Match Log'!$C:$C,D517),IF(C517="Tournament",INDEX('Tournament Log'!$B:$B,E517)&amp;" (Phantom)",INDEX('Guest Log'!$H:$H,Q517)&amp;" (Guest)")))</f>
        <v/>
      </c>
      <c r="H517" s="22" t="str">
        <f t="array" ref="H517">IF(C517="","",IFERROR(LOOKUP(2,1/(($F$1:F516=F517)+($G$1:G516=F517)),IF($F$1:F516=F517,$N$1:N516,$O$1:O516)),1000))</f>
        <v/>
      </c>
      <c r="I517" s="22" t="str">
        <f t="array" ref="I517">IF(C517="","",IF(C517="Tournament",INDEX('Tournament Log'!$J:$J,E517),IF(C517="Guest",IF(INDEX('Guest Log'!$I:$I,Q517)="",1000,INDEX('Guest Log'!$I:$I,Q517)),IFERROR(LOOKUP(2,1/(($F$1:F516=G517)+($G$1:G516=G517)),IF($F$1:F516=G517,$N$1:N516,$O$1:O516)),1000))))</f>
        <v/>
      </c>
      <c r="J517" s="22" t="str">
        <f t="shared" si="41"/>
        <v/>
      </c>
      <c r="K517" s="12" t="str">
        <f>IF(C517="","",IF(C517="Match",IF(INDEX('Match Log'!$D:$D,D517)="Win",1,IF(INDEX('Match Log'!$D:$D,D517)="Draw",0.5,0)),IF(C517="Tournament",INDEX('Tournament Log'!$K:$K,E517),IF(INDEX('Guest Log'!$C:$C,Q517)="Win",1,IF(INDEX('Guest Log'!$C:$C,Q517)="Draw",0.5,0)))))</f>
        <v/>
      </c>
      <c r="L517" s="12" t="str">
        <f>IF(C517="","",IF(C517="Match",32,IF(C517="Tournament",MIN(32*INDEX('Tournament Log'!$D:$D,E517),96),32)))</f>
        <v/>
      </c>
      <c r="M517" s="12" t="str">
        <f t="shared" si="42"/>
        <v/>
      </c>
      <c r="N517" s="12" t="str">
        <f t="shared" si="43"/>
        <v/>
      </c>
      <c r="O517" s="12" t="str">
        <f t="shared" si="44"/>
        <v/>
      </c>
      <c r="P517" s="12" t="str">
        <f>IF(C517="Tournament",INDEX('Tournament Log'!$B:$B,E517),IF(C517="Guest","Guest: "&amp;INDEX('Guest Log'!$H:$H,Q517),""))</f>
        <v/>
      </c>
      <c r="Q517" t="str">
        <f>IFERROR(MATCH($A517,'Guest Log'!$L$4:$L$203,0)+3,"")</f>
        <v/>
      </c>
    </row>
    <row r="518" spans="1:17" ht="15" customHeight="1" x14ac:dyDescent="0.2">
      <c r="A518" s="37">
        <f>517</f>
        <v>517</v>
      </c>
      <c r="B518" s="37" t="str">
        <f>IF(C518="","",IF(C518="Match",INDEX('Match Log'!$A:$A,D518),IF(C518="Tournament",INDEX('Tournament Log'!$A:$A,E518),INDEX('Guest Log'!$A:$A,Q518))))</f>
        <v/>
      </c>
      <c r="C518" s="37" t="str">
        <f t="shared" si="40"/>
        <v/>
      </c>
      <c r="D518" s="38" t="str">
        <f>IFERROR(MATCH($A518,'Match Log'!$K$3:$K$501,0)+2,"")</f>
        <v/>
      </c>
      <c r="E518" s="38" t="str">
        <f>IFERROR(MATCH($A518,'Tournament Log'!$O$4:$O$203,0)+3,"")</f>
        <v/>
      </c>
      <c r="F518" s="37" t="str">
        <f>IF(C518="","",IF(C518="Match",INDEX('Match Log'!$B:$B,D518),IF(C518="Tournament",INDEX('Tournament Log'!$C:$C,E518),INDEX('Guest Log'!$B:$B,Q518))))</f>
        <v/>
      </c>
      <c r="G518" s="37" t="str">
        <f>IF(C518="","",IF(C518="Match",INDEX('Match Log'!$C:$C,D518),IF(C518="Tournament",INDEX('Tournament Log'!$B:$B,E518)&amp;" (Phantom)",INDEX('Guest Log'!$H:$H,Q518)&amp;" (Guest)")))</f>
        <v/>
      </c>
      <c r="H518" s="37" t="str">
        <f t="array" ref="H518">IF(C518="","",IFERROR(LOOKUP(2,1/(($F$1:F517=F518)+($G$1:G517=F518)),IF($F$1:F517=F518,$N$1:N517,$O$1:O517)),1000))</f>
        <v/>
      </c>
      <c r="I518" s="37" t="str">
        <f t="array" ref="I518">IF(C518="","",IF(C518="Tournament",INDEX('Tournament Log'!$J:$J,E518),IF(C518="Guest",IF(INDEX('Guest Log'!$I:$I,Q518)="",1000,INDEX('Guest Log'!$I:$I,Q518)),IFERROR(LOOKUP(2,1/(($F$1:F517=G518)+($G$1:G517=G518)),IF($F$1:F517=G518,$N$1:N517,$O$1:O517)),1000))))</f>
        <v/>
      </c>
      <c r="J518" s="37" t="str">
        <f t="shared" si="41"/>
        <v/>
      </c>
      <c r="K518" s="12" t="str">
        <f>IF(C518="","",IF(C518="Match",IF(INDEX('Match Log'!$D:$D,D518)="Win",1,IF(INDEX('Match Log'!$D:$D,D518)="Draw",0.5,0)),IF(C518="Tournament",INDEX('Tournament Log'!$K:$K,E518),IF(INDEX('Guest Log'!$C:$C,Q518)="Win",1,IF(INDEX('Guest Log'!$C:$C,Q518)="Draw",0.5,0)))))</f>
        <v/>
      </c>
      <c r="L518" s="12" t="str">
        <f>IF(C518="","",IF(C518="Match",32,IF(C518="Tournament",MIN(32*INDEX('Tournament Log'!$D:$D,E518),96),32)))</f>
        <v/>
      </c>
      <c r="M518" s="12" t="str">
        <f t="shared" si="42"/>
        <v/>
      </c>
      <c r="N518" s="12" t="str">
        <f t="shared" si="43"/>
        <v/>
      </c>
      <c r="O518" s="12" t="str">
        <f t="shared" si="44"/>
        <v/>
      </c>
      <c r="P518" s="12" t="str">
        <f>IF(C518="Tournament",INDEX('Tournament Log'!$B:$B,E518),IF(C518="Guest","Guest: "&amp;INDEX('Guest Log'!$H:$H,Q518),""))</f>
        <v/>
      </c>
      <c r="Q518" t="str">
        <f>IFERROR(MATCH($A518,'Guest Log'!$L$4:$L$203,0)+3,"")</f>
        <v/>
      </c>
    </row>
    <row r="519" spans="1:17" ht="15" customHeight="1" x14ac:dyDescent="0.2">
      <c r="A519" s="22">
        <f>518</f>
        <v>518</v>
      </c>
      <c r="B519" s="22" t="str">
        <f>IF(C519="","",IF(C519="Match",INDEX('Match Log'!$A:$A,D519),IF(C519="Tournament",INDEX('Tournament Log'!$A:$A,E519),INDEX('Guest Log'!$A:$A,Q519))))</f>
        <v/>
      </c>
      <c r="C519" s="22" t="str">
        <f t="shared" si="40"/>
        <v/>
      </c>
      <c r="D519" s="39" t="str">
        <f>IFERROR(MATCH($A519,'Match Log'!$K$3:$K$501,0)+2,"")</f>
        <v/>
      </c>
      <c r="E519" s="39" t="str">
        <f>IFERROR(MATCH($A519,'Tournament Log'!$O$4:$O$203,0)+3,"")</f>
        <v/>
      </c>
      <c r="F519" s="22" t="str">
        <f>IF(C519="","",IF(C519="Match",INDEX('Match Log'!$B:$B,D519),IF(C519="Tournament",INDEX('Tournament Log'!$C:$C,E519),INDEX('Guest Log'!$B:$B,Q519))))</f>
        <v/>
      </c>
      <c r="G519" s="22" t="str">
        <f>IF(C519="","",IF(C519="Match",INDEX('Match Log'!$C:$C,D519),IF(C519="Tournament",INDEX('Tournament Log'!$B:$B,E519)&amp;" (Phantom)",INDEX('Guest Log'!$H:$H,Q519)&amp;" (Guest)")))</f>
        <v/>
      </c>
      <c r="H519" s="22" t="str">
        <f t="array" ref="H519">IF(C519="","",IFERROR(LOOKUP(2,1/(($F$1:F518=F519)+($G$1:G518=F519)),IF($F$1:F518=F519,$N$1:N518,$O$1:O518)),1000))</f>
        <v/>
      </c>
      <c r="I519" s="22" t="str">
        <f t="array" ref="I519">IF(C519="","",IF(C519="Tournament",INDEX('Tournament Log'!$J:$J,E519),IF(C519="Guest",IF(INDEX('Guest Log'!$I:$I,Q519)="",1000,INDEX('Guest Log'!$I:$I,Q519)),IFERROR(LOOKUP(2,1/(($F$1:F518=G519)+($G$1:G518=G519)),IF($F$1:F518=G519,$N$1:N518,$O$1:O518)),1000))))</f>
        <v/>
      </c>
      <c r="J519" s="22" t="str">
        <f t="shared" si="41"/>
        <v/>
      </c>
      <c r="K519" s="12" t="str">
        <f>IF(C519="","",IF(C519="Match",IF(INDEX('Match Log'!$D:$D,D519)="Win",1,IF(INDEX('Match Log'!$D:$D,D519)="Draw",0.5,0)),IF(C519="Tournament",INDEX('Tournament Log'!$K:$K,E519),IF(INDEX('Guest Log'!$C:$C,Q519)="Win",1,IF(INDEX('Guest Log'!$C:$C,Q519)="Draw",0.5,0)))))</f>
        <v/>
      </c>
      <c r="L519" s="12" t="str">
        <f>IF(C519="","",IF(C519="Match",32,IF(C519="Tournament",MIN(32*INDEX('Tournament Log'!$D:$D,E519),96),32)))</f>
        <v/>
      </c>
      <c r="M519" s="12" t="str">
        <f t="shared" si="42"/>
        <v/>
      </c>
      <c r="N519" s="12" t="str">
        <f t="shared" si="43"/>
        <v/>
      </c>
      <c r="O519" s="12" t="str">
        <f t="shared" si="44"/>
        <v/>
      </c>
      <c r="P519" s="12" t="str">
        <f>IF(C519="Tournament",INDEX('Tournament Log'!$B:$B,E519),IF(C519="Guest","Guest: "&amp;INDEX('Guest Log'!$H:$H,Q519),""))</f>
        <v/>
      </c>
      <c r="Q519" t="str">
        <f>IFERROR(MATCH($A519,'Guest Log'!$L$4:$L$203,0)+3,"")</f>
        <v/>
      </c>
    </row>
    <row r="520" spans="1:17" ht="15" customHeight="1" x14ac:dyDescent="0.2">
      <c r="A520" s="37">
        <f>519</f>
        <v>519</v>
      </c>
      <c r="B520" s="37" t="str">
        <f>IF(C520="","",IF(C520="Match",INDEX('Match Log'!$A:$A,D520),IF(C520="Tournament",INDEX('Tournament Log'!$A:$A,E520),INDEX('Guest Log'!$A:$A,Q520))))</f>
        <v/>
      </c>
      <c r="C520" s="37" t="str">
        <f t="shared" si="40"/>
        <v/>
      </c>
      <c r="D520" s="38" t="str">
        <f>IFERROR(MATCH($A520,'Match Log'!$K$3:$K$501,0)+2,"")</f>
        <v/>
      </c>
      <c r="E520" s="38" t="str">
        <f>IFERROR(MATCH($A520,'Tournament Log'!$O$4:$O$203,0)+3,"")</f>
        <v/>
      </c>
      <c r="F520" s="37" t="str">
        <f>IF(C520="","",IF(C520="Match",INDEX('Match Log'!$B:$B,D520),IF(C520="Tournament",INDEX('Tournament Log'!$C:$C,E520),INDEX('Guest Log'!$B:$B,Q520))))</f>
        <v/>
      </c>
      <c r="G520" s="37" t="str">
        <f>IF(C520="","",IF(C520="Match",INDEX('Match Log'!$C:$C,D520),IF(C520="Tournament",INDEX('Tournament Log'!$B:$B,E520)&amp;" (Phantom)",INDEX('Guest Log'!$H:$H,Q520)&amp;" (Guest)")))</f>
        <v/>
      </c>
      <c r="H520" s="37" t="str">
        <f t="array" ref="H520">IF(C520="","",IFERROR(LOOKUP(2,1/(($F$1:F519=F520)+($G$1:G519=F520)),IF($F$1:F519=F520,$N$1:N519,$O$1:O519)),1000))</f>
        <v/>
      </c>
      <c r="I520" s="37" t="str">
        <f t="array" ref="I520">IF(C520="","",IF(C520="Tournament",INDEX('Tournament Log'!$J:$J,E520),IF(C520="Guest",IF(INDEX('Guest Log'!$I:$I,Q520)="",1000,INDEX('Guest Log'!$I:$I,Q520)),IFERROR(LOOKUP(2,1/(($F$1:F519=G520)+($G$1:G519=G520)),IF($F$1:F519=G520,$N$1:N519,$O$1:O519)),1000))))</f>
        <v/>
      </c>
      <c r="J520" s="37" t="str">
        <f t="shared" si="41"/>
        <v/>
      </c>
      <c r="K520" s="12" t="str">
        <f>IF(C520="","",IF(C520="Match",IF(INDEX('Match Log'!$D:$D,D520)="Win",1,IF(INDEX('Match Log'!$D:$D,D520)="Draw",0.5,0)),IF(C520="Tournament",INDEX('Tournament Log'!$K:$K,E520),IF(INDEX('Guest Log'!$C:$C,Q520)="Win",1,IF(INDEX('Guest Log'!$C:$C,Q520)="Draw",0.5,0)))))</f>
        <v/>
      </c>
      <c r="L520" s="12" t="str">
        <f>IF(C520="","",IF(C520="Match",32,IF(C520="Tournament",MIN(32*INDEX('Tournament Log'!$D:$D,E520),96),32)))</f>
        <v/>
      </c>
      <c r="M520" s="12" t="str">
        <f t="shared" si="42"/>
        <v/>
      </c>
      <c r="N520" s="12" t="str">
        <f t="shared" si="43"/>
        <v/>
      </c>
      <c r="O520" s="12" t="str">
        <f t="shared" si="44"/>
        <v/>
      </c>
      <c r="P520" s="12" t="str">
        <f>IF(C520="Tournament",INDEX('Tournament Log'!$B:$B,E520),IF(C520="Guest","Guest: "&amp;INDEX('Guest Log'!$H:$H,Q520),""))</f>
        <v/>
      </c>
      <c r="Q520" t="str">
        <f>IFERROR(MATCH($A520,'Guest Log'!$L$4:$L$203,0)+3,"")</f>
        <v/>
      </c>
    </row>
    <row r="521" spans="1:17" ht="15" customHeight="1" x14ac:dyDescent="0.2">
      <c r="A521" s="22">
        <f>520</f>
        <v>520</v>
      </c>
      <c r="B521" s="22" t="str">
        <f>IF(C521="","",IF(C521="Match",INDEX('Match Log'!$A:$A,D521),IF(C521="Tournament",INDEX('Tournament Log'!$A:$A,E521),INDEX('Guest Log'!$A:$A,Q521))))</f>
        <v/>
      </c>
      <c r="C521" s="22" t="str">
        <f t="shared" si="40"/>
        <v/>
      </c>
      <c r="D521" s="39" t="str">
        <f>IFERROR(MATCH($A521,'Match Log'!$K$3:$K$501,0)+2,"")</f>
        <v/>
      </c>
      <c r="E521" s="39" t="str">
        <f>IFERROR(MATCH($A521,'Tournament Log'!$O$4:$O$203,0)+3,"")</f>
        <v/>
      </c>
      <c r="F521" s="22" t="str">
        <f>IF(C521="","",IF(C521="Match",INDEX('Match Log'!$B:$B,D521),IF(C521="Tournament",INDEX('Tournament Log'!$C:$C,E521),INDEX('Guest Log'!$B:$B,Q521))))</f>
        <v/>
      </c>
      <c r="G521" s="22" t="str">
        <f>IF(C521="","",IF(C521="Match",INDEX('Match Log'!$C:$C,D521),IF(C521="Tournament",INDEX('Tournament Log'!$B:$B,E521)&amp;" (Phantom)",INDEX('Guest Log'!$H:$H,Q521)&amp;" (Guest)")))</f>
        <v/>
      </c>
      <c r="H521" s="22" t="str">
        <f t="array" ref="H521">IF(C521="","",IFERROR(LOOKUP(2,1/(($F$1:F520=F521)+($G$1:G520=F521)),IF($F$1:F520=F521,$N$1:N520,$O$1:O520)),1000))</f>
        <v/>
      </c>
      <c r="I521" s="22" t="str">
        <f t="array" ref="I521">IF(C521="","",IF(C521="Tournament",INDEX('Tournament Log'!$J:$J,E521),IF(C521="Guest",IF(INDEX('Guest Log'!$I:$I,Q521)="",1000,INDEX('Guest Log'!$I:$I,Q521)),IFERROR(LOOKUP(2,1/(($F$1:F520=G521)+($G$1:G520=G521)),IF($F$1:F520=G521,$N$1:N520,$O$1:O520)),1000))))</f>
        <v/>
      </c>
      <c r="J521" s="22" t="str">
        <f t="shared" si="41"/>
        <v/>
      </c>
      <c r="K521" s="12" t="str">
        <f>IF(C521="","",IF(C521="Match",IF(INDEX('Match Log'!$D:$D,D521)="Win",1,IF(INDEX('Match Log'!$D:$D,D521)="Draw",0.5,0)),IF(C521="Tournament",INDEX('Tournament Log'!$K:$K,E521),IF(INDEX('Guest Log'!$C:$C,Q521)="Win",1,IF(INDEX('Guest Log'!$C:$C,Q521)="Draw",0.5,0)))))</f>
        <v/>
      </c>
      <c r="L521" s="12" t="str">
        <f>IF(C521="","",IF(C521="Match",32,IF(C521="Tournament",MIN(32*INDEX('Tournament Log'!$D:$D,E521),96),32)))</f>
        <v/>
      </c>
      <c r="M521" s="12" t="str">
        <f t="shared" si="42"/>
        <v/>
      </c>
      <c r="N521" s="12" t="str">
        <f t="shared" si="43"/>
        <v/>
      </c>
      <c r="O521" s="12" t="str">
        <f t="shared" si="44"/>
        <v/>
      </c>
      <c r="P521" s="12" t="str">
        <f>IF(C521="Tournament",INDEX('Tournament Log'!$B:$B,E521),IF(C521="Guest","Guest: "&amp;INDEX('Guest Log'!$H:$H,Q521),""))</f>
        <v/>
      </c>
      <c r="Q521" t="str">
        <f>IFERROR(MATCH($A521,'Guest Log'!$L$4:$L$203,0)+3,"")</f>
        <v/>
      </c>
    </row>
    <row r="522" spans="1:17" ht="15" customHeight="1" x14ac:dyDescent="0.2">
      <c r="A522" s="37">
        <f>521</f>
        <v>521</v>
      </c>
      <c r="B522" s="37" t="str">
        <f>IF(C522="","",IF(C522="Match",INDEX('Match Log'!$A:$A,D522),IF(C522="Tournament",INDEX('Tournament Log'!$A:$A,E522),INDEX('Guest Log'!$A:$A,Q522))))</f>
        <v/>
      </c>
      <c r="C522" s="37" t="str">
        <f t="shared" si="40"/>
        <v/>
      </c>
      <c r="D522" s="38" t="str">
        <f>IFERROR(MATCH($A522,'Match Log'!$K$3:$K$501,0)+2,"")</f>
        <v/>
      </c>
      <c r="E522" s="38" t="str">
        <f>IFERROR(MATCH($A522,'Tournament Log'!$O$4:$O$203,0)+3,"")</f>
        <v/>
      </c>
      <c r="F522" s="37" t="str">
        <f>IF(C522="","",IF(C522="Match",INDEX('Match Log'!$B:$B,D522),IF(C522="Tournament",INDEX('Tournament Log'!$C:$C,E522),INDEX('Guest Log'!$B:$B,Q522))))</f>
        <v/>
      </c>
      <c r="G522" s="37" t="str">
        <f>IF(C522="","",IF(C522="Match",INDEX('Match Log'!$C:$C,D522),IF(C522="Tournament",INDEX('Tournament Log'!$B:$B,E522)&amp;" (Phantom)",INDEX('Guest Log'!$H:$H,Q522)&amp;" (Guest)")))</f>
        <v/>
      </c>
      <c r="H522" s="37" t="str">
        <f t="array" ref="H522">IF(C522="","",IFERROR(LOOKUP(2,1/(($F$1:F521=F522)+($G$1:G521=F522)),IF($F$1:F521=F522,$N$1:N521,$O$1:O521)),1000))</f>
        <v/>
      </c>
      <c r="I522" s="37" t="str">
        <f t="array" ref="I522">IF(C522="","",IF(C522="Tournament",INDEX('Tournament Log'!$J:$J,E522),IF(C522="Guest",IF(INDEX('Guest Log'!$I:$I,Q522)="",1000,INDEX('Guest Log'!$I:$I,Q522)),IFERROR(LOOKUP(2,1/(($F$1:F521=G522)+($G$1:G521=G522)),IF($F$1:F521=G522,$N$1:N521,$O$1:O521)),1000))))</f>
        <v/>
      </c>
      <c r="J522" s="37" t="str">
        <f t="shared" si="41"/>
        <v/>
      </c>
      <c r="K522" s="12" t="str">
        <f>IF(C522="","",IF(C522="Match",IF(INDEX('Match Log'!$D:$D,D522)="Win",1,IF(INDEX('Match Log'!$D:$D,D522)="Draw",0.5,0)),IF(C522="Tournament",INDEX('Tournament Log'!$K:$K,E522),IF(INDEX('Guest Log'!$C:$C,Q522)="Win",1,IF(INDEX('Guest Log'!$C:$C,Q522)="Draw",0.5,0)))))</f>
        <v/>
      </c>
      <c r="L522" s="12" t="str">
        <f>IF(C522="","",IF(C522="Match",32,IF(C522="Tournament",MIN(32*INDEX('Tournament Log'!$D:$D,E522),96),32)))</f>
        <v/>
      </c>
      <c r="M522" s="12" t="str">
        <f t="shared" si="42"/>
        <v/>
      </c>
      <c r="N522" s="12" t="str">
        <f t="shared" si="43"/>
        <v/>
      </c>
      <c r="O522" s="12" t="str">
        <f t="shared" si="44"/>
        <v/>
      </c>
      <c r="P522" s="12" t="str">
        <f>IF(C522="Tournament",INDEX('Tournament Log'!$B:$B,E522),IF(C522="Guest","Guest: "&amp;INDEX('Guest Log'!$H:$H,Q522),""))</f>
        <v/>
      </c>
      <c r="Q522" t="str">
        <f>IFERROR(MATCH($A522,'Guest Log'!$L$4:$L$203,0)+3,"")</f>
        <v/>
      </c>
    </row>
    <row r="523" spans="1:17" ht="15" customHeight="1" x14ac:dyDescent="0.2">
      <c r="A523" s="22">
        <f>522</f>
        <v>522</v>
      </c>
      <c r="B523" s="22" t="str">
        <f>IF(C523="","",IF(C523="Match",INDEX('Match Log'!$A:$A,D523),IF(C523="Tournament",INDEX('Tournament Log'!$A:$A,E523),INDEX('Guest Log'!$A:$A,Q523))))</f>
        <v/>
      </c>
      <c r="C523" s="22" t="str">
        <f t="shared" si="40"/>
        <v/>
      </c>
      <c r="D523" s="39" t="str">
        <f>IFERROR(MATCH($A523,'Match Log'!$K$3:$K$501,0)+2,"")</f>
        <v/>
      </c>
      <c r="E523" s="39" t="str">
        <f>IFERROR(MATCH($A523,'Tournament Log'!$O$4:$O$203,0)+3,"")</f>
        <v/>
      </c>
      <c r="F523" s="22" t="str">
        <f>IF(C523="","",IF(C523="Match",INDEX('Match Log'!$B:$B,D523),IF(C523="Tournament",INDEX('Tournament Log'!$C:$C,E523),INDEX('Guest Log'!$B:$B,Q523))))</f>
        <v/>
      </c>
      <c r="G523" s="22" t="str">
        <f>IF(C523="","",IF(C523="Match",INDEX('Match Log'!$C:$C,D523),IF(C523="Tournament",INDEX('Tournament Log'!$B:$B,E523)&amp;" (Phantom)",INDEX('Guest Log'!$H:$H,Q523)&amp;" (Guest)")))</f>
        <v/>
      </c>
      <c r="H523" s="22" t="str">
        <f t="array" ref="H523">IF(C523="","",IFERROR(LOOKUP(2,1/(($F$1:F522=F523)+($G$1:G522=F523)),IF($F$1:F522=F523,$N$1:N522,$O$1:O522)),1000))</f>
        <v/>
      </c>
      <c r="I523" s="22" t="str">
        <f t="array" ref="I523">IF(C523="","",IF(C523="Tournament",INDEX('Tournament Log'!$J:$J,E523),IF(C523="Guest",IF(INDEX('Guest Log'!$I:$I,Q523)="",1000,INDEX('Guest Log'!$I:$I,Q523)),IFERROR(LOOKUP(2,1/(($F$1:F522=G523)+($G$1:G522=G523)),IF($F$1:F522=G523,$N$1:N522,$O$1:O522)),1000))))</f>
        <v/>
      </c>
      <c r="J523" s="22" t="str">
        <f t="shared" si="41"/>
        <v/>
      </c>
      <c r="K523" s="12" t="str">
        <f>IF(C523="","",IF(C523="Match",IF(INDEX('Match Log'!$D:$D,D523)="Win",1,IF(INDEX('Match Log'!$D:$D,D523)="Draw",0.5,0)),IF(C523="Tournament",INDEX('Tournament Log'!$K:$K,E523),IF(INDEX('Guest Log'!$C:$C,Q523)="Win",1,IF(INDEX('Guest Log'!$C:$C,Q523)="Draw",0.5,0)))))</f>
        <v/>
      </c>
      <c r="L523" s="12" t="str">
        <f>IF(C523="","",IF(C523="Match",32,IF(C523="Tournament",MIN(32*INDEX('Tournament Log'!$D:$D,E523),96),32)))</f>
        <v/>
      </c>
      <c r="M523" s="12" t="str">
        <f t="shared" si="42"/>
        <v/>
      </c>
      <c r="N523" s="12" t="str">
        <f t="shared" si="43"/>
        <v/>
      </c>
      <c r="O523" s="12" t="str">
        <f t="shared" si="44"/>
        <v/>
      </c>
      <c r="P523" s="12" t="str">
        <f>IF(C523="Tournament",INDEX('Tournament Log'!$B:$B,E523),IF(C523="Guest","Guest: "&amp;INDEX('Guest Log'!$H:$H,Q523),""))</f>
        <v/>
      </c>
      <c r="Q523" t="str">
        <f>IFERROR(MATCH($A523,'Guest Log'!$L$4:$L$203,0)+3,"")</f>
        <v/>
      </c>
    </row>
    <row r="524" spans="1:17" ht="15" customHeight="1" x14ac:dyDescent="0.2">
      <c r="A524" s="37">
        <f>523</f>
        <v>523</v>
      </c>
      <c r="B524" s="37" t="str">
        <f>IF(C524="","",IF(C524="Match",INDEX('Match Log'!$A:$A,D524),IF(C524="Tournament",INDEX('Tournament Log'!$A:$A,E524),INDEX('Guest Log'!$A:$A,Q524))))</f>
        <v/>
      </c>
      <c r="C524" s="37" t="str">
        <f t="shared" si="40"/>
        <v/>
      </c>
      <c r="D524" s="38" t="str">
        <f>IFERROR(MATCH($A524,'Match Log'!$K$3:$K$501,0)+2,"")</f>
        <v/>
      </c>
      <c r="E524" s="38" t="str">
        <f>IFERROR(MATCH($A524,'Tournament Log'!$O$4:$O$203,0)+3,"")</f>
        <v/>
      </c>
      <c r="F524" s="37" t="str">
        <f>IF(C524="","",IF(C524="Match",INDEX('Match Log'!$B:$B,D524),IF(C524="Tournament",INDEX('Tournament Log'!$C:$C,E524),INDEX('Guest Log'!$B:$B,Q524))))</f>
        <v/>
      </c>
      <c r="G524" s="37" t="str">
        <f>IF(C524="","",IF(C524="Match",INDEX('Match Log'!$C:$C,D524),IF(C524="Tournament",INDEX('Tournament Log'!$B:$B,E524)&amp;" (Phantom)",INDEX('Guest Log'!$H:$H,Q524)&amp;" (Guest)")))</f>
        <v/>
      </c>
      <c r="H524" s="37" t="str">
        <f t="array" ref="H524">IF(C524="","",IFERROR(LOOKUP(2,1/(($F$1:F523=F524)+($G$1:G523=F524)),IF($F$1:F523=F524,$N$1:N523,$O$1:O523)),1000))</f>
        <v/>
      </c>
      <c r="I524" s="37" t="str">
        <f t="array" ref="I524">IF(C524="","",IF(C524="Tournament",INDEX('Tournament Log'!$J:$J,E524),IF(C524="Guest",IF(INDEX('Guest Log'!$I:$I,Q524)="",1000,INDEX('Guest Log'!$I:$I,Q524)),IFERROR(LOOKUP(2,1/(($F$1:F523=G524)+($G$1:G523=G524)),IF($F$1:F523=G524,$N$1:N523,$O$1:O523)),1000))))</f>
        <v/>
      </c>
      <c r="J524" s="37" t="str">
        <f t="shared" si="41"/>
        <v/>
      </c>
      <c r="K524" s="12" t="str">
        <f>IF(C524="","",IF(C524="Match",IF(INDEX('Match Log'!$D:$D,D524)="Win",1,IF(INDEX('Match Log'!$D:$D,D524)="Draw",0.5,0)),IF(C524="Tournament",INDEX('Tournament Log'!$K:$K,E524),IF(INDEX('Guest Log'!$C:$C,Q524)="Win",1,IF(INDEX('Guest Log'!$C:$C,Q524)="Draw",0.5,0)))))</f>
        <v/>
      </c>
      <c r="L524" s="12" t="str">
        <f>IF(C524="","",IF(C524="Match",32,IF(C524="Tournament",MIN(32*INDEX('Tournament Log'!$D:$D,E524),96),32)))</f>
        <v/>
      </c>
      <c r="M524" s="12" t="str">
        <f t="shared" si="42"/>
        <v/>
      </c>
      <c r="N524" s="12" t="str">
        <f t="shared" si="43"/>
        <v/>
      </c>
      <c r="O524" s="12" t="str">
        <f t="shared" si="44"/>
        <v/>
      </c>
      <c r="P524" s="12" t="str">
        <f>IF(C524="Tournament",INDEX('Tournament Log'!$B:$B,E524),IF(C524="Guest","Guest: "&amp;INDEX('Guest Log'!$H:$H,Q524),""))</f>
        <v/>
      </c>
      <c r="Q524" t="str">
        <f>IFERROR(MATCH($A524,'Guest Log'!$L$4:$L$203,0)+3,"")</f>
        <v/>
      </c>
    </row>
    <row r="525" spans="1:17" ht="15" customHeight="1" x14ac:dyDescent="0.2">
      <c r="A525" s="22">
        <f>524</f>
        <v>524</v>
      </c>
      <c r="B525" s="22" t="str">
        <f>IF(C525="","",IF(C525="Match",INDEX('Match Log'!$A:$A,D525),IF(C525="Tournament",INDEX('Tournament Log'!$A:$A,E525),INDEX('Guest Log'!$A:$A,Q525))))</f>
        <v/>
      </c>
      <c r="C525" s="22" t="str">
        <f t="shared" si="40"/>
        <v/>
      </c>
      <c r="D525" s="39" t="str">
        <f>IFERROR(MATCH($A525,'Match Log'!$K$3:$K$501,0)+2,"")</f>
        <v/>
      </c>
      <c r="E525" s="39" t="str">
        <f>IFERROR(MATCH($A525,'Tournament Log'!$O$4:$O$203,0)+3,"")</f>
        <v/>
      </c>
      <c r="F525" s="22" t="str">
        <f>IF(C525="","",IF(C525="Match",INDEX('Match Log'!$B:$B,D525),IF(C525="Tournament",INDEX('Tournament Log'!$C:$C,E525),INDEX('Guest Log'!$B:$B,Q525))))</f>
        <v/>
      </c>
      <c r="G525" s="22" t="str">
        <f>IF(C525="","",IF(C525="Match",INDEX('Match Log'!$C:$C,D525),IF(C525="Tournament",INDEX('Tournament Log'!$B:$B,E525)&amp;" (Phantom)",INDEX('Guest Log'!$H:$H,Q525)&amp;" (Guest)")))</f>
        <v/>
      </c>
      <c r="H525" s="22" t="str">
        <f t="array" ref="H525">IF(C525="","",IFERROR(LOOKUP(2,1/(($F$1:F524=F525)+($G$1:G524=F525)),IF($F$1:F524=F525,$N$1:N524,$O$1:O524)),1000))</f>
        <v/>
      </c>
      <c r="I525" s="22" t="str">
        <f t="array" ref="I525">IF(C525="","",IF(C525="Tournament",INDEX('Tournament Log'!$J:$J,E525),IF(C525="Guest",IF(INDEX('Guest Log'!$I:$I,Q525)="",1000,INDEX('Guest Log'!$I:$I,Q525)),IFERROR(LOOKUP(2,1/(($F$1:F524=G525)+($G$1:G524=G525)),IF($F$1:F524=G525,$N$1:N524,$O$1:O524)),1000))))</f>
        <v/>
      </c>
      <c r="J525" s="22" t="str">
        <f t="shared" si="41"/>
        <v/>
      </c>
      <c r="K525" s="12" t="str">
        <f>IF(C525="","",IF(C525="Match",IF(INDEX('Match Log'!$D:$D,D525)="Win",1,IF(INDEX('Match Log'!$D:$D,D525)="Draw",0.5,0)),IF(C525="Tournament",INDEX('Tournament Log'!$K:$K,E525),IF(INDEX('Guest Log'!$C:$C,Q525)="Win",1,IF(INDEX('Guest Log'!$C:$C,Q525)="Draw",0.5,0)))))</f>
        <v/>
      </c>
      <c r="L525" s="12" t="str">
        <f>IF(C525="","",IF(C525="Match",32,IF(C525="Tournament",MIN(32*INDEX('Tournament Log'!$D:$D,E525),96),32)))</f>
        <v/>
      </c>
      <c r="M525" s="12" t="str">
        <f t="shared" si="42"/>
        <v/>
      </c>
      <c r="N525" s="12" t="str">
        <f t="shared" si="43"/>
        <v/>
      </c>
      <c r="O525" s="12" t="str">
        <f t="shared" si="44"/>
        <v/>
      </c>
      <c r="P525" s="12" t="str">
        <f>IF(C525="Tournament",INDEX('Tournament Log'!$B:$B,E525),IF(C525="Guest","Guest: "&amp;INDEX('Guest Log'!$H:$H,Q525),""))</f>
        <v/>
      </c>
      <c r="Q525" t="str">
        <f>IFERROR(MATCH($A525,'Guest Log'!$L$4:$L$203,0)+3,"")</f>
        <v/>
      </c>
    </row>
    <row r="526" spans="1:17" ht="15" customHeight="1" x14ac:dyDescent="0.2">
      <c r="A526" s="37">
        <f>525</f>
        <v>525</v>
      </c>
      <c r="B526" s="37" t="str">
        <f>IF(C526="","",IF(C526="Match",INDEX('Match Log'!$A:$A,D526),IF(C526="Tournament",INDEX('Tournament Log'!$A:$A,E526),INDEX('Guest Log'!$A:$A,Q526))))</f>
        <v/>
      </c>
      <c r="C526" s="37" t="str">
        <f t="shared" si="40"/>
        <v/>
      </c>
      <c r="D526" s="38" t="str">
        <f>IFERROR(MATCH($A526,'Match Log'!$K$3:$K$501,0)+2,"")</f>
        <v/>
      </c>
      <c r="E526" s="38" t="str">
        <f>IFERROR(MATCH($A526,'Tournament Log'!$O$4:$O$203,0)+3,"")</f>
        <v/>
      </c>
      <c r="F526" s="37" t="str">
        <f>IF(C526="","",IF(C526="Match",INDEX('Match Log'!$B:$B,D526),IF(C526="Tournament",INDEX('Tournament Log'!$C:$C,E526),INDEX('Guest Log'!$B:$B,Q526))))</f>
        <v/>
      </c>
      <c r="G526" s="37" t="str">
        <f>IF(C526="","",IF(C526="Match",INDEX('Match Log'!$C:$C,D526),IF(C526="Tournament",INDEX('Tournament Log'!$B:$B,E526)&amp;" (Phantom)",INDEX('Guest Log'!$H:$H,Q526)&amp;" (Guest)")))</f>
        <v/>
      </c>
      <c r="H526" s="37" t="str">
        <f t="array" ref="H526">IF(C526="","",IFERROR(LOOKUP(2,1/(($F$1:F525=F526)+($G$1:G525=F526)),IF($F$1:F525=F526,$N$1:N525,$O$1:O525)),1000))</f>
        <v/>
      </c>
      <c r="I526" s="37" t="str">
        <f t="array" ref="I526">IF(C526="","",IF(C526="Tournament",INDEX('Tournament Log'!$J:$J,E526),IF(C526="Guest",IF(INDEX('Guest Log'!$I:$I,Q526)="",1000,INDEX('Guest Log'!$I:$I,Q526)),IFERROR(LOOKUP(2,1/(($F$1:F525=G526)+($G$1:G525=G526)),IF($F$1:F525=G526,$N$1:N525,$O$1:O525)),1000))))</f>
        <v/>
      </c>
      <c r="J526" s="37" t="str">
        <f t="shared" si="41"/>
        <v/>
      </c>
      <c r="K526" s="12" t="str">
        <f>IF(C526="","",IF(C526="Match",IF(INDEX('Match Log'!$D:$D,D526)="Win",1,IF(INDEX('Match Log'!$D:$D,D526)="Draw",0.5,0)),IF(C526="Tournament",INDEX('Tournament Log'!$K:$K,E526),IF(INDEX('Guest Log'!$C:$C,Q526)="Win",1,IF(INDEX('Guest Log'!$C:$C,Q526)="Draw",0.5,0)))))</f>
        <v/>
      </c>
      <c r="L526" s="12" t="str">
        <f>IF(C526="","",IF(C526="Match",32,IF(C526="Tournament",MIN(32*INDEX('Tournament Log'!$D:$D,E526),96),32)))</f>
        <v/>
      </c>
      <c r="M526" s="12" t="str">
        <f t="shared" si="42"/>
        <v/>
      </c>
      <c r="N526" s="12" t="str">
        <f t="shared" si="43"/>
        <v/>
      </c>
      <c r="O526" s="12" t="str">
        <f t="shared" si="44"/>
        <v/>
      </c>
      <c r="P526" s="12" t="str">
        <f>IF(C526="Tournament",INDEX('Tournament Log'!$B:$B,E526),IF(C526="Guest","Guest: "&amp;INDEX('Guest Log'!$H:$H,Q526),""))</f>
        <v/>
      </c>
      <c r="Q526" t="str">
        <f>IFERROR(MATCH($A526,'Guest Log'!$L$4:$L$203,0)+3,"")</f>
        <v/>
      </c>
    </row>
    <row r="527" spans="1:17" ht="15" customHeight="1" x14ac:dyDescent="0.2">
      <c r="A527" s="22">
        <f>526</f>
        <v>526</v>
      </c>
      <c r="B527" s="22" t="str">
        <f>IF(C527="","",IF(C527="Match",INDEX('Match Log'!$A:$A,D527),IF(C527="Tournament",INDEX('Tournament Log'!$A:$A,E527),INDEX('Guest Log'!$A:$A,Q527))))</f>
        <v/>
      </c>
      <c r="C527" s="22" t="str">
        <f t="shared" si="40"/>
        <v/>
      </c>
      <c r="D527" s="39" t="str">
        <f>IFERROR(MATCH($A527,'Match Log'!$K$3:$K$501,0)+2,"")</f>
        <v/>
      </c>
      <c r="E527" s="39" t="str">
        <f>IFERROR(MATCH($A527,'Tournament Log'!$O$4:$O$203,0)+3,"")</f>
        <v/>
      </c>
      <c r="F527" s="22" t="str">
        <f>IF(C527="","",IF(C527="Match",INDEX('Match Log'!$B:$B,D527),IF(C527="Tournament",INDEX('Tournament Log'!$C:$C,E527),INDEX('Guest Log'!$B:$B,Q527))))</f>
        <v/>
      </c>
      <c r="G527" s="22" t="str">
        <f>IF(C527="","",IF(C527="Match",INDEX('Match Log'!$C:$C,D527),IF(C527="Tournament",INDEX('Tournament Log'!$B:$B,E527)&amp;" (Phantom)",INDEX('Guest Log'!$H:$H,Q527)&amp;" (Guest)")))</f>
        <v/>
      </c>
      <c r="H527" s="22" t="str">
        <f t="array" ref="H527">IF(C527="","",IFERROR(LOOKUP(2,1/(($F$1:F526=F527)+($G$1:G526=F527)),IF($F$1:F526=F527,$N$1:N526,$O$1:O526)),1000))</f>
        <v/>
      </c>
      <c r="I527" s="22" t="str">
        <f t="array" ref="I527">IF(C527="","",IF(C527="Tournament",INDEX('Tournament Log'!$J:$J,E527),IF(C527="Guest",IF(INDEX('Guest Log'!$I:$I,Q527)="",1000,INDEX('Guest Log'!$I:$I,Q527)),IFERROR(LOOKUP(2,1/(($F$1:F526=G527)+($G$1:G526=G527)),IF($F$1:F526=G527,$N$1:N526,$O$1:O526)),1000))))</f>
        <v/>
      </c>
      <c r="J527" s="22" t="str">
        <f t="shared" si="41"/>
        <v/>
      </c>
      <c r="K527" s="12" t="str">
        <f>IF(C527="","",IF(C527="Match",IF(INDEX('Match Log'!$D:$D,D527)="Win",1,IF(INDEX('Match Log'!$D:$D,D527)="Draw",0.5,0)),IF(C527="Tournament",INDEX('Tournament Log'!$K:$K,E527),IF(INDEX('Guest Log'!$C:$C,Q527)="Win",1,IF(INDEX('Guest Log'!$C:$C,Q527)="Draw",0.5,0)))))</f>
        <v/>
      </c>
      <c r="L527" s="12" t="str">
        <f>IF(C527="","",IF(C527="Match",32,IF(C527="Tournament",MIN(32*INDEX('Tournament Log'!$D:$D,E527),96),32)))</f>
        <v/>
      </c>
      <c r="M527" s="12" t="str">
        <f t="shared" si="42"/>
        <v/>
      </c>
      <c r="N527" s="12" t="str">
        <f t="shared" si="43"/>
        <v/>
      </c>
      <c r="O527" s="12" t="str">
        <f t="shared" si="44"/>
        <v/>
      </c>
      <c r="P527" s="12" t="str">
        <f>IF(C527="Tournament",INDEX('Tournament Log'!$B:$B,E527),IF(C527="Guest","Guest: "&amp;INDEX('Guest Log'!$H:$H,Q527),""))</f>
        <v/>
      </c>
      <c r="Q527" t="str">
        <f>IFERROR(MATCH($A527,'Guest Log'!$L$4:$L$203,0)+3,"")</f>
        <v/>
      </c>
    </row>
    <row r="528" spans="1:17" ht="15" customHeight="1" x14ac:dyDescent="0.2">
      <c r="A528" s="37">
        <f>527</f>
        <v>527</v>
      </c>
      <c r="B528" s="37" t="str">
        <f>IF(C528="","",IF(C528="Match",INDEX('Match Log'!$A:$A,D528),IF(C528="Tournament",INDEX('Tournament Log'!$A:$A,E528),INDEX('Guest Log'!$A:$A,Q528))))</f>
        <v/>
      </c>
      <c r="C528" s="37" t="str">
        <f t="shared" si="40"/>
        <v/>
      </c>
      <c r="D528" s="38" t="str">
        <f>IFERROR(MATCH($A528,'Match Log'!$K$3:$K$501,0)+2,"")</f>
        <v/>
      </c>
      <c r="E528" s="38" t="str">
        <f>IFERROR(MATCH($A528,'Tournament Log'!$O$4:$O$203,0)+3,"")</f>
        <v/>
      </c>
      <c r="F528" s="37" t="str">
        <f>IF(C528="","",IF(C528="Match",INDEX('Match Log'!$B:$B,D528),IF(C528="Tournament",INDEX('Tournament Log'!$C:$C,E528),INDEX('Guest Log'!$B:$B,Q528))))</f>
        <v/>
      </c>
      <c r="G528" s="37" t="str">
        <f>IF(C528="","",IF(C528="Match",INDEX('Match Log'!$C:$C,D528),IF(C528="Tournament",INDEX('Tournament Log'!$B:$B,E528)&amp;" (Phantom)",INDEX('Guest Log'!$H:$H,Q528)&amp;" (Guest)")))</f>
        <v/>
      </c>
      <c r="H528" s="37" t="str">
        <f t="array" ref="H528">IF(C528="","",IFERROR(LOOKUP(2,1/(($F$1:F527=F528)+($G$1:G527=F528)),IF($F$1:F527=F528,$N$1:N527,$O$1:O527)),1000))</f>
        <v/>
      </c>
      <c r="I528" s="37" t="str">
        <f t="array" ref="I528">IF(C528="","",IF(C528="Tournament",INDEX('Tournament Log'!$J:$J,E528),IF(C528="Guest",IF(INDEX('Guest Log'!$I:$I,Q528)="",1000,INDEX('Guest Log'!$I:$I,Q528)),IFERROR(LOOKUP(2,1/(($F$1:F527=G528)+($G$1:G527=G528)),IF($F$1:F527=G528,$N$1:N527,$O$1:O527)),1000))))</f>
        <v/>
      </c>
      <c r="J528" s="37" t="str">
        <f t="shared" si="41"/>
        <v/>
      </c>
      <c r="K528" s="12" t="str">
        <f>IF(C528="","",IF(C528="Match",IF(INDEX('Match Log'!$D:$D,D528)="Win",1,IF(INDEX('Match Log'!$D:$D,D528)="Draw",0.5,0)),IF(C528="Tournament",INDEX('Tournament Log'!$K:$K,E528),IF(INDEX('Guest Log'!$C:$C,Q528)="Win",1,IF(INDEX('Guest Log'!$C:$C,Q528)="Draw",0.5,0)))))</f>
        <v/>
      </c>
      <c r="L528" s="12" t="str">
        <f>IF(C528="","",IF(C528="Match",32,IF(C528="Tournament",MIN(32*INDEX('Tournament Log'!$D:$D,E528),96),32)))</f>
        <v/>
      </c>
      <c r="M528" s="12" t="str">
        <f t="shared" si="42"/>
        <v/>
      </c>
      <c r="N528" s="12" t="str">
        <f t="shared" si="43"/>
        <v/>
      </c>
      <c r="O528" s="12" t="str">
        <f t="shared" si="44"/>
        <v/>
      </c>
      <c r="P528" s="12" t="str">
        <f>IF(C528="Tournament",INDEX('Tournament Log'!$B:$B,E528),IF(C528="Guest","Guest: "&amp;INDEX('Guest Log'!$H:$H,Q528),""))</f>
        <v/>
      </c>
      <c r="Q528" t="str">
        <f>IFERROR(MATCH($A528,'Guest Log'!$L$4:$L$203,0)+3,"")</f>
        <v/>
      </c>
    </row>
    <row r="529" spans="1:17" ht="15" customHeight="1" x14ac:dyDescent="0.2">
      <c r="A529" s="22">
        <f>528</f>
        <v>528</v>
      </c>
      <c r="B529" s="22" t="str">
        <f>IF(C529="","",IF(C529="Match",INDEX('Match Log'!$A:$A,D529),IF(C529="Tournament",INDEX('Tournament Log'!$A:$A,E529),INDEX('Guest Log'!$A:$A,Q529))))</f>
        <v/>
      </c>
      <c r="C529" s="22" t="str">
        <f t="shared" si="40"/>
        <v/>
      </c>
      <c r="D529" s="39" t="str">
        <f>IFERROR(MATCH($A529,'Match Log'!$K$3:$K$501,0)+2,"")</f>
        <v/>
      </c>
      <c r="E529" s="39" t="str">
        <f>IFERROR(MATCH($A529,'Tournament Log'!$O$4:$O$203,0)+3,"")</f>
        <v/>
      </c>
      <c r="F529" s="22" t="str">
        <f>IF(C529="","",IF(C529="Match",INDEX('Match Log'!$B:$B,D529),IF(C529="Tournament",INDEX('Tournament Log'!$C:$C,E529),INDEX('Guest Log'!$B:$B,Q529))))</f>
        <v/>
      </c>
      <c r="G529" s="22" t="str">
        <f>IF(C529="","",IF(C529="Match",INDEX('Match Log'!$C:$C,D529),IF(C529="Tournament",INDEX('Tournament Log'!$B:$B,E529)&amp;" (Phantom)",INDEX('Guest Log'!$H:$H,Q529)&amp;" (Guest)")))</f>
        <v/>
      </c>
      <c r="H529" s="22" t="str">
        <f t="array" ref="H529">IF(C529="","",IFERROR(LOOKUP(2,1/(($F$1:F528=F529)+($G$1:G528=F529)),IF($F$1:F528=F529,$N$1:N528,$O$1:O528)),1000))</f>
        <v/>
      </c>
      <c r="I529" s="22" t="str">
        <f t="array" ref="I529">IF(C529="","",IF(C529="Tournament",INDEX('Tournament Log'!$J:$J,E529),IF(C529="Guest",IF(INDEX('Guest Log'!$I:$I,Q529)="",1000,INDEX('Guest Log'!$I:$I,Q529)),IFERROR(LOOKUP(2,1/(($F$1:F528=G529)+($G$1:G528=G529)),IF($F$1:F528=G529,$N$1:N528,$O$1:O528)),1000))))</f>
        <v/>
      </c>
      <c r="J529" s="22" t="str">
        <f t="shared" si="41"/>
        <v/>
      </c>
      <c r="K529" s="12" t="str">
        <f>IF(C529="","",IF(C529="Match",IF(INDEX('Match Log'!$D:$D,D529)="Win",1,IF(INDEX('Match Log'!$D:$D,D529)="Draw",0.5,0)),IF(C529="Tournament",INDEX('Tournament Log'!$K:$K,E529),IF(INDEX('Guest Log'!$C:$C,Q529)="Win",1,IF(INDEX('Guest Log'!$C:$C,Q529)="Draw",0.5,0)))))</f>
        <v/>
      </c>
      <c r="L529" s="12" t="str">
        <f>IF(C529="","",IF(C529="Match",32,IF(C529="Tournament",MIN(32*INDEX('Tournament Log'!$D:$D,E529),96),32)))</f>
        <v/>
      </c>
      <c r="M529" s="12" t="str">
        <f t="shared" si="42"/>
        <v/>
      </c>
      <c r="N529" s="12" t="str">
        <f t="shared" si="43"/>
        <v/>
      </c>
      <c r="O529" s="12" t="str">
        <f t="shared" si="44"/>
        <v/>
      </c>
      <c r="P529" s="12" t="str">
        <f>IF(C529="Tournament",INDEX('Tournament Log'!$B:$B,E529),IF(C529="Guest","Guest: "&amp;INDEX('Guest Log'!$H:$H,Q529),""))</f>
        <v/>
      </c>
      <c r="Q529" t="str">
        <f>IFERROR(MATCH($A529,'Guest Log'!$L$4:$L$203,0)+3,"")</f>
        <v/>
      </c>
    </row>
    <row r="530" spans="1:17" ht="15" customHeight="1" x14ac:dyDescent="0.2">
      <c r="A530" s="37">
        <f>529</f>
        <v>529</v>
      </c>
      <c r="B530" s="37" t="str">
        <f>IF(C530="","",IF(C530="Match",INDEX('Match Log'!$A:$A,D530),IF(C530="Tournament",INDEX('Tournament Log'!$A:$A,E530),INDEX('Guest Log'!$A:$A,Q530))))</f>
        <v/>
      </c>
      <c r="C530" s="37" t="str">
        <f t="shared" si="40"/>
        <v/>
      </c>
      <c r="D530" s="38" t="str">
        <f>IFERROR(MATCH($A530,'Match Log'!$K$3:$K$501,0)+2,"")</f>
        <v/>
      </c>
      <c r="E530" s="38" t="str">
        <f>IFERROR(MATCH($A530,'Tournament Log'!$O$4:$O$203,0)+3,"")</f>
        <v/>
      </c>
      <c r="F530" s="37" t="str">
        <f>IF(C530="","",IF(C530="Match",INDEX('Match Log'!$B:$B,D530),IF(C530="Tournament",INDEX('Tournament Log'!$C:$C,E530),INDEX('Guest Log'!$B:$B,Q530))))</f>
        <v/>
      </c>
      <c r="G530" s="37" t="str">
        <f>IF(C530="","",IF(C530="Match",INDEX('Match Log'!$C:$C,D530),IF(C530="Tournament",INDEX('Tournament Log'!$B:$B,E530)&amp;" (Phantom)",INDEX('Guest Log'!$H:$H,Q530)&amp;" (Guest)")))</f>
        <v/>
      </c>
      <c r="H530" s="37" t="str">
        <f t="array" ref="H530">IF(C530="","",IFERROR(LOOKUP(2,1/(($F$1:F529=F530)+($G$1:G529=F530)),IF($F$1:F529=F530,$N$1:N529,$O$1:O529)),1000))</f>
        <v/>
      </c>
      <c r="I530" s="37" t="str">
        <f t="array" ref="I530">IF(C530="","",IF(C530="Tournament",INDEX('Tournament Log'!$J:$J,E530),IF(C530="Guest",IF(INDEX('Guest Log'!$I:$I,Q530)="",1000,INDEX('Guest Log'!$I:$I,Q530)),IFERROR(LOOKUP(2,1/(($F$1:F529=G530)+($G$1:G529=G530)),IF($F$1:F529=G530,$N$1:N529,$O$1:O529)),1000))))</f>
        <v/>
      </c>
      <c r="J530" s="37" t="str">
        <f t="shared" si="41"/>
        <v/>
      </c>
      <c r="K530" s="12" t="str">
        <f>IF(C530="","",IF(C530="Match",IF(INDEX('Match Log'!$D:$D,D530)="Win",1,IF(INDEX('Match Log'!$D:$D,D530)="Draw",0.5,0)),IF(C530="Tournament",INDEX('Tournament Log'!$K:$K,E530),IF(INDEX('Guest Log'!$C:$C,Q530)="Win",1,IF(INDEX('Guest Log'!$C:$C,Q530)="Draw",0.5,0)))))</f>
        <v/>
      </c>
      <c r="L530" s="12" t="str">
        <f>IF(C530="","",IF(C530="Match",32,IF(C530="Tournament",MIN(32*INDEX('Tournament Log'!$D:$D,E530),96),32)))</f>
        <v/>
      </c>
      <c r="M530" s="12" t="str">
        <f t="shared" si="42"/>
        <v/>
      </c>
      <c r="N530" s="12" t="str">
        <f t="shared" si="43"/>
        <v/>
      </c>
      <c r="O530" s="12" t="str">
        <f t="shared" si="44"/>
        <v/>
      </c>
      <c r="P530" s="12" t="str">
        <f>IF(C530="Tournament",INDEX('Tournament Log'!$B:$B,E530),IF(C530="Guest","Guest: "&amp;INDEX('Guest Log'!$H:$H,Q530),""))</f>
        <v/>
      </c>
      <c r="Q530" t="str">
        <f>IFERROR(MATCH($A530,'Guest Log'!$L$4:$L$203,0)+3,"")</f>
        <v/>
      </c>
    </row>
    <row r="531" spans="1:17" ht="15" customHeight="1" x14ac:dyDescent="0.2">
      <c r="A531" s="22">
        <f>530</f>
        <v>530</v>
      </c>
      <c r="B531" s="22" t="str">
        <f>IF(C531="","",IF(C531="Match",INDEX('Match Log'!$A:$A,D531),IF(C531="Tournament",INDEX('Tournament Log'!$A:$A,E531),INDEX('Guest Log'!$A:$A,Q531))))</f>
        <v/>
      </c>
      <c r="C531" s="22" t="str">
        <f t="shared" si="40"/>
        <v/>
      </c>
      <c r="D531" s="39" t="str">
        <f>IFERROR(MATCH($A531,'Match Log'!$K$3:$K$501,0)+2,"")</f>
        <v/>
      </c>
      <c r="E531" s="39" t="str">
        <f>IFERROR(MATCH($A531,'Tournament Log'!$O$4:$O$203,0)+3,"")</f>
        <v/>
      </c>
      <c r="F531" s="22" t="str">
        <f>IF(C531="","",IF(C531="Match",INDEX('Match Log'!$B:$B,D531),IF(C531="Tournament",INDEX('Tournament Log'!$C:$C,E531),INDEX('Guest Log'!$B:$B,Q531))))</f>
        <v/>
      </c>
      <c r="G531" s="22" t="str">
        <f>IF(C531="","",IF(C531="Match",INDEX('Match Log'!$C:$C,D531),IF(C531="Tournament",INDEX('Tournament Log'!$B:$B,E531)&amp;" (Phantom)",INDEX('Guest Log'!$H:$H,Q531)&amp;" (Guest)")))</f>
        <v/>
      </c>
      <c r="H531" s="22" t="str">
        <f t="array" ref="H531">IF(C531="","",IFERROR(LOOKUP(2,1/(($F$1:F530=F531)+($G$1:G530=F531)),IF($F$1:F530=F531,$N$1:N530,$O$1:O530)),1000))</f>
        <v/>
      </c>
      <c r="I531" s="22" t="str">
        <f t="array" ref="I531">IF(C531="","",IF(C531="Tournament",INDEX('Tournament Log'!$J:$J,E531),IF(C531="Guest",IF(INDEX('Guest Log'!$I:$I,Q531)="",1000,INDEX('Guest Log'!$I:$I,Q531)),IFERROR(LOOKUP(2,1/(($F$1:F530=G531)+($G$1:G530=G531)),IF($F$1:F530=G531,$N$1:N530,$O$1:O530)),1000))))</f>
        <v/>
      </c>
      <c r="J531" s="22" t="str">
        <f t="shared" si="41"/>
        <v/>
      </c>
      <c r="K531" s="12" t="str">
        <f>IF(C531="","",IF(C531="Match",IF(INDEX('Match Log'!$D:$D,D531)="Win",1,IF(INDEX('Match Log'!$D:$D,D531)="Draw",0.5,0)),IF(C531="Tournament",INDEX('Tournament Log'!$K:$K,E531),IF(INDEX('Guest Log'!$C:$C,Q531)="Win",1,IF(INDEX('Guest Log'!$C:$C,Q531)="Draw",0.5,0)))))</f>
        <v/>
      </c>
      <c r="L531" s="12" t="str">
        <f>IF(C531="","",IF(C531="Match",32,IF(C531="Tournament",MIN(32*INDEX('Tournament Log'!$D:$D,E531),96),32)))</f>
        <v/>
      </c>
      <c r="M531" s="12" t="str">
        <f t="shared" si="42"/>
        <v/>
      </c>
      <c r="N531" s="12" t="str">
        <f t="shared" si="43"/>
        <v/>
      </c>
      <c r="O531" s="12" t="str">
        <f t="shared" si="44"/>
        <v/>
      </c>
      <c r="P531" s="12" t="str">
        <f>IF(C531="Tournament",INDEX('Tournament Log'!$B:$B,E531),IF(C531="Guest","Guest: "&amp;INDEX('Guest Log'!$H:$H,Q531),""))</f>
        <v/>
      </c>
      <c r="Q531" t="str">
        <f>IFERROR(MATCH($A531,'Guest Log'!$L$4:$L$203,0)+3,"")</f>
        <v/>
      </c>
    </row>
    <row r="532" spans="1:17" ht="15" customHeight="1" x14ac:dyDescent="0.2">
      <c r="A532" s="37">
        <f>531</f>
        <v>531</v>
      </c>
      <c r="B532" s="37" t="str">
        <f>IF(C532="","",IF(C532="Match",INDEX('Match Log'!$A:$A,D532),IF(C532="Tournament",INDEX('Tournament Log'!$A:$A,E532),INDEX('Guest Log'!$A:$A,Q532))))</f>
        <v/>
      </c>
      <c r="C532" s="37" t="str">
        <f t="shared" si="40"/>
        <v/>
      </c>
      <c r="D532" s="38" t="str">
        <f>IFERROR(MATCH($A532,'Match Log'!$K$3:$K$501,0)+2,"")</f>
        <v/>
      </c>
      <c r="E532" s="38" t="str">
        <f>IFERROR(MATCH($A532,'Tournament Log'!$O$4:$O$203,0)+3,"")</f>
        <v/>
      </c>
      <c r="F532" s="37" t="str">
        <f>IF(C532="","",IF(C532="Match",INDEX('Match Log'!$B:$B,D532),IF(C532="Tournament",INDEX('Tournament Log'!$C:$C,E532),INDEX('Guest Log'!$B:$B,Q532))))</f>
        <v/>
      </c>
      <c r="G532" s="37" t="str">
        <f>IF(C532="","",IF(C532="Match",INDEX('Match Log'!$C:$C,D532),IF(C532="Tournament",INDEX('Tournament Log'!$B:$B,E532)&amp;" (Phantom)",INDEX('Guest Log'!$H:$H,Q532)&amp;" (Guest)")))</f>
        <v/>
      </c>
      <c r="H532" s="37" t="str">
        <f t="array" ref="H532">IF(C532="","",IFERROR(LOOKUP(2,1/(($F$1:F531=F532)+($G$1:G531=F532)),IF($F$1:F531=F532,$N$1:N531,$O$1:O531)),1000))</f>
        <v/>
      </c>
      <c r="I532" s="37" t="str">
        <f t="array" ref="I532">IF(C532="","",IF(C532="Tournament",INDEX('Tournament Log'!$J:$J,E532),IF(C532="Guest",IF(INDEX('Guest Log'!$I:$I,Q532)="",1000,INDEX('Guest Log'!$I:$I,Q532)),IFERROR(LOOKUP(2,1/(($F$1:F531=G532)+($G$1:G531=G532)),IF($F$1:F531=G532,$N$1:N531,$O$1:O531)),1000))))</f>
        <v/>
      </c>
      <c r="J532" s="37" t="str">
        <f t="shared" si="41"/>
        <v/>
      </c>
      <c r="K532" s="12" t="str">
        <f>IF(C532="","",IF(C532="Match",IF(INDEX('Match Log'!$D:$D,D532)="Win",1,IF(INDEX('Match Log'!$D:$D,D532)="Draw",0.5,0)),IF(C532="Tournament",INDEX('Tournament Log'!$K:$K,E532),IF(INDEX('Guest Log'!$C:$C,Q532)="Win",1,IF(INDEX('Guest Log'!$C:$C,Q532)="Draw",0.5,0)))))</f>
        <v/>
      </c>
      <c r="L532" s="12" t="str">
        <f>IF(C532="","",IF(C532="Match",32,IF(C532="Tournament",MIN(32*INDEX('Tournament Log'!$D:$D,E532),96),32)))</f>
        <v/>
      </c>
      <c r="M532" s="12" t="str">
        <f t="shared" si="42"/>
        <v/>
      </c>
      <c r="N532" s="12" t="str">
        <f t="shared" si="43"/>
        <v/>
      </c>
      <c r="O532" s="12" t="str">
        <f t="shared" si="44"/>
        <v/>
      </c>
      <c r="P532" s="12" t="str">
        <f>IF(C532="Tournament",INDEX('Tournament Log'!$B:$B,E532),IF(C532="Guest","Guest: "&amp;INDEX('Guest Log'!$H:$H,Q532),""))</f>
        <v/>
      </c>
      <c r="Q532" t="str">
        <f>IFERROR(MATCH($A532,'Guest Log'!$L$4:$L$203,0)+3,"")</f>
        <v/>
      </c>
    </row>
    <row r="533" spans="1:17" ht="15" customHeight="1" x14ac:dyDescent="0.2">
      <c r="A533" s="22">
        <f>532</f>
        <v>532</v>
      </c>
      <c r="B533" s="22" t="str">
        <f>IF(C533="","",IF(C533="Match",INDEX('Match Log'!$A:$A,D533),IF(C533="Tournament",INDEX('Tournament Log'!$A:$A,E533),INDEX('Guest Log'!$A:$A,Q533))))</f>
        <v/>
      </c>
      <c r="C533" s="22" t="str">
        <f t="shared" si="40"/>
        <v/>
      </c>
      <c r="D533" s="39" t="str">
        <f>IFERROR(MATCH($A533,'Match Log'!$K$3:$K$501,0)+2,"")</f>
        <v/>
      </c>
      <c r="E533" s="39" t="str">
        <f>IFERROR(MATCH($A533,'Tournament Log'!$O$4:$O$203,0)+3,"")</f>
        <v/>
      </c>
      <c r="F533" s="22" t="str">
        <f>IF(C533="","",IF(C533="Match",INDEX('Match Log'!$B:$B,D533),IF(C533="Tournament",INDEX('Tournament Log'!$C:$C,E533),INDEX('Guest Log'!$B:$B,Q533))))</f>
        <v/>
      </c>
      <c r="G533" s="22" t="str">
        <f>IF(C533="","",IF(C533="Match",INDEX('Match Log'!$C:$C,D533),IF(C533="Tournament",INDEX('Tournament Log'!$B:$B,E533)&amp;" (Phantom)",INDEX('Guest Log'!$H:$H,Q533)&amp;" (Guest)")))</f>
        <v/>
      </c>
      <c r="H533" s="22" t="str">
        <f t="array" ref="H533">IF(C533="","",IFERROR(LOOKUP(2,1/(($F$1:F532=F533)+($G$1:G532=F533)),IF($F$1:F532=F533,$N$1:N532,$O$1:O532)),1000))</f>
        <v/>
      </c>
      <c r="I533" s="22" t="str">
        <f t="array" ref="I533">IF(C533="","",IF(C533="Tournament",INDEX('Tournament Log'!$J:$J,E533),IF(C533="Guest",IF(INDEX('Guest Log'!$I:$I,Q533)="",1000,INDEX('Guest Log'!$I:$I,Q533)),IFERROR(LOOKUP(2,1/(($F$1:F532=G533)+($G$1:G532=G533)),IF($F$1:F532=G533,$N$1:N532,$O$1:O532)),1000))))</f>
        <v/>
      </c>
      <c r="J533" s="22" t="str">
        <f t="shared" si="41"/>
        <v/>
      </c>
      <c r="K533" s="12" t="str">
        <f>IF(C533="","",IF(C533="Match",IF(INDEX('Match Log'!$D:$D,D533)="Win",1,IF(INDEX('Match Log'!$D:$D,D533)="Draw",0.5,0)),IF(C533="Tournament",INDEX('Tournament Log'!$K:$K,E533),IF(INDEX('Guest Log'!$C:$C,Q533)="Win",1,IF(INDEX('Guest Log'!$C:$C,Q533)="Draw",0.5,0)))))</f>
        <v/>
      </c>
      <c r="L533" s="12" t="str">
        <f>IF(C533="","",IF(C533="Match",32,IF(C533="Tournament",MIN(32*INDEX('Tournament Log'!$D:$D,E533),96),32)))</f>
        <v/>
      </c>
      <c r="M533" s="12" t="str">
        <f t="shared" si="42"/>
        <v/>
      </c>
      <c r="N533" s="12" t="str">
        <f t="shared" si="43"/>
        <v/>
      </c>
      <c r="O533" s="12" t="str">
        <f t="shared" si="44"/>
        <v/>
      </c>
      <c r="P533" s="12" t="str">
        <f>IF(C533="Tournament",INDEX('Tournament Log'!$B:$B,E533),IF(C533="Guest","Guest: "&amp;INDEX('Guest Log'!$H:$H,Q533),""))</f>
        <v/>
      </c>
      <c r="Q533" t="str">
        <f>IFERROR(MATCH($A533,'Guest Log'!$L$4:$L$203,0)+3,"")</f>
        <v/>
      </c>
    </row>
    <row r="534" spans="1:17" ht="15" customHeight="1" x14ac:dyDescent="0.2">
      <c r="A534" s="37">
        <f>533</f>
        <v>533</v>
      </c>
      <c r="B534" s="37" t="str">
        <f>IF(C534="","",IF(C534="Match",INDEX('Match Log'!$A:$A,D534),IF(C534="Tournament",INDEX('Tournament Log'!$A:$A,E534),INDEX('Guest Log'!$A:$A,Q534))))</f>
        <v/>
      </c>
      <c r="C534" s="37" t="str">
        <f t="shared" si="40"/>
        <v/>
      </c>
      <c r="D534" s="38" t="str">
        <f>IFERROR(MATCH($A534,'Match Log'!$K$3:$K$501,0)+2,"")</f>
        <v/>
      </c>
      <c r="E534" s="38" t="str">
        <f>IFERROR(MATCH($A534,'Tournament Log'!$O$4:$O$203,0)+3,"")</f>
        <v/>
      </c>
      <c r="F534" s="37" t="str">
        <f>IF(C534="","",IF(C534="Match",INDEX('Match Log'!$B:$B,D534),IF(C534="Tournament",INDEX('Tournament Log'!$C:$C,E534),INDEX('Guest Log'!$B:$B,Q534))))</f>
        <v/>
      </c>
      <c r="G534" s="37" t="str">
        <f>IF(C534="","",IF(C534="Match",INDEX('Match Log'!$C:$C,D534),IF(C534="Tournament",INDEX('Tournament Log'!$B:$B,E534)&amp;" (Phantom)",INDEX('Guest Log'!$H:$H,Q534)&amp;" (Guest)")))</f>
        <v/>
      </c>
      <c r="H534" s="37" t="str">
        <f t="array" ref="H534">IF(C534="","",IFERROR(LOOKUP(2,1/(($F$1:F533=F534)+($G$1:G533=F534)),IF($F$1:F533=F534,$N$1:N533,$O$1:O533)),1000))</f>
        <v/>
      </c>
      <c r="I534" s="37" t="str">
        <f t="array" ref="I534">IF(C534="","",IF(C534="Tournament",INDEX('Tournament Log'!$J:$J,E534),IF(C534="Guest",IF(INDEX('Guest Log'!$I:$I,Q534)="",1000,INDEX('Guest Log'!$I:$I,Q534)),IFERROR(LOOKUP(2,1/(($F$1:F533=G534)+($G$1:G533=G534)),IF($F$1:F533=G534,$N$1:N533,$O$1:O533)),1000))))</f>
        <v/>
      </c>
      <c r="J534" s="37" t="str">
        <f t="shared" si="41"/>
        <v/>
      </c>
      <c r="K534" s="12" t="str">
        <f>IF(C534="","",IF(C534="Match",IF(INDEX('Match Log'!$D:$D,D534)="Win",1,IF(INDEX('Match Log'!$D:$D,D534)="Draw",0.5,0)),IF(C534="Tournament",INDEX('Tournament Log'!$K:$K,E534),IF(INDEX('Guest Log'!$C:$C,Q534)="Win",1,IF(INDEX('Guest Log'!$C:$C,Q534)="Draw",0.5,0)))))</f>
        <v/>
      </c>
      <c r="L534" s="12" t="str">
        <f>IF(C534="","",IF(C534="Match",32,IF(C534="Tournament",MIN(32*INDEX('Tournament Log'!$D:$D,E534),96),32)))</f>
        <v/>
      </c>
      <c r="M534" s="12" t="str">
        <f t="shared" si="42"/>
        <v/>
      </c>
      <c r="N534" s="12" t="str">
        <f t="shared" si="43"/>
        <v/>
      </c>
      <c r="O534" s="12" t="str">
        <f t="shared" si="44"/>
        <v/>
      </c>
      <c r="P534" s="12" t="str">
        <f>IF(C534="Tournament",INDEX('Tournament Log'!$B:$B,E534),IF(C534="Guest","Guest: "&amp;INDEX('Guest Log'!$H:$H,Q534),""))</f>
        <v/>
      </c>
      <c r="Q534" t="str">
        <f>IFERROR(MATCH($A534,'Guest Log'!$L$4:$L$203,0)+3,"")</f>
        <v/>
      </c>
    </row>
    <row r="535" spans="1:17" ht="15" customHeight="1" x14ac:dyDescent="0.2">
      <c r="A535" s="22">
        <f>534</f>
        <v>534</v>
      </c>
      <c r="B535" s="22" t="str">
        <f>IF(C535="","",IF(C535="Match",INDEX('Match Log'!$A:$A,D535),IF(C535="Tournament",INDEX('Tournament Log'!$A:$A,E535),INDEX('Guest Log'!$A:$A,Q535))))</f>
        <v/>
      </c>
      <c r="C535" s="22" t="str">
        <f t="shared" si="40"/>
        <v/>
      </c>
      <c r="D535" s="39" t="str">
        <f>IFERROR(MATCH($A535,'Match Log'!$K$3:$K$501,0)+2,"")</f>
        <v/>
      </c>
      <c r="E535" s="39" t="str">
        <f>IFERROR(MATCH($A535,'Tournament Log'!$O$4:$O$203,0)+3,"")</f>
        <v/>
      </c>
      <c r="F535" s="22" t="str">
        <f>IF(C535="","",IF(C535="Match",INDEX('Match Log'!$B:$B,D535),IF(C535="Tournament",INDEX('Tournament Log'!$C:$C,E535),INDEX('Guest Log'!$B:$B,Q535))))</f>
        <v/>
      </c>
      <c r="G535" s="22" t="str">
        <f>IF(C535="","",IF(C535="Match",INDEX('Match Log'!$C:$C,D535),IF(C535="Tournament",INDEX('Tournament Log'!$B:$B,E535)&amp;" (Phantom)",INDEX('Guest Log'!$H:$H,Q535)&amp;" (Guest)")))</f>
        <v/>
      </c>
      <c r="H535" s="22" t="str">
        <f t="array" ref="H535">IF(C535="","",IFERROR(LOOKUP(2,1/(($F$1:F534=F535)+($G$1:G534=F535)),IF($F$1:F534=F535,$N$1:N534,$O$1:O534)),1000))</f>
        <v/>
      </c>
      <c r="I535" s="22" t="str">
        <f t="array" ref="I535">IF(C535="","",IF(C535="Tournament",INDEX('Tournament Log'!$J:$J,E535),IF(C535="Guest",IF(INDEX('Guest Log'!$I:$I,Q535)="",1000,INDEX('Guest Log'!$I:$I,Q535)),IFERROR(LOOKUP(2,1/(($F$1:F534=G535)+($G$1:G534=G535)),IF($F$1:F534=G535,$N$1:N534,$O$1:O534)),1000))))</f>
        <v/>
      </c>
      <c r="J535" s="22" t="str">
        <f t="shared" si="41"/>
        <v/>
      </c>
      <c r="K535" s="12" t="str">
        <f>IF(C535="","",IF(C535="Match",IF(INDEX('Match Log'!$D:$D,D535)="Win",1,IF(INDEX('Match Log'!$D:$D,D535)="Draw",0.5,0)),IF(C535="Tournament",INDEX('Tournament Log'!$K:$K,E535),IF(INDEX('Guest Log'!$C:$C,Q535)="Win",1,IF(INDEX('Guest Log'!$C:$C,Q535)="Draw",0.5,0)))))</f>
        <v/>
      </c>
      <c r="L535" s="12" t="str">
        <f>IF(C535="","",IF(C535="Match",32,IF(C535="Tournament",MIN(32*INDEX('Tournament Log'!$D:$D,E535),96),32)))</f>
        <v/>
      </c>
      <c r="M535" s="12" t="str">
        <f t="shared" si="42"/>
        <v/>
      </c>
      <c r="N535" s="12" t="str">
        <f t="shared" si="43"/>
        <v/>
      </c>
      <c r="O535" s="12" t="str">
        <f t="shared" si="44"/>
        <v/>
      </c>
      <c r="P535" s="12" t="str">
        <f>IF(C535="Tournament",INDEX('Tournament Log'!$B:$B,E535),IF(C535="Guest","Guest: "&amp;INDEX('Guest Log'!$H:$H,Q535),""))</f>
        <v/>
      </c>
      <c r="Q535" t="str">
        <f>IFERROR(MATCH($A535,'Guest Log'!$L$4:$L$203,0)+3,"")</f>
        <v/>
      </c>
    </row>
    <row r="536" spans="1:17" ht="15" customHeight="1" x14ac:dyDescent="0.2">
      <c r="A536" s="37">
        <f>535</f>
        <v>535</v>
      </c>
      <c r="B536" s="37" t="str">
        <f>IF(C536="","",IF(C536="Match",INDEX('Match Log'!$A:$A,D536),IF(C536="Tournament",INDEX('Tournament Log'!$A:$A,E536),INDEX('Guest Log'!$A:$A,Q536))))</f>
        <v/>
      </c>
      <c r="C536" s="37" t="str">
        <f t="shared" si="40"/>
        <v/>
      </c>
      <c r="D536" s="38" t="str">
        <f>IFERROR(MATCH($A536,'Match Log'!$K$3:$K$501,0)+2,"")</f>
        <v/>
      </c>
      <c r="E536" s="38" t="str">
        <f>IFERROR(MATCH($A536,'Tournament Log'!$O$4:$O$203,0)+3,"")</f>
        <v/>
      </c>
      <c r="F536" s="37" t="str">
        <f>IF(C536="","",IF(C536="Match",INDEX('Match Log'!$B:$B,D536),IF(C536="Tournament",INDEX('Tournament Log'!$C:$C,E536),INDEX('Guest Log'!$B:$B,Q536))))</f>
        <v/>
      </c>
      <c r="G536" s="37" t="str">
        <f>IF(C536="","",IF(C536="Match",INDEX('Match Log'!$C:$C,D536),IF(C536="Tournament",INDEX('Tournament Log'!$B:$B,E536)&amp;" (Phantom)",INDEX('Guest Log'!$H:$H,Q536)&amp;" (Guest)")))</f>
        <v/>
      </c>
      <c r="H536" s="37" t="str">
        <f t="array" ref="H536">IF(C536="","",IFERROR(LOOKUP(2,1/(($F$1:F535=F536)+($G$1:G535=F536)),IF($F$1:F535=F536,$N$1:N535,$O$1:O535)),1000))</f>
        <v/>
      </c>
      <c r="I536" s="37" t="str">
        <f t="array" ref="I536">IF(C536="","",IF(C536="Tournament",INDEX('Tournament Log'!$J:$J,E536),IF(C536="Guest",IF(INDEX('Guest Log'!$I:$I,Q536)="",1000,INDEX('Guest Log'!$I:$I,Q536)),IFERROR(LOOKUP(2,1/(($F$1:F535=G536)+($G$1:G535=G536)),IF($F$1:F535=G536,$N$1:N535,$O$1:O535)),1000))))</f>
        <v/>
      </c>
      <c r="J536" s="37" t="str">
        <f t="shared" si="41"/>
        <v/>
      </c>
      <c r="K536" s="12" t="str">
        <f>IF(C536="","",IF(C536="Match",IF(INDEX('Match Log'!$D:$D,D536)="Win",1,IF(INDEX('Match Log'!$D:$D,D536)="Draw",0.5,0)),IF(C536="Tournament",INDEX('Tournament Log'!$K:$K,E536),IF(INDEX('Guest Log'!$C:$C,Q536)="Win",1,IF(INDEX('Guest Log'!$C:$C,Q536)="Draw",0.5,0)))))</f>
        <v/>
      </c>
      <c r="L536" s="12" t="str">
        <f>IF(C536="","",IF(C536="Match",32,IF(C536="Tournament",MIN(32*INDEX('Tournament Log'!$D:$D,E536),96),32)))</f>
        <v/>
      </c>
      <c r="M536" s="12" t="str">
        <f t="shared" si="42"/>
        <v/>
      </c>
      <c r="N536" s="12" t="str">
        <f t="shared" si="43"/>
        <v/>
      </c>
      <c r="O536" s="12" t="str">
        <f t="shared" si="44"/>
        <v/>
      </c>
      <c r="P536" s="12" t="str">
        <f>IF(C536="Tournament",INDEX('Tournament Log'!$B:$B,E536),IF(C536="Guest","Guest: "&amp;INDEX('Guest Log'!$H:$H,Q536),""))</f>
        <v/>
      </c>
      <c r="Q536" t="str">
        <f>IFERROR(MATCH($A536,'Guest Log'!$L$4:$L$203,0)+3,"")</f>
        <v/>
      </c>
    </row>
    <row r="537" spans="1:17" ht="15" customHeight="1" x14ac:dyDescent="0.2">
      <c r="A537" s="22">
        <f>536</f>
        <v>536</v>
      </c>
      <c r="B537" s="22" t="str">
        <f>IF(C537="","",IF(C537="Match",INDEX('Match Log'!$A:$A,D537),IF(C537="Tournament",INDEX('Tournament Log'!$A:$A,E537),INDEX('Guest Log'!$A:$A,Q537))))</f>
        <v/>
      </c>
      <c r="C537" s="22" t="str">
        <f t="shared" si="40"/>
        <v/>
      </c>
      <c r="D537" s="39" t="str">
        <f>IFERROR(MATCH($A537,'Match Log'!$K$3:$K$501,0)+2,"")</f>
        <v/>
      </c>
      <c r="E537" s="39" t="str">
        <f>IFERROR(MATCH($A537,'Tournament Log'!$O$4:$O$203,0)+3,"")</f>
        <v/>
      </c>
      <c r="F537" s="22" t="str">
        <f>IF(C537="","",IF(C537="Match",INDEX('Match Log'!$B:$B,D537),IF(C537="Tournament",INDEX('Tournament Log'!$C:$C,E537),INDEX('Guest Log'!$B:$B,Q537))))</f>
        <v/>
      </c>
      <c r="G537" s="22" t="str">
        <f>IF(C537="","",IF(C537="Match",INDEX('Match Log'!$C:$C,D537),IF(C537="Tournament",INDEX('Tournament Log'!$B:$B,E537)&amp;" (Phantom)",INDEX('Guest Log'!$H:$H,Q537)&amp;" (Guest)")))</f>
        <v/>
      </c>
      <c r="H537" s="22" t="str">
        <f t="array" ref="H537">IF(C537="","",IFERROR(LOOKUP(2,1/(($F$1:F536=F537)+($G$1:G536=F537)),IF($F$1:F536=F537,$N$1:N536,$O$1:O536)),1000))</f>
        <v/>
      </c>
      <c r="I537" s="22" t="str">
        <f t="array" ref="I537">IF(C537="","",IF(C537="Tournament",INDEX('Tournament Log'!$J:$J,E537),IF(C537="Guest",IF(INDEX('Guest Log'!$I:$I,Q537)="",1000,INDEX('Guest Log'!$I:$I,Q537)),IFERROR(LOOKUP(2,1/(($F$1:F536=G537)+($G$1:G536=G537)),IF($F$1:F536=G537,$N$1:N536,$O$1:O536)),1000))))</f>
        <v/>
      </c>
      <c r="J537" s="22" t="str">
        <f t="shared" si="41"/>
        <v/>
      </c>
      <c r="K537" s="12" t="str">
        <f>IF(C537="","",IF(C537="Match",IF(INDEX('Match Log'!$D:$D,D537)="Win",1,IF(INDEX('Match Log'!$D:$D,D537)="Draw",0.5,0)),IF(C537="Tournament",INDEX('Tournament Log'!$K:$K,E537),IF(INDEX('Guest Log'!$C:$C,Q537)="Win",1,IF(INDEX('Guest Log'!$C:$C,Q537)="Draw",0.5,0)))))</f>
        <v/>
      </c>
      <c r="L537" s="12" t="str">
        <f>IF(C537="","",IF(C537="Match",32,IF(C537="Tournament",MIN(32*INDEX('Tournament Log'!$D:$D,E537),96),32)))</f>
        <v/>
      </c>
      <c r="M537" s="12" t="str">
        <f t="shared" si="42"/>
        <v/>
      </c>
      <c r="N537" s="12" t="str">
        <f t="shared" si="43"/>
        <v/>
      </c>
      <c r="O537" s="12" t="str">
        <f t="shared" si="44"/>
        <v/>
      </c>
      <c r="P537" s="12" t="str">
        <f>IF(C537="Tournament",INDEX('Tournament Log'!$B:$B,E537),IF(C537="Guest","Guest: "&amp;INDEX('Guest Log'!$H:$H,Q537),""))</f>
        <v/>
      </c>
      <c r="Q537" t="str">
        <f>IFERROR(MATCH($A537,'Guest Log'!$L$4:$L$203,0)+3,"")</f>
        <v/>
      </c>
    </row>
    <row r="538" spans="1:17" ht="15" customHeight="1" x14ac:dyDescent="0.2">
      <c r="A538" s="37">
        <f>537</f>
        <v>537</v>
      </c>
      <c r="B538" s="37" t="str">
        <f>IF(C538="","",IF(C538="Match",INDEX('Match Log'!$A:$A,D538),IF(C538="Tournament",INDEX('Tournament Log'!$A:$A,E538),INDEX('Guest Log'!$A:$A,Q538))))</f>
        <v/>
      </c>
      <c r="C538" s="37" t="str">
        <f t="shared" si="40"/>
        <v/>
      </c>
      <c r="D538" s="38" t="str">
        <f>IFERROR(MATCH($A538,'Match Log'!$K$3:$K$501,0)+2,"")</f>
        <v/>
      </c>
      <c r="E538" s="38" t="str">
        <f>IFERROR(MATCH($A538,'Tournament Log'!$O$4:$O$203,0)+3,"")</f>
        <v/>
      </c>
      <c r="F538" s="37" t="str">
        <f>IF(C538="","",IF(C538="Match",INDEX('Match Log'!$B:$B,D538),IF(C538="Tournament",INDEX('Tournament Log'!$C:$C,E538),INDEX('Guest Log'!$B:$B,Q538))))</f>
        <v/>
      </c>
      <c r="G538" s="37" t="str">
        <f>IF(C538="","",IF(C538="Match",INDEX('Match Log'!$C:$C,D538),IF(C538="Tournament",INDEX('Tournament Log'!$B:$B,E538)&amp;" (Phantom)",INDEX('Guest Log'!$H:$H,Q538)&amp;" (Guest)")))</f>
        <v/>
      </c>
      <c r="H538" s="37" t="str">
        <f t="array" ref="H538">IF(C538="","",IFERROR(LOOKUP(2,1/(($F$1:F537=F538)+($G$1:G537=F538)),IF($F$1:F537=F538,$N$1:N537,$O$1:O537)),1000))</f>
        <v/>
      </c>
      <c r="I538" s="37" t="str">
        <f t="array" ref="I538">IF(C538="","",IF(C538="Tournament",INDEX('Tournament Log'!$J:$J,E538),IF(C538="Guest",IF(INDEX('Guest Log'!$I:$I,Q538)="",1000,INDEX('Guest Log'!$I:$I,Q538)),IFERROR(LOOKUP(2,1/(($F$1:F537=G538)+($G$1:G537=G538)),IF($F$1:F537=G538,$N$1:N537,$O$1:O537)),1000))))</f>
        <v/>
      </c>
      <c r="J538" s="37" t="str">
        <f t="shared" si="41"/>
        <v/>
      </c>
      <c r="K538" s="12" t="str">
        <f>IF(C538="","",IF(C538="Match",IF(INDEX('Match Log'!$D:$D,D538)="Win",1,IF(INDEX('Match Log'!$D:$D,D538)="Draw",0.5,0)),IF(C538="Tournament",INDEX('Tournament Log'!$K:$K,E538),IF(INDEX('Guest Log'!$C:$C,Q538)="Win",1,IF(INDEX('Guest Log'!$C:$C,Q538)="Draw",0.5,0)))))</f>
        <v/>
      </c>
      <c r="L538" s="12" t="str">
        <f>IF(C538="","",IF(C538="Match",32,IF(C538="Tournament",MIN(32*INDEX('Tournament Log'!$D:$D,E538),96),32)))</f>
        <v/>
      </c>
      <c r="M538" s="12" t="str">
        <f t="shared" si="42"/>
        <v/>
      </c>
      <c r="N538" s="12" t="str">
        <f t="shared" si="43"/>
        <v/>
      </c>
      <c r="O538" s="12" t="str">
        <f t="shared" si="44"/>
        <v/>
      </c>
      <c r="P538" s="12" t="str">
        <f>IF(C538="Tournament",INDEX('Tournament Log'!$B:$B,E538),IF(C538="Guest","Guest: "&amp;INDEX('Guest Log'!$H:$H,Q538),""))</f>
        <v/>
      </c>
      <c r="Q538" t="str">
        <f>IFERROR(MATCH($A538,'Guest Log'!$L$4:$L$203,0)+3,"")</f>
        <v/>
      </c>
    </row>
    <row r="539" spans="1:17" ht="15" customHeight="1" x14ac:dyDescent="0.2">
      <c r="A539" s="22">
        <f>538</f>
        <v>538</v>
      </c>
      <c r="B539" s="22" t="str">
        <f>IF(C539="","",IF(C539="Match",INDEX('Match Log'!$A:$A,D539),IF(C539="Tournament",INDEX('Tournament Log'!$A:$A,E539),INDEX('Guest Log'!$A:$A,Q539))))</f>
        <v/>
      </c>
      <c r="C539" s="22" t="str">
        <f t="shared" si="40"/>
        <v/>
      </c>
      <c r="D539" s="39" t="str">
        <f>IFERROR(MATCH($A539,'Match Log'!$K$3:$K$501,0)+2,"")</f>
        <v/>
      </c>
      <c r="E539" s="39" t="str">
        <f>IFERROR(MATCH($A539,'Tournament Log'!$O$4:$O$203,0)+3,"")</f>
        <v/>
      </c>
      <c r="F539" s="22" t="str">
        <f>IF(C539="","",IF(C539="Match",INDEX('Match Log'!$B:$B,D539),IF(C539="Tournament",INDEX('Tournament Log'!$C:$C,E539),INDEX('Guest Log'!$B:$B,Q539))))</f>
        <v/>
      </c>
      <c r="G539" s="22" t="str">
        <f>IF(C539="","",IF(C539="Match",INDEX('Match Log'!$C:$C,D539),IF(C539="Tournament",INDEX('Tournament Log'!$B:$B,E539)&amp;" (Phantom)",INDEX('Guest Log'!$H:$H,Q539)&amp;" (Guest)")))</f>
        <v/>
      </c>
      <c r="H539" s="22" t="str">
        <f t="array" ref="H539">IF(C539="","",IFERROR(LOOKUP(2,1/(($F$1:F538=F539)+($G$1:G538=F539)),IF($F$1:F538=F539,$N$1:N538,$O$1:O538)),1000))</f>
        <v/>
      </c>
      <c r="I539" s="22" t="str">
        <f t="array" ref="I539">IF(C539="","",IF(C539="Tournament",INDEX('Tournament Log'!$J:$J,E539),IF(C539="Guest",IF(INDEX('Guest Log'!$I:$I,Q539)="",1000,INDEX('Guest Log'!$I:$I,Q539)),IFERROR(LOOKUP(2,1/(($F$1:F538=G539)+($G$1:G538=G539)),IF($F$1:F538=G539,$N$1:N538,$O$1:O538)),1000))))</f>
        <v/>
      </c>
      <c r="J539" s="22" t="str">
        <f t="shared" si="41"/>
        <v/>
      </c>
      <c r="K539" s="12" t="str">
        <f>IF(C539="","",IF(C539="Match",IF(INDEX('Match Log'!$D:$D,D539)="Win",1,IF(INDEX('Match Log'!$D:$D,D539)="Draw",0.5,0)),IF(C539="Tournament",INDEX('Tournament Log'!$K:$K,E539),IF(INDEX('Guest Log'!$C:$C,Q539)="Win",1,IF(INDEX('Guest Log'!$C:$C,Q539)="Draw",0.5,0)))))</f>
        <v/>
      </c>
      <c r="L539" s="12" t="str">
        <f>IF(C539="","",IF(C539="Match",32,IF(C539="Tournament",MIN(32*INDEX('Tournament Log'!$D:$D,E539),96),32)))</f>
        <v/>
      </c>
      <c r="M539" s="12" t="str">
        <f t="shared" si="42"/>
        <v/>
      </c>
      <c r="N539" s="12" t="str">
        <f t="shared" si="43"/>
        <v/>
      </c>
      <c r="O539" s="12" t="str">
        <f t="shared" si="44"/>
        <v/>
      </c>
      <c r="P539" s="12" t="str">
        <f>IF(C539="Tournament",INDEX('Tournament Log'!$B:$B,E539),IF(C539="Guest","Guest: "&amp;INDEX('Guest Log'!$H:$H,Q539),""))</f>
        <v/>
      </c>
      <c r="Q539" t="str">
        <f>IFERROR(MATCH($A539,'Guest Log'!$L$4:$L$203,0)+3,"")</f>
        <v/>
      </c>
    </row>
    <row r="540" spans="1:17" ht="15" customHeight="1" x14ac:dyDescent="0.2">
      <c r="A540" s="37">
        <f>539</f>
        <v>539</v>
      </c>
      <c r="B540" s="37" t="str">
        <f>IF(C540="","",IF(C540="Match",INDEX('Match Log'!$A:$A,D540),IF(C540="Tournament",INDEX('Tournament Log'!$A:$A,E540),INDEX('Guest Log'!$A:$A,Q540))))</f>
        <v/>
      </c>
      <c r="C540" s="37" t="str">
        <f t="shared" si="40"/>
        <v/>
      </c>
      <c r="D540" s="38" t="str">
        <f>IFERROR(MATCH($A540,'Match Log'!$K$3:$K$501,0)+2,"")</f>
        <v/>
      </c>
      <c r="E540" s="38" t="str">
        <f>IFERROR(MATCH($A540,'Tournament Log'!$O$4:$O$203,0)+3,"")</f>
        <v/>
      </c>
      <c r="F540" s="37" t="str">
        <f>IF(C540="","",IF(C540="Match",INDEX('Match Log'!$B:$B,D540),IF(C540="Tournament",INDEX('Tournament Log'!$C:$C,E540),INDEX('Guest Log'!$B:$B,Q540))))</f>
        <v/>
      </c>
      <c r="G540" s="37" t="str">
        <f>IF(C540="","",IF(C540="Match",INDEX('Match Log'!$C:$C,D540),IF(C540="Tournament",INDEX('Tournament Log'!$B:$B,E540)&amp;" (Phantom)",INDEX('Guest Log'!$H:$H,Q540)&amp;" (Guest)")))</f>
        <v/>
      </c>
      <c r="H540" s="37" t="str">
        <f t="array" ref="H540">IF(C540="","",IFERROR(LOOKUP(2,1/(($F$1:F539=F540)+($G$1:G539=F540)),IF($F$1:F539=F540,$N$1:N539,$O$1:O539)),1000))</f>
        <v/>
      </c>
      <c r="I540" s="37" t="str">
        <f t="array" ref="I540">IF(C540="","",IF(C540="Tournament",INDEX('Tournament Log'!$J:$J,E540),IF(C540="Guest",IF(INDEX('Guest Log'!$I:$I,Q540)="",1000,INDEX('Guest Log'!$I:$I,Q540)),IFERROR(LOOKUP(2,1/(($F$1:F539=G540)+($G$1:G539=G540)),IF($F$1:F539=G540,$N$1:N539,$O$1:O539)),1000))))</f>
        <v/>
      </c>
      <c r="J540" s="37" t="str">
        <f t="shared" si="41"/>
        <v/>
      </c>
      <c r="K540" s="12" t="str">
        <f>IF(C540="","",IF(C540="Match",IF(INDEX('Match Log'!$D:$D,D540)="Win",1,IF(INDEX('Match Log'!$D:$D,D540)="Draw",0.5,0)),IF(C540="Tournament",INDEX('Tournament Log'!$K:$K,E540),IF(INDEX('Guest Log'!$C:$C,Q540)="Win",1,IF(INDEX('Guest Log'!$C:$C,Q540)="Draw",0.5,0)))))</f>
        <v/>
      </c>
      <c r="L540" s="12" t="str">
        <f>IF(C540="","",IF(C540="Match",32,IF(C540="Tournament",MIN(32*INDEX('Tournament Log'!$D:$D,E540),96),32)))</f>
        <v/>
      </c>
      <c r="M540" s="12" t="str">
        <f t="shared" si="42"/>
        <v/>
      </c>
      <c r="N540" s="12" t="str">
        <f t="shared" si="43"/>
        <v/>
      </c>
      <c r="O540" s="12" t="str">
        <f t="shared" si="44"/>
        <v/>
      </c>
      <c r="P540" s="12" t="str">
        <f>IF(C540="Tournament",INDEX('Tournament Log'!$B:$B,E540),IF(C540="Guest","Guest: "&amp;INDEX('Guest Log'!$H:$H,Q540),""))</f>
        <v/>
      </c>
      <c r="Q540" t="str">
        <f>IFERROR(MATCH($A540,'Guest Log'!$L$4:$L$203,0)+3,"")</f>
        <v/>
      </c>
    </row>
    <row r="541" spans="1:17" ht="15" customHeight="1" x14ac:dyDescent="0.2">
      <c r="A541" s="22">
        <f>540</f>
        <v>540</v>
      </c>
      <c r="B541" s="22" t="str">
        <f>IF(C541="","",IF(C541="Match",INDEX('Match Log'!$A:$A,D541),IF(C541="Tournament",INDEX('Tournament Log'!$A:$A,E541),INDEX('Guest Log'!$A:$A,Q541))))</f>
        <v/>
      </c>
      <c r="C541" s="22" t="str">
        <f t="shared" si="40"/>
        <v/>
      </c>
      <c r="D541" s="39" t="str">
        <f>IFERROR(MATCH($A541,'Match Log'!$K$3:$K$501,0)+2,"")</f>
        <v/>
      </c>
      <c r="E541" s="39" t="str">
        <f>IFERROR(MATCH($A541,'Tournament Log'!$O$4:$O$203,0)+3,"")</f>
        <v/>
      </c>
      <c r="F541" s="22" t="str">
        <f>IF(C541="","",IF(C541="Match",INDEX('Match Log'!$B:$B,D541),IF(C541="Tournament",INDEX('Tournament Log'!$C:$C,E541),INDEX('Guest Log'!$B:$B,Q541))))</f>
        <v/>
      </c>
      <c r="G541" s="22" t="str">
        <f>IF(C541="","",IF(C541="Match",INDEX('Match Log'!$C:$C,D541),IF(C541="Tournament",INDEX('Tournament Log'!$B:$B,E541)&amp;" (Phantom)",INDEX('Guest Log'!$H:$H,Q541)&amp;" (Guest)")))</f>
        <v/>
      </c>
      <c r="H541" s="22" t="str">
        <f t="array" ref="H541">IF(C541="","",IFERROR(LOOKUP(2,1/(($F$1:F540=F541)+($G$1:G540=F541)),IF($F$1:F540=F541,$N$1:N540,$O$1:O540)),1000))</f>
        <v/>
      </c>
      <c r="I541" s="22" t="str">
        <f t="array" ref="I541">IF(C541="","",IF(C541="Tournament",INDEX('Tournament Log'!$J:$J,E541),IF(C541="Guest",IF(INDEX('Guest Log'!$I:$I,Q541)="",1000,INDEX('Guest Log'!$I:$I,Q541)),IFERROR(LOOKUP(2,1/(($F$1:F540=G541)+($G$1:G540=G541)),IF($F$1:F540=G541,$N$1:N540,$O$1:O540)),1000))))</f>
        <v/>
      </c>
      <c r="J541" s="22" t="str">
        <f t="shared" si="41"/>
        <v/>
      </c>
      <c r="K541" s="12" t="str">
        <f>IF(C541="","",IF(C541="Match",IF(INDEX('Match Log'!$D:$D,D541)="Win",1,IF(INDEX('Match Log'!$D:$D,D541)="Draw",0.5,0)),IF(C541="Tournament",INDEX('Tournament Log'!$K:$K,E541),IF(INDEX('Guest Log'!$C:$C,Q541)="Win",1,IF(INDEX('Guest Log'!$C:$C,Q541)="Draw",0.5,0)))))</f>
        <v/>
      </c>
      <c r="L541" s="12" t="str">
        <f>IF(C541="","",IF(C541="Match",32,IF(C541="Tournament",MIN(32*INDEX('Tournament Log'!$D:$D,E541),96),32)))</f>
        <v/>
      </c>
      <c r="M541" s="12" t="str">
        <f t="shared" si="42"/>
        <v/>
      </c>
      <c r="N541" s="12" t="str">
        <f t="shared" si="43"/>
        <v/>
      </c>
      <c r="O541" s="12" t="str">
        <f t="shared" si="44"/>
        <v/>
      </c>
      <c r="P541" s="12" t="str">
        <f>IF(C541="Tournament",INDEX('Tournament Log'!$B:$B,E541),IF(C541="Guest","Guest: "&amp;INDEX('Guest Log'!$H:$H,Q541),""))</f>
        <v/>
      </c>
      <c r="Q541" t="str">
        <f>IFERROR(MATCH($A541,'Guest Log'!$L$4:$L$203,0)+3,"")</f>
        <v/>
      </c>
    </row>
    <row r="542" spans="1:17" ht="15" customHeight="1" x14ac:dyDescent="0.2">
      <c r="A542" s="37">
        <f>541</f>
        <v>541</v>
      </c>
      <c r="B542" s="37" t="str">
        <f>IF(C542="","",IF(C542="Match",INDEX('Match Log'!$A:$A,D542),IF(C542="Tournament",INDEX('Tournament Log'!$A:$A,E542),INDEX('Guest Log'!$A:$A,Q542))))</f>
        <v/>
      </c>
      <c r="C542" s="37" t="str">
        <f t="shared" si="40"/>
        <v/>
      </c>
      <c r="D542" s="38" t="str">
        <f>IFERROR(MATCH($A542,'Match Log'!$K$3:$K$501,0)+2,"")</f>
        <v/>
      </c>
      <c r="E542" s="38" t="str">
        <f>IFERROR(MATCH($A542,'Tournament Log'!$O$4:$O$203,0)+3,"")</f>
        <v/>
      </c>
      <c r="F542" s="37" t="str">
        <f>IF(C542="","",IF(C542="Match",INDEX('Match Log'!$B:$B,D542),IF(C542="Tournament",INDEX('Tournament Log'!$C:$C,E542),INDEX('Guest Log'!$B:$B,Q542))))</f>
        <v/>
      </c>
      <c r="G542" s="37" t="str">
        <f>IF(C542="","",IF(C542="Match",INDEX('Match Log'!$C:$C,D542),IF(C542="Tournament",INDEX('Tournament Log'!$B:$B,E542)&amp;" (Phantom)",INDEX('Guest Log'!$H:$H,Q542)&amp;" (Guest)")))</f>
        <v/>
      </c>
      <c r="H542" s="37" t="str">
        <f t="array" ref="H542">IF(C542="","",IFERROR(LOOKUP(2,1/(($F$1:F541=F542)+($G$1:G541=F542)),IF($F$1:F541=F542,$N$1:N541,$O$1:O541)),1000))</f>
        <v/>
      </c>
      <c r="I542" s="37" t="str">
        <f t="array" ref="I542">IF(C542="","",IF(C542="Tournament",INDEX('Tournament Log'!$J:$J,E542),IF(C542="Guest",IF(INDEX('Guest Log'!$I:$I,Q542)="",1000,INDEX('Guest Log'!$I:$I,Q542)),IFERROR(LOOKUP(2,1/(($F$1:F541=G542)+($G$1:G541=G542)),IF($F$1:F541=G542,$N$1:N541,$O$1:O541)),1000))))</f>
        <v/>
      </c>
      <c r="J542" s="37" t="str">
        <f t="shared" si="41"/>
        <v/>
      </c>
      <c r="K542" s="12" t="str">
        <f>IF(C542="","",IF(C542="Match",IF(INDEX('Match Log'!$D:$D,D542)="Win",1,IF(INDEX('Match Log'!$D:$D,D542)="Draw",0.5,0)),IF(C542="Tournament",INDEX('Tournament Log'!$K:$K,E542),IF(INDEX('Guest Log'!$C:$C,Q542)="Win",1,IF(INDEX('Guest Log'!$C:$C,Q542)="Draw",0.5,0)))))</f>
        <v/>
      </c>
      <c r="L542" s="12" t="str">
        <f>IF(C542="","",IF(C542="Match",32,IF(C542="Tournament",MIN(32*INDEX('Tournament Log'!$D:$D,E542),96),32)))</f>
        <v/>
      </c>
      <c r="M542" s="12" t="str">
        <f t="shared" si="42"/>
        <v/>
      </c>
      <c r="N542" s="12" t="str">
        <f t="shared" si="43"/>
        <v/>
      </c>
      <c r="O542" s="12" t="str">
        <f t="shared" si="44"/>
        <v/>
      </c>
      <c r="P542" s="12" t="str">
        <f>IF(C542="Tournament",INDEX('Tournament Log'!$B:$B,E542),IF(C542="Guest","Guest: "&amp;INDEX('Guest Log'!$H:$H,Q542),""))</f>
        <v/>
      </c>
      <c r="Q542" t="str">
        <f>IFERROR(MATCH($A542,'Guest Log'!$L$4:$L$203,0)+3,"")</f>
        <v/>
      </c>
    </row>
    <row r="543" spans="1:17" ht="15" customHeight="1" x14ac:dyDescent="0.2">
      <c r="A543" s="22">
        <f>542</f>
        <v>542</v>
      </c>
      <c r="B543" s="22" t="str">
        <f>IF(C543="","",IF(C543="Match",INDEX('Match Log'!$A:$A,D543),IF(C543="Tournament",INDEX('Tournament Log'!$A:$A,E543),INDEX('Guest Log'!$A:$A,Q543))))</f>
        <v/>
      </c>
      <c r="C543" s="22" t="str">
        <f t="shared" si="40"/>
        <v/>
      </c>
      <c r="D543" s="39" t="str">
        <f>IFERROR(MATCH($A543,'Match Log'!$K$3:$K$501,0)+2,"")</f>
        <v/>
      </c>
      <c r="E543" s="39" t="str">
        <f>IFERROR(MATCH($A543,'Tournament Log'!$O$4:$O$203,0)+3,"")</f>
        <v/>
      </c>
      <c r="F543" s="22" t="str">
        <f>IF(C543="","",IF(C543="Match",INDEX('Match Log'!$B:$B,D543),IF(C543="Tournament",INDEX('Tournament Log'!$C:$C,E543),INDEX('Guest Log'!$B:$B,Q543))))</f>
        <v/>
      </c>
      <c r="G543" s="22" t="str">
        <f>IF(C543="","",IF(C543="Match",INDEX('Match Log'!$C:$C,D543),IF(C543="Tournament",INDEX('Tournament Log'!$B:$B,E543)&amp;" (Phantom)",INDEX('Guest Log'!$H:$H,Q543)&amp;" (Guest)")))</f>
        <v/>
      </c>
      <c r="H543" s="22" t="str">
        <f t="array" ref="H543">IF(C543="","",IFERROR(LOOKUP(2,1/(($F$1:F542=F543)+($G$1:G542=F543)),IF($F$1:F542=F543,$N$1:N542,$O$1:O542)),1000))</f>
        <v/>
      </c>
      <c r="I543" s="22" t="str">
        <f t="array" ref="I543">IF(C543="","",IF(C543="Tournament",INDEX('Tournament Log'!$J:$J,E543),IF(C543="Guest",IF(INDEX('Guest Log'!$I:$I,Q543)="",1000,INDEX('Guest Log'!$I:$I,Q543)),IFERROR(LOOKUP(2,1/(($F$1:F542=G543)+($G$1:G542=G543)),IF($F$1:F542=G543,$N$1:N542,$O$1:O542)),1000))))</f>
        <v/>
      </c>
      <c r="J543" s="22" t="str">
        <f t="shared" si="41"/>
        <v/>
      </c>
      <c r="K543" s="12" t="str">
        <f>IF(C543="","",IF(C543="Match",IF(INDEX('Match Log'!$D:$D,D543)="Win",1,IF(INDEX('Match Log'!$D:$D,D543)="Draw",0.5,0)),IF(C543="Tournament",INDEX('Tournament Log'!$K:$K,E543),IF(INDEX('Guest Log'!$C:$C,Q543)="Win",1,IF(INDEX('Guest Log'!$C:$C,Q543)="Draw",0.5,0)))))</f>
        <v/>
      </c>
      <c r="L543" s="12" t="str">
        <f>IF(C543="","",IF(C543="Match",32,IF(C543="Tournament",MIN(32*INDEX('Tournament Log'!$D:$D,E543),96),32)))</f>
        <v/>
      </c>
      <c r="M543" s="12" t="str">
        <f t="shared" si="42"/>
        <v/>
      </c>
      <c r="N543" s="12" t="str">
        <f t="shared" si="43"/>
        <v/>
      </c>
      <c r="O543" s="12" t="str">
        <f t="shared" si="44"/>
        <v/>
      </c>
      <c r="P543" s="12" t="str">
        <f>IF(C543="Tournament",INDEX('Tournament Log'!$B:$B,E543),IF(C543="Guest","Guest: "&amp;INDEX('Guest Log'!$H:$H,Q543),""))</f>
        <v/>
      </c>
      <c r="Q543" t="str">
        <f>IFERROR(MATCH($A543,'Guest Log'!$L$4:$L$203,0)+3,"")</f>
        <v/>
      </c>
    </row>
    <row r="544" spans="1:17" ht="15" customHeight="1" x14ac:dyDescent="0.2">
      <c r="A544" s="37">
        <f>543</f>
        <v>543</v>
      </c>
      <c r="B544" s="37" t="str">
        <f>IF(C544="","",IF(C544="Match",INDEX('Match Log'!$A:$A,D544),IF(C544="Tournament",INDEX('Tournament Log'!$A:$A,E544),INDEX('Guest Log'!$A:$A,Q544))))</f>
        <v/>
      </c>
      <c r="C544" s="37" t="str">
        <f t="shared" si="40"/>
        <v/>
      </c>
      <c r="D544" s="38" t="str">
        <f>IFERROR(MATCH($A544,'Match Log'!$K$3:$K$501,0)+2,"")</f>
        <v/>
      </c>
      <c r="E544" s="38" t="str">
        <f>IFERROR(MATCH($A544,'Tournament Log'!$O$4:$O$203,0)+3,"")</f>
        <v/>
      </c>
      <c r="F544" s="37" t="str">
        <f>IF(C544="","",IF(C544="Match",INDEX('Match Log'!$B:$B,D544),IF(C544="Tournament",INDEX('Tournament Log'!$C:$C,E544),INDEX('Guest Log'!$B:$B,Q544))))</f>
        <v/>
      </c>
      <c r="G544" s="37" t="str">
        <f>IF(C544="","",IF(C544="Match",INDEX('Match Log'!$C:$C,D544),IF(C544="Tournament",INDEX('Tournament Log'!$B:$B,E544)&amp;" (Phantom)",INDEX('Guest Log'!$H:$H,Q544)&amp;" (Guest)")))</f>
        <v/>
      </c>
      <c r="H544" s="37" t="str">
        <f t="array" ref="H544">IF(C544="","",IFERROR(LOOKUP(2,1/(($F$1:F543=F544)+($G$1:G543=F544)),IF($F$1:F543=F544,$N$1:N543,$O$1:O543)),1000))</f>
        <v/>
      </c>
      <c r="I544" s="37" t="str">
        <f t="array" ref="I544">IF(C544="","",IF(C544="Tournament",INDEX('Tournament Log'!$J:$J,E544),IF(C544="Guest",IF(INDEX('Guest Log'!$I:$I,Q544)="",1000,INDEX('Guest Log'!$I:$I,Q544)),IFERROR(LOOKUP(2,1/(($F$1:F543=G544)+($G$1:G543=G544)),IF($F$1:F543=G544,$N$1:N543,$O$1:O543)),1000))))</f>
        <v/>
      </c>
      <c r="J544" s="37" t="str">
        <f t="shared" si="41"/>
        <v/>
      </c>
      <c r="K544" s="12" t="str">
        <f>IF(C544="","",IF(C544="Match",IF(INDEX('Match Log'!$D:$D,D544)="Win",1,IF(INDEX('Match Log'!$D:$D,D544)="Draw",0.5,0)),IF(C544="Tournament",INDEX('Tournament Log'!$K:$K,E544),IF(INDEX('Guest Log'!$C:$C,Q544)="Win",1,IF(INDEX('Guest Log'!$C:$C,Q544)="Draw",0.5,0)))))</f>
        <v/>
      </c>
      <c r="L544" s="12" t="str">
        <f>IF(C544="","",IF(C544="Match",32,IF(C544="Tournament",MIN(32*INDEX('Tournament Log'!$D:$D,E544),96),32)))</f>
        <v/>
      </c>
      <c r="M544" s="12" t="str">
        <f t="shared" si="42"/>
        <v/>
      </c>
      <c r="N544" s="12" t="str">
        <f t="shared" si="43"/>
        <v/>
      </c>
      <c r="O544" s="12" t="str">
        <f t="shared" si="44"/>
        <v/>
      </c>
      <c r="P544" s="12" t="str">
        <f>IF(C544="Tournament",INDEX('Tournament Log'!$B:$B,E544),IF(C544="Guest","Guest: "&amp;INDEX('Guest Log'!$H:$H,Q544),""))</f>
        <v/>
      </c>
      <c r="Q544" t="str">
        <f>IFERROR(MATCH($A544,'Guest Log'!$L$4:$L$203,0)+3,"")</f>
        <v/>
      </c>
    </row>
    <row r="545" spans="1:17" ht="15" customHeight="1" x14ac:dyDescent="0.2">
      <c r="A545" s="22">
        <f>544</f>
        <v>544</v>
      </c>
      <c r="B545" s="22" t="str">
        <f>IF(C545="","",IF(C545="Match",INDEX('Match Log'!$A:$A,D545),IF(C545="Tournament",INDEX('Tournament Log'!$A:$A,E545),INDEX('Guest Log'!$A:$A,Q545))))</f>
        <v/>
      </c>
      <c r="C545" s="22" t="str">
        <f t="shared" si="40"/>
        <v/>
      </c>
      <c r="D545" s="39" t="str">
        <f>IFERROR(MATCH($A545,'Match Log'!$K$3:$K$501,0)+2,"")</f>
        <v/>
      </c>
      <c r="E545" s="39" t="str">
        <f>IFERROR(MATCH($A545,'Tournament Log'!$O$4:$O$203,0)+3,"")</f>
        <v/>
      </c>
      <c r="F545" s="22" t="str">
        <f>IF(C545="","",IF(C545="Match",INDEX('Match Log'!$B:$B,D545),IF(C545="Tournament",INDEX('Tournament Log'!$C:$C,E545),INDEX('Guest Log'!$B:$B,Q545))))</f>
        <v/>
      </c>
      <c r="G545" s="22" t="str">
        <f>IF(C545="","",IF(C545="Match",INDEX('Match Log'!$C:$C,D545),IF(C545="Tournament",INDEX('Tournament Log'!$B:$B,E545)&amp;" (Phantom)",INDEX('Guest Log'!$H:$H,Q545)&amp;" (Guest)")))</f>
        <v/>
      </c>
      <c r="H545" s="22" t="str">
        <f t="array" ref="H545">IF(C545="","",IFERROR(LOOKUP(2,1/(($F$1:F544=F545)+($G$1:G544=F545)),IF($F$1:F544=F545,$N$1:N544,$O$1:O544)),1000))</f>
        <v/>
      </c>
      <c r="I545" s="22" t="str">
        <f t="array" ref="I545">IF(C545="","",IF(C545="Tournament",INDEX('Tournament Log'!$J:$J,E545),IF(C545="Guest",IF(INDEX('Guest Log'!$I:$I,Q545)="",1000,INDEX('Guest Log'!$I:$I,Q545)),IFERROR(LOOKUP(2,1/(($F$1:F544=G545)+($G$1:G544=G545)),IF($F$1:F544=G545,$N$1:N544,$O$1:O544)),1000))))</f>
        <v/>
      </c>
      <c r="J545" s="22" t="str">
        <f t="shared" si="41"/>
        <v/>
      </c>
      <c r="K545" s="12" t="str">
        <f>IF(C545="","",IF(C545="Match",IF(INDEX('Match Log'!$D:$D,D545)="Win",1,IF(INDEX('Match Log'!$D:$D,D545)="Draw",0.5,0)),IF(C545="Tournament",INDEX('Tournament Log'!$K:$K,E545),IF(INDEX('Guest Log'!$C:$C,Q545)="Win",1,IF(INDEX('Guest Log'!$C:$C,Q545)="Draw",0.5,0)))))</f>
        <v/>
      </c>
      <c r="L545" s="12" t="str">
        <f>IF(C545="","",IF(C545="Match",32,IF(C545="Tournament",MIN(32*INDEX('Tournament Log'!$D:$D,E545),96),32)))</f>
        <v/>
      </c>
      <c r="M545" s="12" t="str">
        <f t="shared" si="42"/>
        <v/>
      </c>
      <c r="N545" s="12" t="str">
        <f t="shared" si="43"/>
        <v/>
      </c>
      <c r="O545" s="12" t="str">
        <f t="shared" si="44"/>
        <v/>
      </c>
      <c r="P545" s="12" t="str">
        <f>IF(C545="Tournament",INDEX('Tournament Log'!$B:$B,E545),IF(C545="Guest","Guest: "&amp;INDEX('Guest Log'!$H:$H,Q545),""))</f>
        <v/>
      </c>
      <c r="Q545" t="str">
        <f>IFERROR(MATCH($A545,'Guest Log'!$L$4:$L$203,0)+3,"")</f>
        <v/>
      </c>
    </row>
    <row r="546" spans="1:17" ht="15" customHeight="1" x14ac:dyDescent="0.2">
      <c r="A546" s="37">
        <f>545</f>
        <v>545</v>
      </c>
      <c r="B546" s="37" t="str">
        <f>IF(C546="","",IF(C546="Match",INDEX('Match Log'!$A:$A,D546),IF(C546="Tournament",INDEX('Tournament Log'!$A:$A,E546),INDEX('Guest Log'!$A:$A,Q546))))</f>
        <v/>
      </c>
      <c r="C546" s="37" t="str">
        <f t="shared" si="40"/>
        <v/>
      </c>
      <c r="D546" s="38" t="str">
        <f>IFERROR(MATCH($A546,'Match Log'!$K$3:$K$501,0)+2,"")</f>
        <v/>
      </c>
      <c r="E546" s="38" t="str">
        <f>IFERROR(MATCH($A546,'Tournament Log'!$O$4:$O$203,0)+3,"")</f>
        <v/>
      </c>
      <c r="F546" s="37" t="str">
        <f>IF(C546="","",IF(C546="Match",INDEX('Match Log'!$B:$B,D546),IF(C546="Tournament",INDEX('Tournament Log'!$C:$C,E546),INDEX('Guest Log'!$B:$B,Q546))))</f>
        <v/>
      </c>
      <c r="G546" s="37" t="str">
        <f>IF(C546="","",IF(C546="Match",INDEX('Match Log'!$C:$C,D546),IF(C546="Tournament",INDEX('Tournament Log'!$B:$B,E546)&amp;" (Phantom)",INDEX('Guest Log'!$H:$H,Q546)&amp;" (Guest)")))</f>
        <v/>
      </c>
      <c r="H546" s="37" t="str">
        <f t="array" ref="H546">IF(C546="","",IFERROR(LOOKUP(2,1/(($F$1:F545=F546)+($G$1:G545=F546)),IF($F$1:F545=F546,$N$1:N545,$O$1:O545)),1000))</f>
        <v/>
      </c>
      <c r="I546" s="37" t="str">
        <f t="array" ref="I546">IF(C546="","",IF(C546="Tournament",INDEX('Tournament Log'!$J:$J,E546),IF(C546="Guest",IF(INDEX('Guest Log'!$I:$I,Q546)="",1000,INDEX('Guest Log'!$I:$I,Q546)),IFERROR(LOOKUP(2,1/(($F$1:F545=G546)+($G$1:G545=G546)),IF($F$1:F545=G546,$N$1:N545,$O$1:O545)),1000))))</f>
        <v/>
      </c>
      <c r="J546" s="37" t="str">
        <f t="shared" si="41"/>
        <v/>
      </c>
      <c r="K546" s="12" t="str">
        <f>IF(C546="","",IF(C546="Match",IF(INDEX('Match Log'!$D:$D,D546)="Win",1,IF(INDEX('Match Log'!$D:$D,D546)="Draw",0.5,0)),IF(C546="Tournament",INDEX('Tournament Log'!$K:$K,E546),IF(INDEX('Guest Log'!$C:$C,Q546)="Win",1,IF(INDEX('Guest Log'!$C:$C,Q546)="Draw",0.5,0)))))</f>
        <v/>
      </c>
      <c r="L546" s="12" t="str">
        <f>IF(C546="","",IF(C546="Match",32,IF(C546="Tournament",MIN(32*INDEX('Tournament Log'!$D:$D,E546),96),32)))</f>
        <v/>
      </c>
      <c r="M546" s="12" t="str">
        <f t="shared" si="42"/>
        <v/>
      </c>
      <c r="N546" s="12" t="str">
        <f t="shared" si="43"/>
        <v/>
      </c>
      <c r="O546" s="12" t="str">
        <f t="shared" si="44"/>
        <v/>
      </c>
      <c r="P546" s="12" t="str">
        <f>IF(C546="Tournament",INDEX('Tournament Log'!$B:$B,E546),IF(C546="Guest","Guest: "&amp;INDEX('Guest Log'!$H:$H,Q546),""))</f>
        <v/>
      </c>
      <c r="Q546" t="str">
        <f>IFERROR(MATCH($A546,'Guest Log'!$L$4:$L$203,0)+3,"")</f>
        <v/>
      </c>
    </row>
    <row r="547" spans="1:17" ht="15" customHeight="1" x14ac:dyDescent="0.2">
      <c r="A547" s="22">
        <f>546</f>
        <v>546</v>
      </c>
      <c r="B547" s="22" t="str">
        <f>IF(C547="","",IF(C547="Match",INDEX('Match Log'!$A:$A,D547),IF(C547="Tournament",INDEX('Tournament Log'!$A:$A,E547),INDEX('Guest Log'!$A:$A,Q547))))</f>
        <v/>
      </c>
      <c r="C547" s="22" t="str">
        <f t="shared" si="40"/>
        <v/>
      </c>
      <c r="D547" s="39" t="str">
        <f>IFERROR(MATCH($A547,'Match Log'!$K$3:$K$501,0)+2,"")</f>
        <v/>
      </c>
      <c r="E547" s="39" t="str">
        <f>IFERROR(MATCH($A547,'Tournament Log'!$O$4:$O$203,0)+3,"")</f>
        <v/>
      </c>
      <c r="F547" s="22" t="str">
        <f>IF(C547="","",IF(C547="Match",INDEX('Match Log'!$B:$B,D547),IF(C547="Tournament",INDEX('Tournament Log'!$C:$C,E547),INDEX('Guest Log'!$B:$B,Q547))))</f>
        <v/>
      </c>
      <c r="G547" s="22" t="str">
        <f>IF(C547="","",IF(C547="Match",INDEX('Match Log'!$C:$C,D547),IF(C547="Tournament",INDEX('Tournament Log'!$B:$B,E547)&amp;" (Phantom)",INDEX('Guest Log'!$H:$H,Q547)&amp;" (Guest)")))</f>
        <v/>
      </c>
      <c r="H547" s="22" t="str">
        <f t="array" ref="H547">IF(C547="","",IFERROR(LOOKUP(2,1/(($F$1:F546=F547)+($G$1:G546=F547)),IF($F$1:F546=F547,$N$1:N546,$O$1:O546)),1000))</f>
        <v/>
      </c>
      <c r="I547" s="22" t="str">
        <f t="array" ref="I547">IF(C547="","",IF(C547="Tournament",INDEX('Tournament Log'!$J:$J,E547),IF(C547="Guest",IF(INDEX('Guest Log'!$I:$I,Q547)="",1000,INDEX('Guest Log'!$I:$I,Q547)),IFERROR(LOOKUP(2,1/(($F$1:F546=G547)+($G$1:G546=G547)),IF($F$1:F546=G547,$N$1:N546,$O$1:O546)),1000))))</f>
        <v/>
      </c>
      <c r="J547" s="22" t="str">
        <f t="shared" si="41"/>
        <v/>
      </c>
      <c r="K547" s="12" t="str">
        <f>IF(C547="","",IF(C547="Match",IF(INDEX('Match Log'!$D:$D,D547)="Win",1,IF(INDEX('Match Log'!$D:$D,D547)="Draw",0.5,0)),IF(C547="Tournament",INDEX('Tournament Log'!$K:$K,E547),IF(INDEX('Guest Log'!$C:$C,Q547)="Win",1,IF(INDEX('Guest Log'!$C:$C,Q547)="Draw",0.5,0)))))</f>
        <v/>
      </c>
      <c r="L547" s="12" t="str">
        <f>IF(C547="","",IF(C547="Match",32,IF(C547="Tournament",MIN(32*INDEX('Tournament Log'!$D:$D,E547),96),32)))</f>
        <v/>
      </c>
      <c r="M547" s="12" t="str">
        <f t="shared" si="42"/>
        <v/>
      </c>
      <c r="N547" s="12" t="str">
        <f t="shared" si="43"/>
        <v/>
      </c>
      <c r="O547" s="12" t="str">
        <f t="shared" si="44"/>
        <v/>
      </c>
      <c r="P547" s="12" t="str">
        <f>IF(C547="Tournament",INDEX('Tournament Log'!$B:$B,E547),IF(C547="Guest","Guest: "&amp;INDEX('Guest Log'!$H:$H,Q547),""))</f>
        <v/>
      </c>
      <c r="Q547" t="str">
        <f>IFERROR(MATCH($A547,'Guest Log'!$L$4:$L$203,0)+3,"")</f>
        <v/>
      </c>
    </row>
    <row r="548" spans="1:17" ht="15" customHeight="1" x14ac:dyDescent="0.2">
      <c r="A548" s="37">
        <f>547</f>
        <v>547</v>
      </c>
      <c r="B548" s="37" t="str">
        <f>IF(C548="","",IF(C548="Match",INDEX('Match Log'!$A:$A,D548),IF(C548="Tournament",INDEX('Tournament Log'!$A:$A,E548),INDEX('Guest Log'!$A:$A,Q548))))</f>
        <v/>
      </c>
      <c r="C548" s="37" t="str">
        <f t="shared" si="40"/>
        <v/>
      </c>
      <c r="D548" s="38" t="str">
        <f>IFERROR(MATCH($A548,'Match Log'!$K$3:$K$501,0)+2,"")</f>
        <v/>
      </c>
      <c r="E548" s="38" t="str">
        <f>IFERROR(MATCH($A548,'Tournament Log'!$O$4:$O$203,0)+3,"")</f>
        <v/>
      </c>
      <c r="F548" s="37" t="str">
        <f>IF(C548="","",IF(C548="Match",INDEX('Match Log'!$B:$B,D548),IF(C548="Tournament",INDEX('Tournament Log'!$C:$C,E548),INDEX('Guest Log'!$B:$B,Q548))))</f>
        <v/>
      </c>
      <c r="G548" s="37" t="str">
        <f>IF(C548="","",IF(C548="Match",INDEX('Match Log'!$C:$C,D548),IF(C548="Tournament",INDEX('Tournament Log'!$B:$B,E548)&amp;" (Phantom)",INDEX('Guest Log'!$H:$H,Q548)&amp;" (Guest)")))</f>
        <v/>
      </c>
      <c r="H548" s="37" t="str">
        <f t="array" ref="H548">IF(C548="","",IFERROR(LOOKUP(2,1/(($F$1:F547=F548)+($G$1:G547=F548)),IF($F$1:F547=F548,$N$1:N547,$O$1:O547)),1000))</f>
        <v/>
      </c>
      <c r="I548" s="37" t="str">
        <f t="array" ref="I548">IF(C548="","",IF(C548="Tournament",INDEX('Tournament Log'!$J:$J,E548),IF(C548="Guest",IF(INDEX('Guest Log'!$I:$I,Q548)="",1000,INDEX('Guest Log'!$I:$I,Q548)),IFERROR(LOOKUP(2,1/(($F$1:F547=G548)+($G$1:G547=G548)),IF($F$1:F547=G548,$N$1:N547,$O$1:O547)),1000))))</f>
        <v/>
      </c>
      <c r="J548" s="37" t="str">
        <f t="shared" si="41"/>
        <v/>
      </c>
      <c r="K548" s="12" t="str">
        <f>IF(C548="","",IF(C548="Match",IF(INDEX('Match Log'!$D:$D,D548)="Win",1,IF(INDEX('Match Log'!$D:$D,D548)="Draw",0.5,0)),IF(C548="Tournament",INDEX('Tournament Log'!$K:$K,E548),IF(INDEX('Guest Log'!$C:$C,Q548)="Win",1,IF(INDEX('Guest Log'!$C:$C,Q548)="Draw",0.5,0)))))</f>
        <v/>
      </c>
      <c r="L548" s="12" t="str">
        <f>IF(C548="","",IF(C548="Match",32,IF(C548="Tournament",MIN(32*INDEX('Tournament Log'!$D:$D,E548),96),32)))</f>
        <v/>
      </c>
      <c r="M548" s="12" t="str">
        <f t="shared" si="42"/>
        <v/>
      </c>
      <c r="N548" s="12" t="str">
        <f t="shared" si="43"/>
        <v/>
      </c>
      <c r="O548" s="12" t="str">
        <f t="shared" si="44"/>
        <v/>
      </c>
      <c r="P548" s="12" t="str">
        <f>IF(C548="Tournament",INDEX('Tournament Log'!$B:$B,E548),IF(C548="Guest","Guest: "&amp;INDEX('Guest Log'!$H:$H,Q548),""))</f>
        <v/>
      </c>
      <c r="Q548" t="str">
        <f>IFERROR(MATCH($A548,'Guest Log'!$L$4:$L$203,0)+3,"")</f>
        <v/>
      </c>
    </row>
    <row r="549" spans="1:17" ht="15" customHeight="1" x14ac:dyDescent="0.2">
      <c r="A549" s="22">
        <f>548</f>
        <v>548</v>
      </c>
      <c r="B549" s="22" t="str">
        <f>IF(C549="","",IF(C549="Match",INDEX('Match Log'!$A:$A,D549),IF(C549="Tournament",INDEX('Tournament Log'!$A:$A,E549),INDEX('Guest Log'!$A:$A,Q549))))</f>
        <v/>
      </c>
      <c r="C549" s="22" t="str">
        <f t="shared" si="40"/>
        <v/>
      </c>
      <c r="D549" s="39" t="str">
        <f>IFERROR(MATCH($A549,'Match Log'!$K$3:$K$501,0)+2,"")</f>
        <v/>
      </c>
      <c r="E549" s="39" t="str">
        <f>IFERROR(MATCH($A549,'Tournament Log'!$O$4:$O$203,0)+3,"")</f>
        <v/>
      </c>
      <c r="F549" s="22" t="str">
        <f>IF(C549="","",IF(C549="Match",INDEX('Match Log'!$B:$B,D549),IF(C549="Tournament",INDEX('Tournament Log'!$C:$C,E549),INDEX('Guest Log'!$B:$B,Q549))))</f>
        <v/>
      </c>
      <c r="G549" s="22" t="str">
        <f>IF(C549="","",IF(C549="Match",INDEX('Match Log'!$C:$C,D549),IF(C549="Tournament",INDEX('Tournament Log'!$B:$B,E549)&amp;" (Phantom)",INDEX('Guest Log'!$H:$H,Q549)&amp;" (Guest)")))</f>
        <v/>
      </c>
      <c r="H549" s="22" t="str">
        <f t="array" ref="H549">IF(C549="","",IFERROR(LOOKUP(2,1/(($F$1:F548=F549)+($G$1:G548=F549)),IF($F$1:F548=F549,$N$1:N548,$O$1:O548)),1000))</f>
        <v/>
      </c>
      <c r="I549" s="22" t="str">
        <f t="array" ref="I549">IF(C549="","",IF(C549="Tournament",INDEX('Tournament Log'!$J:$J,E549),IF(C549="Guest",IF(INDEX('Guest Log'!$I:$I,Q549)="",1000,INDEX('Guest Log'!$I:$I,Q549)),IFERROR(LOOKUP(2,1/(($F$1:F548=G549)+($G$1:G548=G549)),IF($F$1:F548=G549,$N$1:N548,$O$1:O548)),1000))))</f>
        <v/>
      </c>
      <c r="J549" s="22" t="str">
        <f t="shared" si="41"/>
        <v/>
      </c>
      <c r="K549" s="12" t="str">
        <f>IF(C549="","",IF(C549="Match",IF(INDEX('Match Log'!$D:$D,D549)="Win",1,IF(INDEX('Match Log'!$D:$D,D549)="Draw",0.5,0)),IF(C549="Tournament",INDEX('Tournament Log'!$K:$K,E549),IF(INDEX('Guest Log'!$C:$C,Q549)="Win",1,IF(INDEX('Guest Log'!$C:$C,Q549)="Draw",0.5,0)))))</f>
        <v/>
      </c>
      <c r="L549" s="12" t="str">
        <f>IF(C549="","",IF(C549="Match",32,IF(C549="Tournament",MIN(32*INDEX('Tournament Log'!$D:$D,E549),96),32)))</f>
        <v/>
      </c>
      <c r="M549" s="12" t="str">
        <f t="shared" si="42"/>
        <v/>
      </c>
      <c r="N549" s="12" t="str">
        <f t="shared" si="43"/>
        <v/>
      </c>
      <c r="O549" s="12" t="str">
        <f t="shared" si="44"/>
        <v/>
      </c>
      <c r="P549" s="12" t="str">
        <f>IF(C549="Tournament",INDEX('Tournament Log'!$B:$B,E549),IF(C549="Guest","Guest: "&amp;INDEX('Guest Log'!$H:$H,Q549),""))</f>
        <v/>
      </c>
      <c r="Q549" t="str">
        <f>IFERROR(MATCH($A549,'Guest Log'!$L$4:$L$203,0)+3,"")</f>
        <v/>
      </c>
    </row>
    <row r="550" spans="1:17" ht="15" customHeight="1" x14ac:dyDescent="0.2">
      <c r="A550" s="37">
        <f>549</f>
        <v>549</v>
      </c>
      <c r="B550" s="37" t="str">
        <f>IF(C550="","",IF(C550="Match",INDEX('Match Log'!$A:$A,D550),IF(C550="Tournament",INDEX('Tournament Log'!$A:$A,E550),INDEX('Guest Log'!$A:$A,Q550))))</f>
        <v/>
      </c>
      <c r="C550" s="37" t="str">
        <f t="shared" si="40"/>
        <v/>
      </c>
      <c r="D550" s="38" t="str">
        <f>IFERROR(MATCH($A550,'Match Log'!$K$3:$K$501,0)+2,"")</f>
        <v/>
      </c>
      <c r="E550" s="38" t="str">
        <f>IFERROR(MATCH($A550,'Tournament Log'!$O$4:$O$203,0)+3,"")</f>
        <v/>
      </c>
      <c r="F550" s="37" t="str">
        <f>IF(C550="","",IF(C550="Match",INDEX('Match Log'!$B:$B,D550),IF(C550="Tournament",INDEX('Tournament Log'!$C:$C,E550),INDEX('Guest Log'!$B:$B,Q550))))</f>
        <v/>
      </c>
      <c r="G550" s="37" t="str">
        <f>IF(C550="","",IF(C550="Match",INDEX('Match Log'!$C:$C,D550),IF(C550="Tournament",INDEX('Tournament Log'!$B:$B,E550)&amp;" (Phantom)",INDEX('Guest Log'!$H:$H,Q550)&amp;" (Guest)")))</f>
        <v/>
      </c>
      <c r="H550" s="37" t="str">
        <f t="array" ref="H550">IF(C550="","",IFERROR(LOOKUP(2,1/(($F$1:F549=F550)+($G$1:G549=F550)),IF($F$1:F549=F550,$N$1:N549,$O$1:O549)),1000))</f>
        <v/>
      </c>
      <c r="I550" s="37" t="str">
        <f t="array" ref="I550">IF(C550="","",IF(C550="Tournament",INDEX('Tournament Log'!$J:$J,E550),IF(C550="Guest",IF(INDEX('Guest Log'!$I:$I,Q550)="",1000,INDEX('Guest Log'!$I:$I,Q550)),IFERROR(LOOKUP(2,1/(($F$1:F549=G550)+($G$1:G549=G550)),IF($F$1:F549=G550,$N$1:N549,$O$1:O549)),1000))))</f>
        <v/>
      </c>
      <c r="J550" s="37" t="str">
        <f t="shared" si="41"/>
        <v/>
      </c>
      <c r="K550" s="12" t="str">
        <f>IF(C550="","",IF(C550="Match",IF(INDEX('Match Log'!$D:$D,D550)="Win",1,IF(INDEX('Match Log'!$D:$D,D550)="Draw",0.5,0)),IF(C550="Tournament",INDEX('Tournament Log'!$K:$K,E550),IF(INDEX('Guest Log'!$C:$C,Q550)="Win",1,IF(INDEX('Guest Log'!$C:$C,Q550)="Draw",0.5,0)))))</f>
        <v/>
      </c>
      <c r="L550" s="12" t="str">
        <f>IF(C550="","",IF(C550="Match",32,IF(C550="Tournament",MIN(32*INDEX('Tournament Log'!$D:$D,E550),96),32)))</f>
        <v/>
      </c>
      <c r="M550" s="12" t="str">
        <f t="shared" si="42"/>
        <v/>
      </c>
      <c r="N550" s="12" t="str">
        <f t="shared" si="43"/>
        <v/>
      </c>
      <c r="O550" s="12" t="str">
        <f t="shared" si="44"/>
        <v/>
      </c>
      <c r="P550" s="12" t="str">
        <f>IF(C550="Tournament",INDEX('Tournament Log'!$B:$B,E550),IF(C550="Guest","Guest: "&amp;INDEX('Guest Log'!$H:$H,Q550),""))</f>
        <v/>
      </c>
      <c r="Q550" t="str">
        <f>IFERROR(MATCH($A550,'Guest Log'!$L$4:$L$203,0)+3,"")</f>
        <v/>
      </c>
    </row>
    <row r="551" spans="1:17" ht="15" customHeight="1" x14ac:dyDescent="0.2">
      <c r="A551" s="22">
        <f>550</f>
        <v>550</v>
      </c>
      <c r="B551" s="22" t="str">
        <f>IF(C551="","",IF(C551="Match",INDEX('Match Log'!$A:$A,D551),IF(C551="Tournament",INDEX('Tournament Log'!$A:$A,E551),INDEX('Guest Log'!$A:$A,Q551))))</f>
        <v/>
      </c>
      <c r="C551" s="22" t="str">
        <f t="shared" si="40"/>
        <v/>
      </c>
      <c r="D551" s="39" t="str">
        <f>IFERROR(MATCH($A551,'Match Log'!$K$3:$K$501,0)+2,"")</f>
        <v/>
      </c>
      <c r="E551" s="39" t="str">
        <f>IFERROR(MATCH($A551,'Tournament Log'!$O$4:$O$203,0)+3,"")</f>
        <v/>
      </c>
      <c r="F551" s="22" t="str">
        <f>IF(C551="","",IF(C551="Match",INDEX('Match Log'!$B:$B,D551),IF(C551="Tournament",INDEX('Tournament Log'!$C:$C,E551),INDEX('Guest Log'!$B:$B,Q551))))</f>
        <v/>
      </c>
      <c r="G551" s="22" t="str">
        <f>IF(C551="","",IF(C551="Match",INDEX('Match Log'!$C:$C,D551),IF(C551="Tournament",INDEX('Tournament Log'!$B:$B,E551)&amp;" (Phantom)",INDEX('Guest Log'!$H:$H,Q551)&amp;" (Guest)")))</f>
        <v/>
      </c>
      <c r="H551" s="22" t="str">
        <f t="array" ref="H551">IF(C551="","",IFERROR(LOOKUP(2,1/(($F$1:F550=F551)+($G$1:G550=F551)),IF($F$1:F550=F551,$N$1:N550,$O$1:O550)),1000))</f>
        <v/>
      </c>
      <c r="I551" s="22" t="str">
        <f t="array" ref="I551">IF(C551="","",IF(C551="Tournament",INDEX('Tournament Log'!$J:$J,E551),IF(C551="Guest",IF(INDEX('Guest Log'!$I:$I,Q551)="",1000,INDEX('Guest Log'!$I:$I,Q551)),IFERROR(LOOKUP(2,1/(($F$1:F550=G551)+($G$1:G550=G551)),IF($F$1:F550=G551,$N$1:N550,$O$1:O550)),1000))))</f>
        <v/>
      </c>
      <c r="J551" s="22" t="str">
        <f t="shared" si="41"/>
        <v/>
      </c>
      <c r="K551" s="12" t="str">
        <f>IF(C551="","",IF(C551="Match",IF(INDEX('Match Log'!$D:$D,D551)="Win",1,IF(INDEX('Match Log'!$D:$D,D551)="Draw",0.5,0)),IF(C551="Tournament",INDEX('Tournament Log'!$K:$K,E551),IF(INDEX('Guest Log'!$C:$C,Q551)="Win",1,IF(INDEX('Guest Log'!$C:$C,Q551)="Draw",0.5,0)))))</f>
        <v/>
      </c>
      <c r="L551" s="12" t="str">
        <f>IF(C551="","",IF(C551="Match",32,IF(C551="Tournament",MIN(32*INDEX('Tournament Log'!$D:$D,E551),96),32)))</f>
        <v/>
      </c>
      <c r="M551" s="12" t="str">
        <f t="shared" si="42"/>
        <v/>
      </c>
      <c r="N551" s="12" t="str">
        <f t="shared" si="43"/>
        <v/>
      </c>
      <c r="O551" s="12" t="str">
        <f t="shared" si="44"/>
        <v/>
      </c>
      <c r="P551" s="12" t="str">
        <f>IF(C551="Tournament",INDEX('Tournament Log'!$B:$B,E551),IF(C551="Guest","Guest: "&amp;INDEX('Guest Log'!$H:$H,Q551),""))</f>
        <v/>
      </c>
      <c r="Q551" t="str">
        <f>IFERROR(MATCH($A551,'Guest Log'!$L$4:$L$203,0)+3,"")</f>
        <v/>
      </c>
    </row>
    <row r="552" spans="1:17" ht="15" customHeight="1" x14ac:dyDescent="0.2">
      <c r="A552" s="37">
        <f>551</f>
        <v>551</v>
      </c>
      <c r="B552" s="37" t="str">
        <f>IF(C552="","",IF(C552="Match",INDEX('Match Log'!$A:$A,D552),IF(C552="Tournament",INDEX('Tournament Log'!$A:$A,E552),INDEX('Guest Log'!$A:$A,Q552))))</f>
        <v/>
      </c>
      <c r="C552" s="37" t="str">
        <f t="shared" si="40"/>
        <v/>
      </c>
      <c r="D552" s="38" t="str">
        <f>IFERROR(MATCH($A552,'Match Log'!$K$3:$K$501,0)+2,"")</f>
        <v/>
      </c>
      <c r="E552" s="38" t="str">
        <f>IFERROR(MATCH($A552,'Tournament Log'!$O$4:$O$203,0)+3,"")</f>
        <v/>
      </c>
      <c r="F552" s="37" t="str">
        <f>IF(C552="","",IF(C552="Match",INDEX('Match Log'!$B:$B,D552),IF(C552="Tournament",INDEX('Tournament Log'!$C:$C,E552),INDEX('Guest Log'!$B:$B,Q552))))</f>
        <v/>
      </c>
      <c r="G552" s="37" t="str">
        <f>IF(C552="","",IF(C552="Match",INDEX('Match Log'!$C:$C,D552),IF(C552="Tournament",INDEX('Tournament Log'!$B:$B,E552)&amp;" (Phantom)",INDEX('Guest Log'!$H:$H,Q552)&amp;" (Guest)")))</f>
        <v/>
      </c>
      <c r="H552" s="37" t="str">
        <f t="array" ref="H552">IF(C552="","",IFERROR(LOOKUP(2,1/(($F$1:F551=F552)+($G$1:G551=F552)),IF($F$1:F551=F552,$N$1:N551,$O$1:O551)),1000))</f>
        <v/>
      </c>
      <c r="I552" s="37" t="str">
        <f t="array" ref="I552">IF(C552="","",IF(C552="Tournament",INDEX('Tournament Log'!$J:$J,E552),IF(C552="Guest",IF(INDEX('Guest Log'!$I:$I,Q552)="",1000,INDEX('Guest Log'!$I:$I,Q552)),IFERROR(LOOKUP(2,1/(($F$1:F551=G552)+($G$1:G551=G552)),IF($F$1:F551=G552,$N$1:N551,$O$1:O551)),1000))))</f>
        <v/>
      </c>
      <c r="J552" s="37" t="str">
        <f t="shared" si="41"/>
        <v/>
      </c>
      <c r="K552" s="12" t="str">
        <f>IF(C552="","",IF(C552="Match",IF(INDEX('Match Log'!$D:$D,D552)="Win",1,IF(INDEX('Match Log'!$D:$D,D552)="Draw",0.5,0)),IF(C552="Tournament",INDEX('Tournament Log'!$K:$K,E552),IF(INDEX('Guest Log'!$C:$C,Q552)="Win",1,IF(INDEX('Guest Log'!$C:$C,Q552)="Draw",0.5,0)))))</f>
        <v/>
      </c>
      <c r="L552" s="12" t="str">
        <f>IF(C552="","",IF(C552="Match",32,IF(C552="Tournament",MIN(32*INDEX('Tournament Log'!$D:$D,E552),96),32)))</f>
        <v/>
      </c>
      <c r="M552" s="12" t="str">
        <f t="shared" si="42"/>
        <v/>
      </c>
      <c r="N552" s="12" t="str">
        <f t="shared" si="43"/>
        <v/>
      </c>
      <c r="O552" s="12" t="str">
        <f t="shared" si="44"/>
        <v/>
      </c>
      <c r="P552" s="12" t="str">
        <f>IF(C552="Tournament",INDEX('Tournament Log'!$B:$B,E552),IF(C552="Guest","Guest: "&amp;INDEX('Guest Log'!$H:$H,Q552),""))</f>
        <v/>
      </c>
      <c r="Q552" t="str">
        <f>IFERROR(MATCH($A552,'Guest Log'!$L$4:$L$203,0)+3,"")</f>
        <v/>
      </c>
    </row>
    <row r="553" spans="1:17" ht="15" customHeight="1" x14ac:dyDescent="0.2">
      <c r="A553" s="22">
        <f>552</f>
        <v>552</v>
      </c>
      <c r="B553" s="22" t="str">
        <f>IF(C553="","",IF(C553="Match",INDEX('Match Log'!$A:$A,D553),IF(C553="Tournament",INDEX('Tournament Log'!$A:$A,E553),INDEX('Guest Log'!$A:$A,Q553))))</f>
        <v/>
      </c>
      <c r="C553" s="22" t="str">
        <f t="shared" si="40"/>
        <v/>
      </c>
      <c r="D553" s="39" t="str">
        <f>IFERROR(MATCH($A553,'Match Log'!$K$3:$K$501,0)+2,"")</f>
        <v/>
      </c>
      <c r="E553" s="39" t="str">
        <f>IFERROR(MATCH($A553,'Tournament Log'!$O$4:$O$203,0)+3,"")</f>
        <v/>
      </c>
      <c r="F553" s="22" t="str">
        <f>IF(C553="","",IF(C553="Match",INDEX('Match Log'!$B:$B,D553),IF(C553="Tournament",INDEX('Tournament Log'!$C:$C,E553),INDEX('Guest Log'!$B:$B,Q553))))</f>
        <v/>
      </c>
      <c r="G553" s="22" t="str">
        <f>IF(C553="","",IF(C553="Match",INDEX('Match Log'!$C:$C,D553),IF(C553="Tournament",INDEX('Tournament Log'!$B:$B,E553)&amp;" (Phantom)",INDEX('Guest Log'!$H:$H,Q553)&amp;" (Guest)")))</f>
        <v/>
      </c>
      <c r="H553" s="22" t="str">
        <f t="array" ref="H553">IF(C553="","",IFERROR(LOOKUP(2,1/(($F$1:F552=F553)+($G$1:G552=F553)),IF($F$1:F552=F553,$N$1:N552,$O$1:O552)),1000))</f>
        <v/>
      </c>
      <c r="I553" s="22" t="str">
        <f t="array" ref="I553">IF(C553="","",IF(C553="Tournament",INDEX('Tournament Log'!$J:$J,E553),IF(C553="Guest",IF(INDEX('Guest Log'!$I:$I,Q553)="",1000,INDEX('Guest Log'!$I:$I,Q553)),IFERROR(LOOKUP(2,1/(($F$1:F552=G553)+($G$1:G552=G553)),IF($F$1:F552=G553,$N$1:N552,$O$1:O552)),1000))))</f>
        <v/>
      </c>
      <c r="J553" s="22" t="str">
        <f t="shared" si="41"/>
        <v/>
      </c>
      <c r="K553" s="12" t="str">
        <f>IF(C553="","",IF(C553="Match",IF(INDEX('Match Log'!$D:$D,D553)="Win",1,IF(INDEX('Match Log'!$D:$D,D553)="Draw",0.5,0)),IF(C553="Tournament",INDEX('Tournament Log'!$K:$K,E553),IF(INDEX('Guest Log'!$C:$C,Q553)="Win",1,IF(INDEX('Guest Log'!$C:$C,Q553)="Draw",0.5,0)))))</f>
        <v/>
      </c>
      <c r="L553" s="12" t="str">
        <f>IF(C553="","",IF(C553="Match",32,IF(C553="Tournament",MIN(32*INDEX('Tournament Log'!$D:$D,E553),96),32)))</f>
        <v/>
      </c>
      <c r="M553" s="12" t="str">
        <f t="shared" si="42"/>
        <v/>
      </c>
      <c r="N553" s="12" t="str">
        <f t="shared" si="43"/>
        <v/>
      </c>
      <c r="O553" s="12" t="str">
        <f t="shared" si="44"/>
        <v/>
      </c>
      <c r="P553" s="12" t="str">
        <f>IF(C553="Tournament",INDEX('Tournament Log'!$B:$B,E553),IF(C553="Guest","Guest: "&amp;INDEX('Guest Log'!$H:$H,Q553),""))</f>
        <v/>
      </c>
      <c r="Q553" t="str">
        <f>IFERROR(MATCH($A553,'Guest Log'!$L$4:$L$203,0)+3,"")</f>
        <v/>
      </c>
    </row>
    <row r="554" spans="1:17" ht="15" customHeight="1" x14ac:dyDescent="0.2">
      <c r="A554" s="37">
        <f>553</f>
        <v>553</v>
      </c>
      <c r="B554" s="37" t="str">
        <f>IF(C554="","",IF(C554="Match",INDEX('Match Log'!$A:$A,D554),IF(C554="Tournament",INDEX('Tournament Log'!$A:$A,E554),INDEX('Guest Log'!$A:$A,Q554))))</f>
        <v/>
      </c>
      <c r="C554" s="37" t="str">
        <f t="shared" si="40"/>
        <v/>
      </c>
      <c r="D554" s="38" t="str">
        <f>IFERROR(MATCH($A554,'Match Log'!$K$3:$K$501,0)+2,"")</f>
        <v/>
      </c>
      <c r="E554" s="38" t="str">
        <f>IFERROR(MATCH($A554,'Tournament Log'!$O$4:$O$203,0)+3,"")</f>
        <v/>
      </c>
      <c r="F554" s="37" t="str">
        <f>IF(C554="","",IF(C554="Match",INDEX('Match Log'!$B:$B,D554),IF(C554="Tournament",INDEX('Tournament Log'!$C:$C,E554),INDEX('Guest Log'!$B:$B,Q554))))</f>
        <v/>
      </c>
      <c r="G554" s="37" t="str">
        <f>IF(C554="","",IF(C554="Match",INDEX('Match Log'!$C:$C,D554),IF(C554="Tournament",INDEX('Tournament Log'!$B:$B,E554)&amp;" (Phantom)",INDEX('Guest Log'!$H:$H,Q554)&amp;" (Guest)")))</f>
        <v/>
      </c>
      <c r="H554" s="37" t="str">
        <f t="array" ref="H554">IF(C554="","",IFERROR(LOOKUP(2,1/(($F$1:F553=F554)+($G$1:G553=F554)),IF($F$1:F553=F554,$N$1:N553,$O$1:O553)),1000))</f>
        <v/>
      </c>
      <c r="I554" s="37" t="str">
        <f t="array" ref="I554">IF(C554="","",IF(C554="Tournament",INDEX('Tournament Log'!$J:$J,E554),IF(C554="Guest",IF(INDEX('Guest Log'!$I:$I,Q554)="",1000,INDEX('Guest Log'!$I:$I,Q554)),IFERROR(LOOKUP(2,1/(($F$1:F553=G554)+($G$1:G553=G554)),IF($F$1:F553=G554,$N$1:N553,$O$1:O553)),1000))))</f>
        <v/>
      </c>
      <c r="J554" s="37" t="str">
        <f t="shared" si="41"/>
        <v/>
      </c>
      <c r="K554" s="12" t="str">
        <f>IF(C554="","",IF(C554="Match",IF(INDEX('Match Log'!$D:$D,D554)="Win",1,IF(INDEX('Match Log'!$D:$D,D554)="Draw",0.5,0)),IF(C554="Tournament",INDEX('Tournament Log'!$K:$K,E554),IF(INDEX('Guest Log'!$C:$C,Q554)="Win",1,IF(INDEX('Guest Log'!$C:$C,Q554)="Draw",0.5,0)))))</f>
        <v/>
      </c>
      <c r="L554" s="12" t="str">
        <f>IF(C554="","",IF(C554="Match",32,IF(C554="Tournament",MIN(32*INDEX('Tournament Log'!$D:$D,E554),96),32)))</f>
        <v/>
      </c>
      <c r="M554" s="12" t="str">
        <f t="shared" si="42"/>
        <v/>
      </c>
      <c r="N554" s="12" t="str">
        <f t="shared" si="43"/>
        <v/>
      </c>
      <c r="O554" s="12" t="str">
        <f t="shared" si="44"/>
        <v/>
      </c>
      <c r="P554" s="12" t="str">
        <f>IF(C554="Tournament",INDEX('Tournament Log'!$B:$B,E554),IF(C554="Guest","Guest: "&amp;INDEX('Guest Log'!$H:$H,Q554),""))</f>
        <v/>
      </c>
      <c r="Q554" t="str">
        <f>IFERROR(MATCH($A554,'Guest Log'!$L$4:$L$203,0)+3,"")</f>
        <v/>
      </c>
    </row>
    <row r="555" spans="1:17" ht="15" customHeight="1" x14ac:dyDescent="0.2">
      <c r="A555" s="22">
        <f>554</f>
        <v>554</v>
      </c>
      <c r="B555" s="22" t="str">
        <f>IF(C555="","",IF(C555="Match",INDEX('Match Log'!$A:$A,D555),IF(C555="Tournament",INDEX('Tournament Log'!$A:$A,E555),INDEX('Guest Log'!$A:$A,Q555))))</f>
        <v/>
      </c>
      <c r="C555" s="22" t="str">
        <f t="shared" si="40"/>
        <v/>
      </c>
      <c r="D555" s="39" t="str">
        <f>IFERROR(MATCH($A555,'Match Log'!$K$3:$K$501,0)+2,"")</f>
        <v/>
      </c>
      <c r="E555" s="39" t="str">
        <f>IFERROR(MATCH($A555,'Tournament Log'!$O$4:$O$203,0)+3,"")</f>
        <v/>
      </c>
      <c r="F555" s="22" t="str">
        <f>IF(C555="","",IF(C555="Match",INDEX('Match Log'!$B:$B,D555),IF(C555="Tournament",INDEX('Tournament Log'!$C:$C,E555),INDEX('Guest Log'!$B:$B,Q555))))</f>
        <v/>
      </c>
      <c r="G555" s="22" t="str">
        <f>IF(C555="","",IF(C555="Match",INDEX('Match Log'!$C:$C,D555),IF(C555="Tournament",INDEX('Tournament Log'!$B:$B,E555)&amp;" (Phantom)",INDEX('Guest Log'!$H:$H,Q555)&amp;" (Guest)")))</f>
        <v/>
      </c>
      <c r="H555" s="22" t="str">
        <f t="array" ref="H555">IF(C555="","",IFERROR(LOOKUP(2,1/(($F$1:F554=F555)+($G$1:G554=F555)),IF($F$1:F554=F555,$N$1:N554,$O$1:O554)),1000))</f>
        <v/>
      </c>
      <c r="I555" s="22" t="str">
        <f t="array" ref="I555">IF(C555="","",IF(C555="Tournament",INDEX('Tournament Log'!$J:$J,E555),IF(C555="Guest",IF(INDEX('Guest Log'!$I:$I,Q555)="",1000,INDEX('Guest Log'!$I:$I,Q555)),IFERROR(LOOKUP(2,1/(($F$1:F554=G555)+($G$1:G554=G555)),IF($F$1:F554=G555,$N$1:N554,$O$1:O554)),1000))))</f>
        <v/>
      </c>
      <c r="J555" s="22" t="str">
        <f t="shared" si="41"/>
        <v/>
      </c>
      <c r="K555" s="12" t="str">
        <f>IF(C555="","",IF(C555="Match",IF(INDEX('Match Log'!$D:$D,D555)="Win",1,IF(INDEX('Match Log'!$D:$D,D555)="Draw",0.5,0)),IF(C555="Tournament",INDEX('Tournament Log'!$K:$K,E555),IF(INDEX('Guest Log'!$C:$C,Q555)="Win",1,IF(INDEX('Guest Log'!$C:$C,Q555)="Draw",0.5,0)))))</f>
        <v/>
      </c>
      <c r="L555" s="12" t="str">
        <f>IF(C555="","",IF(C555="Match",32,IF(C555="Tournament",MIN(32*INDEX('Tournament Log'!$D:$D,E555),96),32)))</f>
        <v/>
      </c>
      <c r="M555" s="12" t="str">
        <f t="shared" si="42"/>
        <v/>
      </c>
      <c r="N555" s="12" t="str">
        <f t="shared" si="43"/>
        <v/>
      </c>
      <c r="O555" s="12" t="str">
        <f t="shared" si="44"/>
        <v/>
      </c>
      <c r="P555" s="12" t="str">
        <f>IF(C555="Tournament",INDEX('Tournament Log'!$B:$B,E555),IF(C555="Guest","Guest: "&amp;INDEX('Guest Log'!$H:$H,Q555),""))</f>
        <v/>
      </c>
      <c r="Q555" t="str">
        <f>IFERROR(MATCH($A555,'Guest Log'!$L$4:$L$203,0)+3,"")</f>
        <v/>
      </c>
    </row>
    <row r="556" spans="1:17" ht="15" customHeight="1" x14ac:dyDescent="0.2">
      <c r="A556" s="37">
        <f>555</f>
        <v>555</v>
      </c>
      <c r="B556" s="37" t="str">
        <f>IF(C556="","",IF(C556="Match",INDEX('Match Log'!$A:$A,D556),IF(C556="Tournament",INDEX('Tournament Log'!$A:$A,E556),INDEX('Guest Log'!$A:$A,Q556))))</f>
        <v/>
      </c>
      <c r="C556" s="37" t="str">
        <f t="shared" si="40"/>
        <v/>
      </c>
      <c r="D556" s="38" t="str">
        <f>IFERROR(MATCH($A556,'Match Log'!$K$3:$K$501,0)+2,"")</f>
        <v/>
      </c>
      <c r="E556" s="38" t="str">
        <f>IFERROR(MATCH($A556,'Tournament Log'!$O$4:$O$203,0)+3,"")</f>
        <v/>
      </c>
      <c r="F556" s="37" t="str">
        <f>IF(C556="","",IF(C556="Match",INDEX('Match Log'!$B:$B,D556),IF(C556="Tournament",INDEX('Tournament Log'!$C:$C,E556),INDEX('Guest Log'!$B:$B,Q556))))</f>
        <v/>
      </c>
      <c r="G556" s="37" t="str">
        <f>IF(C556="","",IF(C556="Match",INDEX('Match Log'!$C:$C,D556),IF(C556="Tournament",INDEX('Tournament Log'!$B:$B,E556)&amp;" (Phantom)",INDEX('Guest Log'!$H:$H,Q556)&amp;" (Guest)")))</f>
        <v/>
      </c>
      <c r="H556" s="37" t="str">
        <f t="array" ref="H556">IF(C556="","",IFERROR(LOOKUP(2,1/(($F$1:F555=F556)+($G$1:G555=F556)),IF($F$1:F555=F556,$N$1:N555,$O$1:O555)),1000))</f>
        <v/>
      </c>
      <c r="I556" s="37" t="str">
        <f t="array" ref="I556">IF(C556="","",IF(C556="Tournament",INDEX('Tournament Log'!$J:$J,E556),IF(C556="Guest",IF(INDEX('Guest Log'!$I:$I,Q556)="",1000,INDEX('Guest Log'!$I:$I,Q556)),IFERROR(LOOKUP(2,1/(($F$1:F555=G556)+($G$1:G555=G556)),IF($F$1:F555=G556,$N$1:N555,$O$1:O555)),1000))))</f>
        <v/>
      </c>
      <c r="J556" s="37" t="str">
        <f t="shared" si="41"/>
        <v/>
      </c>
      <c r="K556" s="12" t="str">
        <f>IF(C556="","",IF(C556="Match",IF(INDEX('Match Log'!$D:$D,D556)="Win",1,IF(INDEX('Match Log'!$D:$D,D556)="Draw",0.5,0)),IF(C556="Tournament",INDEX('Tournament Log'!$K:$K,E556),IF(INDEX('Guest Log'!$C:$C,Q556)="Win",1,IF(INDEX('Guest Log'!$C:$C,Q556)="Draw",0.5,0)))))</f>
        <v/>
      </c>
      <c r="L556" s="12" t="str">
        <f>IF(C556="","",IF(C556="Match",32,IF(C556="Tournament",MIN(32*INDEX('Tournament Log'!$D:$D,E556),96),32)))</f>
        <v/>
      </c>
      <c r="M556" s="12" t="str">
        <f t="shared" si="42"/>
        <v/>
      </c>
      <c r="N556" s="12" t="str">
        <f t="shared" si="43"/>
        <v/>
      </c>
      <c r="O556" s="12" t="str">
        <f t="shared" si="44"/>
        <v/>
      </c>
      <c r="P556" s="12" t="str">
        <f>IF(C556="Tournament",INDEX('Tournament Log'!$B:$B,E556),IF(C556="Guest","Guest: "&amp;INDEX('Guest Log'!$H:$H,Q556),""))</f>
        <v/>
      </c>
      <c r="Q556" t="str">
        <f>IFERROR(MATCH($A556,'Guest Log'!$L$4:$L$203,0)+3,"")</f>
        <v/>
      </c>
    </row>
    <row r="557" spans="1:17" ht="15" customHeight="1" x14ac:dyDescent="0.2">
      <c r="A557" s="22">
        <f>556</f>
        <v>556</v>
      </c>
      <c r="B557" s="22" t="str">
        <f>IF(C557="","",IF(C557="Match",INDEX('Match Log'!$A:$A,D557),IF(C557="Tournament",INDEX('Tournament Log'!$A:$A,E557),INDEX('Guest Log'!$A:$A,Q557))))</f>
        <v/>
      </c>
      <c r="C557" s="22" t="str">
        <f t="shared" si="40"/>
        <v/>
      </c>
      <c r="D557" s="39" t="str">
        <f>IFERROR(MATCH($A557,'Match Log'!$K$3:$K$501,0)+2,"")</f>
        <v/>
      </c>
      <c r="E557" s="39" t="str">
        <f>IFERROR(MATCH($A557,'Tournament Log'!$O$4:$O$203,0)+3,"")</f>
        <v/>
      </c>
      <c r="F557" s="22" t="str">
        <f>IF(C557="","",IF(C557="Match",INDEX('Match Log'!$B:$B,D557),IF(C557="Tournament",INDEX('Tournament Log'!$C:$C,E557),INDEX('Guest Log'!$B:$B,Q557))))</f>
        <v/>
      </c>
      <c r="G557" s="22" t="str">
        <f>IF(C557="","",IF(C557="Match",INDEX('Match Log'!$C:$C,D557),IF(C557="Tournament",INDEX('Tournament Log'!$B:$B,E557)&amp;" (Phantom)",INDEX('Guest Log'!$H:$H,Q557)&amp;" (Guest)")))</f>
        <v/>
      </c>
      <c r="H557" s="22" t="str">
        <f t="array" ref="H557">IF(C557="","",IFERROR(LOOKUP(2,1/(($F$1:F556=F557)+($G$1:G556=F557)),IF($F$1:F556=F557,$N$1:N556,$O$1:O556)),1000))</f>
        <v/>
      </c>
      <c r="I557" s="22" t="str">
        <f t="array" ref="I557">IF(C557="","",IF(C557="Tournament",INDEX('Tournament Log'!$J:$J,E557),IF(C557="Guest",IF(INDEX('Guest Log'!$I:$I,Q557)="",1000,INDEX('Guest Log'!$I:$I,Q557)),IFERROR(LOOKUP(2,1/(($F$1:F556=G557)+($G$1:G556=G557)),IF($F$1:F556=G557,$N$1:N556,$O$1:O556)),1000))))</f>
        <v/>
      </c>
      <c r="J557" s="22" t="str">
        <f t="shared" si="41"/>
        <v/>
      </c>
      <c r="K557" s="12" t="str">
        <f>IF(C557="","",IF(C557="Match",IF(INDEX('Match Log'!$D:$D,D557)="Win",1,IF(INDEX('Match Log'!$D:$D,D557)="Draw",0.5,0)),IF(C557="Tournament",INDEX('Tournament Log'!$K:$K,E557),IF(INDEX('Guest Log'!$C:$C,Q557)="Win",1,IF(INDEX('Guest Log'!$C:$C,Q557)="Draw",0.5,0)))))</f>
        <v/>
      </c>
      <c r="L557" s="12" t="str">
        <f>IF(C557="","",IF(C557="Match",32,IF(C557="Tournament",MIN(32*INDEX('Tournament Log'!$D:$D,E557),96),32)))</f>
        <v/>
      </c>
      <c r="M557" s="12" t="str">
        <f t="shared" si="42"/>
        <v/>
      </c>
      <c r="N557" s="12" t="str">
        <f t="shared" si="43"/>
        <v/>
      </c>
      <c r="O557" s="12" t="str">
        <f t="shared" si="44"/>
        <v/>
      </c>
      <c r="P557" s="12" t="str">
        <f>IF(C557="Tournament",INDEX('Tournament Log'!$B:$B,E557),IF(C557="Guest","Guest: "&amp;INDEX('Guest Log'!$H:$H,Q557),""))</f>
        <v/>
      </c>
      <c r="Q557" t="str">
        <f>IFERROR(MATCH($A557,'Guest Log'!$L$4:$L$203,0)+3,"")</f>
        <v/>
      </c>
    </row>
    <row r="558" spans="1:17" ht="15" customHeight="1" x14ac:dyDescent="0.2">
      <c r="A558" s="37">
        <f>557</f>
        <v>557</v>
      </c>
      <c r="B558" s="37" t="str">
        <f>IF(C558="","",IF(C558="Match",INDEX('Match Log'!$A:$A,D558),IF(C558="Tournament",INDEX('Tournament Log'!$A:$A,E558),INDEX('Guest Log'!$A:$A,Q558))))</f>
        <v/>
      </c>
      <c r="C558" s="37" t="str">
        <f t="shared" si="40"/>
        <v/>
      </c>
      <c r="D558" s="38" t="str">
        <f>IFERROR(MATCH($A558,'Match Log'!$K$3:$K$501,0)+2,"")</f>
        <v/>
      </c>
      <c r="E558" s="38" t="str">
        <f>IFERROR(MATCH($A558,'Tournament Log'!$O$4:$O$203,0)+3,"")</f>
        <v/>
      </c>
      <c r="F558" s="37" t="str">
        <f>IF(C558="","",IF(C558="Match",INDEX('Match Log'!$B:$B,D558),IF(C558="Tournament",INDEX('Tournament Log'!$C:$C,E558),INDEX('Guest Log'!$B:$B,Q558))))</f>
        <v/>
      </c>
      <c r="G558" s="37" t="str">
        <f>IF(C558="","",IF(C558="Match",INDEX('Match Log'!$C:$C,D558),IF(C558="Tournament",INDEX('Tournament Log'!$B:$B,E558)&amp;" (Phantom)",INDEX('Guest Log'!$H:$H,Q558)&amp;" (Guest)")))</f>
        <v/>
      </c>
      <c r="H558" s="37" t="str">
        <f t="array" ref="H558">IF(C558="","",IFERROR(LOOKUP(2,1/(($F$1:F557=F558)+($G$1:G557=F558)),IF($F$1:F557=F558,$N$1:N557,$O$1:O557)),1000))</f>
        <v/>
      </c>
      <c r="I558" s="37" t="str">
        <f t="array" ref="I558">IF(C558="","",IF(C558="Tournament",INDEX('Tournament Log'!$J:$J,E558),IF(C558="Guest",IF(INDEX('Guest Log'!$I:$I,Q558)="",1000,INDEX('Guest Log'!$I:$I,Q558)),IFERROR(LOOKUP(2,1/(($F$1:F557=G558)+($G$1:G557=G558)),IF($F$1:F557=G558,$N$1:N557,$O$1:O557)),1000))))</f>
        <v/>
      </c>
      <c r="J558" s="37" t="str">
        <f t="shared" si="41"/>
        <v/>
      </c>
      <c r="K558" s="12" t="str">
        <f>IF(C558="","",IF(C558="Match",IF(INDEX('Match Log'!$D:$D,D558)="Win",1,IF(INDEX('Match Log'!$D:$D,D558)="Draw",0.5,0)),IF(C558="Tournament",INDEX('Tournament Log'!$K:$K,E558),IF(INDEX('Guest Log'!$C:$C,Q558)="Win",1,IF(INDEX('Guest Log'!$C:$C,Q558)="Draw",0.5,0)))))</f>
        <v/>
      </c>
      <c r="L558" s="12" t="str">
        <f>IF(C558="","",IF(C558="Match",32,IF(C558="Tournament",MIN(32*INDEX('Tournament Log'!$D:$D,E558),96),32)))</f>
        <v/>
      </c>
      <c r="M558" s="12" t="str">
        <f t="shared" si="42"/>
        <v/>
      </c>
      <c r="N558" s="12" t="str">
        <f t="shared" si="43"/>
        <v/>
      </c>
      <c r="O558" s="12" t="str">
        <f t="shared" si="44"/>
        <v/>
      </c>
      <c r="P558" s="12" t="str">
        <f>IF(C558="Tournament",INDEX('Tournament Log'!$B:$B,E558),IF(C558="Guest","Guest: "&amp;INDEX('Guest Log'!$H:$H,Q558),""))</f>
        <v/>
      </c>
      <c r="Q558" t="str">
        <f>IFERROR(MATCH($A558,'Guest Log'!$L$4:$L$203,0)+3,"")</f>
        <v/>
      </c>
    </row>
    <row r="559" spans="1:17" ht="15" customHeight="1" x14ac:dyDescent="0.2">
      <c r="A559" s="22">
        <f>558</f>
        <v>558</v>
      </c>
      <c r="B559" s="22" t="str">
        <f>IF(C559="","",IF(C559="Match",INDEX('Match Log'!$A:$A,D559),IF(C559="Tournament",INDEX('Tournament Log'!$A:$A,E559),INDEX('Guest Log'!$A:$A,Q559))))</f>
        <v/>
      </c>
      <c r="C559" s="22" t="str">
        <f t="shared" si="40"/>
        <v/>
      </c>
      <c r="D559" s="39" t="str">
        <f>IFERROR(MATCH($A559,'Match Log'!$K$3:$K$501,0)+2,"")</f>
        <v/>
      </c>
      <c r="E559" s="39" t="str">
        <f>IFERROR(MATCH($A559,'Tournament Log'!$O$4:$O$203,0)+3,"")</f>
        <v/>
      </c>
      <c r="F559" s="22" t="str">
        <f>IF(C559="","",IF(C559="Match",INDEX('Match Log'!$B:$B,D559),IF(C559="Tournament",INDEX('Tournament Log'!$C:$C,E559),INDEX('Guest Log'!$B:$B,Q559))))</f>
        <v/>
      </c>
      <c r="G559" s="22" t="str">
        <f>IF(C559="","",IF(C559="Match",INDEX('Match Log'!$C:$C,D559),IF(C559="Tournament",INDEX('Tournament Log'!$B:$B,E559)&amp;" (Phantom)",INDEX('Guest Log'!$H:$H,Q559)&amp;" (Guest)")))</f>
        <v/>
      </c>
      <c r="H559" s="22" t="str">
        <f t="array" ref="H559">IF(C559="","",IFERROR(LOOKUP(2,1/(($F$1:F558=F559)+($G$1:G558=F559)),IF($F$1:F558=F559,$N$1:N558,$O$1:O558)),1000))</f>
        <v/>
      </c>
      <c r="I559" s="22" t="str">
        <f t="array" ref="I559">IF(C559="","",IF(C559="Tournament",INDEX('Tournament Log'!$J:$J,E559),IF(C559="Guest",IF(INDEX('Guest Log'!$I:$I,Q559)="",1000,INDEX('Guest Log'!$I:$I,Q559)),IFERROR(LOOKUP(2,1/(($F$1:F558=G559)+($G$1:G558=G559)),IF($F$1:F558=G559,$N$1:N558,$O$1:O558)),1000))))</f>
        <v/>
      </c>
      <c r="J559" s="22" t="str">
        <f t="shared" si="41"/>
        <v/>
      </c>
      <c r="K559" s="12" t="str">
        <f>IF(C559="","",IF(C559="Match",IF(INDEX('Match Log'!$D:$D,D559)="Win",1,IF(INDEX('Match Log'!$D:$D,D559)="Draw",0.5,0)),IF(C559="Tournament",INDEX('Tournament Log'!$K:$K,E559),IF(INDEX('Guest Log'!$C:$C,Q559)="Win",1,IF(INDEX('Guest Log'!$C:$C,Q559)="Draw",0.5,0)))))</f>
        <v/>
      </c>
      <c r="L559" s="12" t="str">
        <f>IF(C559="","",IF(C559="Match",32,IF(C559="Tournament",MIN(32*INDEX('Tournament Log'!$D:$D,E559),96),32)))</f>
        <v/>
      </c>
      <c r="M559" s="12" t="str">
        <f t="shared" si="42"/>
        <v/>
      </c>
      <c r="N559" s="12" t="str">
        <f t="shared" si="43"/>
        <v/>
      </c>
      <c r="O559" s="12" t="str">
        <f t="shared" si="44"/>
        <v/>
      </c>
      <c r="P559" s="12" t="str">
        <f>IF(C559="Tournament",INDEX('Tournament Log'!$B:$B,E559),IF(C559="Guest","Guest: "&amp;INDEX('Guest Log'!$H:$H,Q559),""))</f>
        <v/>
      </c>
      <c r="Q559" t="str">
        <f>IFERROR(MATCH($A559,'Guest Log'!$L$4:$L$203,0)+3,"")</f>
        <v/>
      </c>
    </row>
    <row r="560" spans="1:17" ht="15" customHeight="1" x14ac:dyDescent="0.2">
      <c r="A560" s="37">
        <f>559</f>
        <v>559</v>
      </c>
      <c r="B560" s="37" t="str">
        <f>IF(C560="","",IF(C560="Match",INDEX('Match Log'!$A:$A,D560),IF(C560="Tournament",INDEX('Tournament Log'!$A:$A,E560),INDEX('Guest Log'!$A:$A,Q560))))</f>
        <v/>
      </c>
      <c r="C560" s="37" t="str">
        <f t="shared" si="40"/>
        <v/>
      </c>
      <c r="D560" s="38" t="str">
        <f>IFERROR(MATCH($A560,'Match Log'!$K$3:$K$501,0)+2,"")</f>
        <v/>
      </c>
      <c r="E560" s="38" t="str">
        <f>IFERROR(MATCH($A560,'Tournament Log'!$O$4:$O$203,0)+3,"")</f>
        <v/>
      </c>
      <c r="F560" s="37" t="str">
        <f>IF(C560="","",IF(C560="Match",INDEX('Match Log'!$B:$B,D560),IF(C560="Tournament",INDEX('Tournament Log'!$C:$C,E560),INDEX('Guest Log'!$B:$B,Q560))))</f>
        <v/>
      </c>
      <c r="G560" s="37" t="str">
        <f>IF(C560="","",IF(C560="Match",INDEX('Match Log'!$C:$C,D560),IF(C560="Tournament",INDEX('Tournament Log'!$B:$B,E560)&amp;" (Phantom)",INDEX('Guest Log'!$H:$H,Q560)&amp;" (Guest)")))</f>
        <v/>
      </c>
      <c r="H560" s="37" t="str">
        <f t="array" ref="H560">IF(C560="","",IFERROR(LOOKUP(2,1/(($F$1:F559=F560)+($G$1:G559=F560)),IF($F$1:F559=F560,$N$1:N559,$O$1:O559)),1000))</f>
        <v/>
      </c>
      <c r="I560" s="37" t="str">
        <f t="array" ref="I560">IF(C560="","",IF(C560="Tournament",INDEX('Tournament Log'!$J:$J,E560),IF(C560="Guest",IF(INDEX('Guest Log'!$I:$I,Q560)="",1000,INDEX('Guest Log'!$I:$I,Q560)),IFERROR(LOOKUP(2,1/(($F$1:F559=G560)+($G$1:G559=G560)),IF($F$1:F559=G560,$N$1:N559,$O$1:O559)),1000))))</f>
        <v/>
      </c>
      <c r="J560" s="37" t="str">
        <f t="shared" si="41"/>
        <v/>
      </c>
      <c r="K560" s="12" t="str">
        <f>IF(C560="","",IF(C560="Match",IF(INDEX('Match Log'!$D:$D,D560)="Win",1,IF(INDEX('Match Log'!$D:$D,D560)="Draw",0.5,0)),IF(C560="Tournament",INDEX('Tournament Log'!$K:$K,E560),IF(INDEX('Guest Log'!$C:$C,Q560)="Win",1,IF(INDEX('Guest Log'!$C:$C,Q560)="Draw",0.5,0)))))</f>
        <v/>
      </c>
      <c r="L560" s="12" t="str">
        <f>IF(C560="","",IF(C560="Match",32,IF(C560="Tournament",MIN(32*INDEX('Tournament Log'!$D:$D,E560),96),32)))</f>
        <v/>
      </c>
      <c r="M560" s="12" t="str">
        <f t="shared" si="42"/>
        <v/>
      </c>
      <c r="N560" s="12" t="str">
        <f t="shared" si="43"/>
        <v/>
      </c>
      <c r="O560" s="12" t="str">
        <f t="shared" si="44"/>
        <v/>
      </c>
      <c r="P560" s="12" t="str">
        <f>IF(C560="Tournament",INDEX('Tournament Log'!$B:$B,E560),IF(C560="Guest","Guest: "&amp;INDEX('Guest Log'!$H:$H,Q560),""))</f>
        <v/>
      </c>
      <c r="Q560" t="str">
        <f>IFERROR(MATCH($A560,'Guest Log'!$L$4:$L$203,0)+3,"")</f>
        <v/>
      </c>
    </row>
    <row r="561" spans="1:17" ht="15" customHeight="1" x14ac:dyDescent="0.2">
      <c r="A561" s="22">
        <f>560</f>
        <v>560</v>
      </c>
      <c r="B561" s="22" t="str">
        <f>IF(C561="","",IF(C561="Match",INDEX('Match Log'!$A:$A,D561),IF(C561="Tournament",INDEX('Tournament Log'!$A:$A,E561),INDEX('Guest Log'!$A:$A,Q561))))</f>
        <v/>
      </c>
      <c r="C561" s="22" t="str">
        <f t="shared" si="40"/>
        <v/>
      </c>
      <c r="D561" s="39" t="str">
        <f>IFERROR(MATCH($A561,'Match Log'!$K$3:$K$501,0)+2,"")</f>
        <v/>
      </c>
      <c r="E561" s="39" t="str">
        <f>IFERROR(MATCH($A561,'Tournament Log'!$O$4:$O$203,0)+3,"")</f>
        <v/>
      </c>
      <c r="F561" s="22" t="str">
        <f>IF(C561="","",IF(C561="Match",INDEX('Match Log'!$B:$B,D561),IF(C561="Tournament",INDEX('Tournament Log'!$C:$C,E561),INDEX('Guest Log'!$B:$B,Q561))))</f>
        <v/>
      </c>
      <c r="G561" s="22" t="str">
        <f>IF(C561="","",IF(C561="Match",INDEX('Match Log'!$C:$C,D561),IF(C561="Tournament",INDEX('Tournament Log'!$B:$B,E561)&amp;" (Phantom)",INDEX('Guest Log'!$H:$H,Q561)&amp;" (Guest)")))</f>
        <v/>
      </c>
      <c r="H561" s="22" t="str">
        <f t="array" ref="H561">IF(C561="","",IFERROR(LOOKUP(2,1/(($F$1:F560=F561)+($G$1:G560=F561)),IF($F$1:F560=F561,$N$1:N560,$O$1:O560)),1000))</f>
        <v/>
      </c>
      <c r="I561" s="22" t="str">
        <f t="array" ref="I561">IF(C561="","",IF(C561="Tournament",INDEX('Tournament Log'!$J:$J,E561),IF(C561="Guest",IF(INDEX('Guest Log'!$I:$I,Q561)="",1000,INDEX('Guest Log'!$I:$I,Q561)),IFERROR(LOOKUP(2,1/(($F$1:F560=G561)+($G$1:G560=G561)),IF($F$1:F560=G561,$N$1:N560,$O$1:O560)),1000))))</f>
        <v/>
      </c>
      <c r="J561" s="22" t="str">
        <f t="shared" si="41"/>
        <v/>
      </c>
      <c r="K561" s="12" t="str">
        <f>IF(C561="","",IF(C561="Match",IF(INDEX('Match Log'!$D:$D,D561)="Win",1,IF(INDEX('Match Log'!$D:$D,D561)="Draw",0.5,0)),IF(C561="Tournament",INDEX('Tournament Log'!$K:$K,E561),IF(INDEX('Guest Log'!$C:$C,Q561)="Win",1,IF(INDEX('Guest Log'!$C:$C,Q561)="Draw",0.5,0)))))</f>
        <v/>
      </c>
      <c r="L561" s="12" t="str">
        <f>IF(C561="","",IF(C561="Match",32,IF(C561="Tournament",MIN(32*INDEX('Tournament Log'!$D:$D,E561),96),32)))</f>
        <v/>
      </c>
      <c r="M561" s="12" t="str">
        <f t="shared" si="42"/>
        <v/>
      </c>
      <c r="N561" s="12" t="str">
        <f t="shared" si="43"/>
        <v/>
      </c>
      <c r="O561" s="12" t="str">
        <f t="shared" si="44"/>
        <v/>
      </c>
      <c r="P561" s="12" t="str">
        <f>IF(C561="Tournament",INDEX('Tournament Log'!$B:$B,E561),IF(C561="Guest","Guest: "&amp;INDEX('Guest Log'!$H:$H,Q561),""))</f>
        <v/>
      </c>
      <c r="Q561" t="str">
        <f>IFERROR(MATCH($A561,'Guest Log'!$L$4:$L$203,0)+3,"")</f>
        <v/>
      </c>
    </row>
    <row r="562" spans="1:17" ht="15" customHeight="1" x14ac:dyDescent="0.2">
      <c r="A562" s="37">
        <f>561</f>
        <v>561</v>
      </c>
      <c r="B562" s="37" t="str">
        <f>IF(C562="","",IF(C562="Match",INDEX('Match Log'!$A:$A,D562),IF(C562="Tournament",INDEX('Tournament Log'!$A:$A,E562),INDEX('Guest Log'!$A:$A,Q562))))</f>
        <v/>
      </c>
      <c r="C562" s="37" t="str">
        <f t="shared" si="40"/>
        <v/>
      </c>
      <c r="D562" s="38" t="str">
        <f>IFERROR(MATCH($A562,'Match Log'!$K$3:$K$501,0)+2,"")</f>
        <v/>
      </c>
      <c r="E562" s="38" t="str">
        <f>IFERROR(MATCH($A562,'Tournament Log'!$O$4:$O$203,0)+3,"")</f>
        <v/>
      </c>
      <c r="F562" s="37" t="str">
        <f>IF(C562="","",IF(C562="Match",INDEX('Match Log'!$B:$B,D562),IF(C562="Tournament",INDEX('Tournament Log'!$C:$C,E562),INDEX('Guest Log'!$B:$B,Q562))))</f>
        <v/>
      </c>
      <c r="G562" s="37" t="str">
        <f>IF(C562="","",IF(C562="Match",INDEX('Match Log'!$C:$C,D562),IF(C562="Tournament",INDEX('Tournament Log'!$B:$B,E562)&amp;" (Phantom)",INDEX('Guest Log'!$H:$H,Q562)&amp;" (Guest)")))</f>
        <v/>
      </c>
      <c r="H562" s="37" t="str">
        <f t="array" ref="H562">IF(C562="","",IFERROR(LOOKUP(2,1/(($F$1:F561=F562)+($G$1:G561=F562)),IF($F$1:F561=F562,$N$1:N561,$O$1:O561)),1000))</f>
        <v/>
      </c>
      <c r="I562" s="37" t="str">
        <f t="array" ref="I562">IF(C562="","",IF(C562="Tournament",INDEX('Tournament Log'!$J:$J,E562),IF(C562="Guest",IF(INDEX('Guest Log'!$I:$I,Q562)="",1000,INDEX('Guest Log'!$I:$I,Q562)),IFERROR(LOOKUP(2,1/(($F$1:F561=G562)+($G$1:G561=G562)),IF($F$1:F561=G562,$N$1:N561,$O$1:O561)),1000))))</f>
        <v/>
      </c>
      <c r="J562" s="37" t="str">
        <f t="shared" si="41"/>
        <v/>
      </c>
      <c r="K562" s="12" t="str">
        <f>IF(C562="","",IF(C562="Match",IF(INDEX('Match Log'!$D:$D,D562)="Win",1,IF(INDEX('Match Log'!$D:$D,D562)="Draw",0.5,0)),IF(C562="Tournament",INDEX('Tournament Log'!$K:$K,E562),IF(INDEX('Guest Log'!$C:$C,Q562)="Win",1,IF(INDEX('Guest Log'!$C:$C,Q562)="Draw",0.5,0)))))</f>
        <v/>
      </c>
      <c r="L562" s="12" t="str">
        <f>IF(C562="","",IF(C562="Match",32,IF(C562="Tournament",MIN(32*INDEX('Tournament Log'!$D:$D,E562),96),32)))</f>
        <v/>
      </c>
      <c r="M562" s="12" t="str">
        <f t="shared" si="42"/>
        <v/>
      </c>
      <c r="N562" s="12" t="str">
        <f t="shared" si="43"/>
        <v/>
      </c>
      <c r="O562" s="12" t="str">
        <f t="shared" si="44"/>
        <v/>
      </c>
      <c r="P562" s="12" t="str">
        <f>IF(C562="Tournament",INDEX('Tournament Log'!$B:$B,E562),IF(C562="Guest","Guest: "&amp;INDEX('Guest Log'!$H:$H,Q562),""))</f>
        <v/>
      </c>
      <c r="Q562" t="str">
        <f>IFERROR(MATCH($A562,'Guest Log'!$L$4:$L$203,0)+3,"")</f>
        <v/>
      </c>
    </row>
    <row r="563" spans="1:17" ht="15" customHeight="1" x14ac:dyDescent="0.2">
      <c r="A563" s="22">
        <f>562</f>
        <v>562</v>
      </c>
      <c r="B563" s="22" t="str">
        <f>IF(C563="","",IF(C563="Match",INDEX('Match Log'!$A:$A,D563),IF(C563="Tournament",INDEX('Tournament Log'!$A:$A,E563),INDEX('Guest Log'!$A:$A,Q563))))</f>
        <v/>
      </c>
      <c r="C563" s="22" t="str">
        <f t="shared" si="40"/>
        <v/>
      </c>
      <c r="D563" s="39" t="str">
        <f>IFERROR(MATCH($A563,'Match Log'!$K$3:$K$501,0)+2,"")</f>
        <v/>
      </c>
      <c r="E563" s="39" t="str">
        <f>IFERROR(MATCH($A563,'Tournament Log'!$O$4:$O$203,0)+3,"")</f>
        <v/>
      </c>
      <c r="F563" s="22" t="str">
        <f>IF(C563="","",IF(C563="Match",INDEX('Match Log'!$B:$B,D563),IF(C563="Tournament",INDEX('Tournament Log'!$C:$C,E563),INDEX('Guest Log'!$B:$B,Q563))))</f>
        <v/>
      </c>
      <c r="G563" s="22" t="str">
        <f>IF(C563="","",IF(C563="Match",INDEX('Match Log'!$C:$C,D563),IF(C563="Tournament",INDEX('Tournament Log'!$B:$B,E563)&amp;" (Phantom)",INDEX('Guest Log'!$H:$H,Q563)&amp;" (Guest)")))</f>
        <v/>
      </c>
      <c r="H563" s="22" t="str">
        <f t="array" ref="H563">IF(C563="","",IFERROR(LOOKUP(2,1/(($F$1:F562=F563)+($G$1:G562=F563)),IF($F$1:F562=F563,$N$1:N562,$O$1:O562)),1000))</f>
        <v/>
      </c>
      <c r="I563" s="22" t="str">
        <f t="array" ref="I563">IF(C563="","",IF(C563="Tournament",INDEX('Tournament Log'!$J:$J,E563),IF(C563="Guest",IF(INDEX('Guest Log'!$I:$I,Q563)="",1000,INDEX('Guest Log'!$I:$I,Q563)),IFERROR(LOOKUP(2,1/(($F$1:F562=G563)+($G$1:G562=G563)),IF($F$1:F562=G563,$N$1:N562,$O$1:O562)),1000))))</f>
        <v/>
      </c>
      <c r="J563" s="22" t="str">
        <f t="shared" si="41"/>
        <v/>
      </c>
      <c r="K563" s="12" t="str">
        <f>IF(C563="","",IF(C563="Match",IF(INDEX('Match Log'!$D:$D,D563)="Win",1,IF(INDEX('Match Log'!$D:$D,D563)="Draw",0.5,0)),IF(C563="Tournament",INDEX('Tournament Log'!$K:$K,E563),IF(INDEX('Guest Log'!$C:$C,Q563)="Win",1,IF(INDEX('Guest Log'!$C:$C,Q563)="Draw",0.5,0)))))</f>
        <v/>
      </c>
      <c r="L563" s="12" t="str">
        <f>IF(C563="","",IF(C563="Match",32,IF(C563="Tournament",MIN(32*INDEX('Tournament Log'!$D:$D,E563),96),32)))</f>
        <v/>
      </c>
      <c r="M563" s="12" t="str">
        <f t="shared" si="42"/>
        <v/>
      </c>
      <c r="N563" s="12" t="str">
        <f t="shared" si="43"/>
        <v/>
      </c>
      <c r="O563" s="12" t="str">
        <f t="shared" si="44"/>
        <v/>
      </c>
      <c r="P563" s="12" t="str">
        <f>IF(C563="Tournament",INDEX('Tournament Log'!$B:$B,E563),IF(C563="Guest","Guest: "&amp;INDEX('Guest Log'!$H:$H,Q563),""))</f>
        <v/>
      </c>
      <c r="Q563" t="str">
        <f>IFERROR(MATCH($A563,'Guest Log'!$L$4:$L$203,0)+3,"")</f>
        <v/>
      </c>
    </row>
    <row r="564" spans="1:17" ht="15" customHeight="1" x14ac:dyDescent="0.2">
      <c r="A564" s="37">
        <f>563</f>
        <v>563</v>
      </c>
      <c r="B564" s="37" t="str">
        <f>IF(C564="","",IF(C564="Match",INDEX('Match Log'!$A:$A,D564),IF(C564="Tournament",INDEX('Tournament Log'!$A:$A,E564),INDEX('Guest Log'!$A:$A,Q564))))</f>
        <v/>
      </c>
      <c r="C564" s="37" t="str">
        <f t="shared" si="40"/>
        <v/>
      </c>
      <c r="D564" s="38" t="str">
        <f>IFERROR(MATCH($A564,'Match Log'!$K$3:$K$501,0)+2,"")</f>
        <v/>
      </c>
      <c r="E564" s="38" t="str">
        <f>IFERROR(MATCH($A564,'Tournament Log'!$O$4:$O$203,0)+3,"")</f>
        <v/>
      </c>
      <c r="F564" s="37" t="str">
        <f>IF(C564="","",IF(C564="Match",INDEX('Match Log'!$B:$B,D564),IF(C564="Tournament",INDEX('Tournament Log'!$C:$C,E564),INDEX('Guest Log'!$B:$B,Q564))))</f>
        <v/>
      </c>
      <c r="G564" s="37" t="str">
        <f>IF(C564="","",IF(C564="Match",INDEX('Match Log'!$C:$C,D564),IF(C564="Tournament",INDEX('Tournament Log'!$B:$B,E564)&amp;" (Phantom)",INDEX('Guest Log'!$H:$H,Q564)&amp;" (Guest)")))</f>
        <v/>
      </c>
      <c r="H564" s="37" t="str">
        <f t="array" ref="H564">IF(C564="","",IFERROR(LOOKUP(2,1/(($F$1:F563=F564)+($G$1:G563=F564)),IF($F$1:F563=F564,$N$1:N563,$O$1:O563)),1000))</f>
        <v/>
      </c>
      <c r="I564" s="37" t="str">
        <f t="array" ref="I564">IF(C564="","",IF(C564="Tournament",INDEX('Tournament Log'!$J:$J,E564),IF(C564="Guest",IF(INDEX('Guest Log'!$I:$I,Q564)="",1000,INDEX('Guest Log'!$I:$I,Q564)),IFERROR(LOOKUP(2,1/(($F$1:F563=G564)+($G$1:G563=G564)),IF($F$1:F563=G564,$N$1:N563,$O$1:O563)),1000))))</f>
        <v/>
      </c>
      <c r="J564" s="37" t="str">
        <f t="shared" si="41"/>
        <v/>
      </c>
      <c r="K564" s="12" t="str">
        <f>IF(C564="","",IF(C564="Match",IF(INDEX('Match Log'!$D:$D,D564)="Win",1,IF(INDEX('Match Log'!$D:$D,D564)="Draw",0.5,0)),IF(C564="Tournament",INDEX('Tournament Log'!$K:$K,E564),IF(INDEX('Guest Log'!$C:$C,Q564)="Win",1,IF(INDEX('Guest Log'!$C:$C,Q564)="Draw",0.5,0)))))</f>
        <v/>
      </c>
      <c r="L564" s="12" t="str">
        <f>IF(C564="","",IF(C564="Match",32,IF(C564="Tournament",MIN(32*INDEX('Tournament Log'!$D:$D,E564),96),32)))</f>
        <v/>
      </c>
      <c r="M564" s="12" t="str">
        <f t="shared" si="42"/>
        <v/>
      </c>
      <c r="N564" s="12" t="str">
        <f t="shared" si="43"/>
        <v/>
      </c>
      <c r="O564" s="12" t="str">
        <f t="shared" si="44"/>
        <v/>
      </c>
      <c r="P564" s="12" t="str">
        <f>IF(C564="Tournament",INDEX('Tournament Log'!$B:$B,E564),IF(C564="Guest","Guest: "&amp;INDEX('Guest Log'!$H:$H,Q564),""))</f>
        <v/>
      </c>
      <c r="Q564" t="str">
        <f>IFERROR(MATCH($A564,'Guest Log'!$L$4:$L$203,0)+3,"")</f>
        <v/>
      </c>
    </row>
    <row r="565" spans="1:17" ht="15" customHeight="1" x14ac:dyDescent="0.2">
      <c r="A565" s="22">
        <f>564</f>
        <v>564</v>
      </c>
      <c r="B565" s="22" t="str">
        <f>IF(C565="","",IF(C565="Match",INDEX('Match Log'!$A:$A,D565),IF(C565="Tournament",INDEX('Tournament Log'!$A:$A,E565),INDEX('Guest Log'!$A:$A,Q565))))</f>
        <v/>
      </c>
      <c r="C565" s="22" t="str">
        <f t="shared" si="40"/>
        <v/>
      </c>
      <c r="D565" s="39" t="str">
        <f>IFERROR(MATCH($A565,'Match Log'!$K$3:$K$501,0)+2,"")</f>
        <v/>
      </c>
      <c r="E565" s="39" t="str">
        <f>IFERROR(MATCH($A565,'Tournament Log'!$O$4:$O$203,0)+3,"")</f>
        <v/>
      </c>
      <c r="F565" s="22" t="str">
        <f>IF(C565="","",IF(C565="Match",INDEX('Match Log'!$B:$B,D565),IF(C565="Tournament",INDEX('Tournament Log'!$C:$C,E565),INDEX('Guest Log'!$B:$B,Q565))))</f>
        <v/>
      </c>
      <c r="G565" s="22" t="str">
        <f>IF(C565="","",IF(C565="Match",INDEX('Match Log'!$C:$C,D565),IF(C565="Tournament",INDEX('Tournament Log'!$B:$B,E565)&amp;" (Phantom)",INDEX('Guest Log'!$H:$H,Q565)&amp;" (Guest)")))</f>
        <v/>
      </c>
      <c r="H565" s="22" t="str">
        <f t="array" ref="H565">IF(C565="","",IFERROR(LOOKUP(2,1/(($F$1:F564=F565)+($G$1:G564=F565)),IF($F$1:F564=F565,$N$1:N564,$O$1:O564)),1000))</f>
        <v/>
      </c>
      <c r="I565" s="22" t="str">
        <f t="array" ref="I565">IF(C565="","",IF(C565="Tournament",INDEX('Tournament Log'!$J:$J,E565),IF(C565="Guest",IF(INDEX('Guest Log'!$I:$I,Q565)="",1000,INDEX('Guest Log'!$I:$I,Q565)),IFERROR(LOOKUP(2,1/(($F$1:F564=G565)+($G$1:G564=G565)),IF($F$1:F564=G565,$N$1:N564,$O$1:O564)),1000))))</f>
        <v/>
      </c>
      <c r="J565" s="22" t="str">
        <f t="shared" si="41"/>
        <v/>
      </c>
      <c r="K565" s="12" t="str">
        <f>IF(C565="","",IF(C565="Match",IF(INDEX('Match Log'!$D:$D,D565)="Win",1,IF(INDEX('Match Log'!$D:$D,D565)="Draw",0.5,0)),IF(C565="Tournament",INDEX('Tournament Log'!$K:$K,E565),IF(INDEX('Guest Log'!$C:$C,Q565)="Win",1,IF(INDEX('Guest Log'!$C:$C,Q565)="Draw",0.5,0)))))</f>
        <v/>
      </c>
      <c r="L565" s="12" t="str">
        <f>IF(C565="","",IF(C565="Match",32,IF(C565="Tournament",MIN(32*INDEX('Tournament Log'!$D:$D,E565),96),32)))</f>
        <v/>
      </c>
      <c r="M565" s="12" t="str">
        <f t="shared" si="42"/>
        <v/>
      </c>
      <c r="N565" s="12" t="str">
        <f t="shared" si="43"/>
        <v/>
      </c>
      <c r="O565" s="12" t="str">
        <f t="shared" si="44"/>
        <v/>
      </c>
      <c r="P565" s="12" t="str">
        <f>IF(C565="Tournament",INDEX('Tournament Log'!$B:$B,E565),IF(C565="Guest","Guest: "&amp;INDEX('Guest Log'!$H:$H,Q565),""))</f>
        <v/>
      </c>
      <c r="Q565" t="str">
        <f>IFERROR(MATCH($A565,'Guest Log'!$L$4:$L$203,0)+3,"")</f>
        <v/>
      </c>
    </row>
    <row r="566" spans="1:17" ht="15" customHeight="1" x14ac:dyDescent="0.2">
      <c r="A566" s="37">
        <f>565</f>
        <v>565</v>
      </c>
      <c r="B566" s="37" t="str">
        <f>IF(C566="","",IF(C566="Match",INDEX('Match Log'!$A:$A,D566),IF(C566="Tournament",INDEX('Tournament Log'!$A:$A,E566),INDEX('Guest Log'!$A:$A,Q566))))</f>
        <v/>
      </c>
      <c r="C566" s="37" t="str">
        <f t="shared" si="40"/>
        <v/>
      </c>
      <c r="D566" s="38" t="str">
        <f>IFERROR(MATCH($A566,'Match Log'!$K$3:$K$501,0)+2,"")</f>
        <v/>
      </c>
      <c r="E566" s="38" t="str">
        <f>IFERROR(MATCH($A566,'Tournament Log'!$O$4:$O$203,0)+3,"")</f>
        <v/>
      </c>
      <c r="F566" s="37" t="str">
        <f>IF(C566="","",IF(C566="Match",INDEX('Match Log'!$B:$B,D566),IF(C566="Tournament",INDEX('Tournament Log'!$C:$C,E566),INDEX('Guest Log'!$B:$B,Q566))))</f>
        <v/>
      </c>
      <c r="G566" s="37" t="str">
        <f>IF(C566="","",IF(C566="Match",INDEX('Match Log'!$C:$C,D566),IF(C566="Tournament",INDEX('Tournament Log'!$B:$B,E566)&amp;" (Phantom)",INDEX('Guest Log'!$H:$H,Q566)&amp;" (Guest)")))</f>
        <v/>
      </c>
      <c r="H566" s="37" t="str">
        <f t="array" ref="H566">IF(C566="","",IFERROR(LOOKUP(2,1/(($F$1:F565=F566)+($G$1:G565=F566)),IF($F$1:F565=F566,$N$1:N565,$O$1:O565)),1000))</f>
        <v/>
      </c>
      <c r="I566" s="37" t="str">
        <f t="array" ref="I566">IF(C566="","",IF(C566="Tournament",INDEX('Tournament Log'!$J:$J,E566),IF(C566="Guest",IF(INDEX('Guest Log'!$I:$I,Q566)="",1000,INDEX('Guest Log'!$I:$I,Q566)),IFERROR(LOOKUP(2,1/(($F$1:F565=G566)+($G$1:G565=G566)),IF($F$1:F565=G566,$N$1:N565,$O$1:O565)),1000))))</f>
        <v/>
      </c>
      <c r="J566" s="37" t="str">
        <f t="shared" si="41"/>
        <v/>
      </c>
      <c r="K566" s="12" t="str">
        <f>IF(C566="","",IF(C566="Match",IF(INDEX('Match Log'!$D:$D,D566)="Win",1,IF(INDEX('Match Log'!$D:$D,D566)="Draw",0.5,0)),IF(C566="Tournament",INDEX('Tournament Log'!$K:$K,E566),IF(INDEX('Guest Log'!$C:$C,Q566)="Win",1,IF(INDEX('Guest Log'!$C:$C,Q566)="Draw",0.5,0)))))</f>
        <v/>
      </c>
      <c r="L566" s="12" t="str">
        <f>IF(C566="","",IF(C566="Match",32,IF(C566="Tournament",MIN(32*INDEX('Tournament Log'!$D:$D,E566),96),32)))</f>
        <v/>
      </c>
      <c r="M566" s="12" t="str">
        <f t="shared" si="42"/>
        <v/>
      </c>
      <c r="N566" s="12" t="str">
        <f t="shared" si="43"/>
        <v/>
      </c>
      <c r="O566" s="12" t="str">
        <f t="shared" si="44"/>
        <v/>
      </c>
      <c r="P566" s="12" t="str">
        <f>IF(C566="Tournament",INDEX('Tournament Log'!$B:$B,E566),IF(C566="Guest","Guest: "&amp;INDEX('Guest Log'!$H:$H,Q566),""))</f>
        <v/>
      </c>
      <c r="Q566" t="str">
        <f>IFERROR(MATCH($A566,'Guest Log'!$L$4:$L$203,0)+3,"")</f>
        <v/>
      </c>
    </row>
    <row r="567" spans="1:17" ht="15" customHeight="1" x14ac:dyDescent="0.2">
      <c r="A567" s="22">
        <f>566</f>
        <v>566</v>
      </c>
      <c r="B567" s="22" t="str">
        <f>IF(C567="","",IF(C567="Match",INDEX('Match Log'!$A:$A,D567),IF(C567="Tournament",INDEX('Tournament Log'!$A:$A,E567),INDEX('Guest Log'!$A:$A,Q567))))</f>
        <v/>
      </c>
      <c r="C567" s="22" t="str">
        <f t="shared" si="40"/>
        <v/>
      </c>
      <c r="D567" s="39" t="str">
        <f>IFERROR(MATCH($A567,'Match Log'!$K$3:$K$501,0)+2,"")</f>
        <v/>
      </c>
      <c r="E567" s="39" t="str">
        <f>IFERROR(MATCH($A567,'Tournament Log'!$O$4:$O$203,0)+3,"")</f>
        <v/>
      </c>
      <c r="F567" s="22" t="str">
        <f>IF(C567="","",IF(C567="Match",INDEX('Match Log'!$B:$B,D567),IF(C567="Tournament",INDEX('Tournament Log'!$C:$C,E567),INDEX('Guest Log'!$B:$B,Q567))))</f>
        <v/>
      </c>
      <c r="G567" s="22" t="str">
        <f>IF(C567="","",IF(C567="Match",INDEX('Match Log'!$C:$C,D567),IF(C567="Tournament",INDEX('Tournament Log'!$B:$B,E567)&amp;" (Phantom)",INDEX('Guest Log'!$H:$H,Q567)&amp;" (Guest)")))</f>
        <v/>
      </c>
      <c r="H567" s="22" t="str">
        <f t="array" ref="H567">IF(C567="","",IFERROR(LOOKUP(2,1/(($F$1:F566=F567)+($G$1:G566=F567)),IF($F$1:F566=F567,$N$1:N566,$O$1:O566)),1000))</f>
        <v/>
      </c>
      <c r="I567" s="22" t="str">
        <f t="array" ref="I567">IF(C567="","",IF(C567="Tournament",INDEX('Tournament Log'!$J:$J,E567),IF(C567="Guest",IF(INDEX('Guest Log'!$I:$I,Q567)="",1000,INDEX('Guest Log'!$I:$I,Q567)),IFERROR(LOOKUP(2,1/(($F$1:F566=G567)+($G$1:G566=G567)),IF($F$1:F566=G567,$N$1:N566,$O$1:O566)),1000))))</f>
        <v/>
      </c>
      <c r="J567" s="22" t="str">
        <f t="shared" si="41"/>
        <v/>
      </c>
      <c r="K567" s="12" t="str">
        <f>IF(C567="","",IF(C567="Match",IF(INDEX('Match Log'!$D:$D,D567)="Win",1,IF(INDEX('Match Log'!$D:$D,D567)="Draw",0.5,0)),IF(C567="Tournament",INDEX('Tournament Log'!$K:$K,E567),IF(INDEX('Guest Log'!$C:$C,Q567)="Win",1,IF(INDEX('Guest Log'!$C:$C,Q567)="Draw",0.5,0)))))</f>
        <v/>
      </c>
      <c r="L567" s="12" t="str">
        <f>IF(C567="","",IF(C567="Match",32,IF(C567="Tournament",MIN(32*INDEX('Tournament Log'!$D:$D,E567),96),32)))</f>
        <v/>
      </c>
      <c r="M567" s="12" t="str">
        <f t="shared" si="42"/>
        <v/>
      </c>
      <c r="N567" s="12" t="str">
        <f t="shared" si="43"/>
        <v/>
      </c>
      <c r="O567" s="12" t="str">
        <f t="shared" si="44"/>
        <v/>
      </c>
      <c r="P567" s="12" t="str">
        <f>IF(C567="Tournament",INDEX('Tournament Log'!$B:$B,E567),IF(C567="Guest","Guest: "&amp;INDEX('Guest Log'!$H:$H,Q567),""))</f>
        <v/>
      </c>
      <c r="Q567" t="str">
        <f>IFERROR(MATCH($A567,'Guest Log'!$L$4:$L$203,0)+3,"")</f>
        <v/>
      </c>
    </row>
    <row r="568" spans="1:17" ht="15" customHeight="1" x14ac:dyDescent="0.2">
      <c r="A568" s="37">
        <f>567</f>
        <v>567</v>
      </c>
      <c r="B568" s="37" t="str">
        <f>IF(C568="","",IF(C568="Match",INDEX('Match Log'!$A:$A,D568),IF(C568="Tournament",INDEX('Tournament Log'!$A:$A,E568),INDEX('Guest Log'!$A:$A,Q568))))</f>
        <v/>
      </c>
      <c r="C568" s="37" t="str">
        <f t="shared" si="40"/>
        <v/>
      </c>
      <c r="D568" s="38" t="str">
        <f>IFERROR(MATCH($A568,'Match Log'!$K$3:$K$501,0)+2,"")</f>
        <v/>
      </c>
      <c r="E568" s="38" t="str">
        <f>IFERROR(MATCH($A568,'Tournament Log'!$O$4:$O$203,0)+3,"")</f>
        <v/>
      </c>
      <c r="F568" s="37" t="str">
        <f>IF(C568="","",IF(C568="Match",INDEX('Match Log'!$B:$B,D568),IF(C568="Tournament",INDEX('Tournament Log'!$C:$C,E568),INDEX('Guest Log'!$B:$B,Q568))))</f>
        <v/>
      </c>
      <c r="G568" s="37" t="str">
        <f>IF(C568="","",IF(C568="Match",INDEX('Match Log'!$C:$C,D568),IF(C568="Tournament",INDEX('Tournament Log'!$B:$B,E568)&amp;" (Phantom)",INDEX('Guest Log'!$H:$H,Q568)&amp;" (Guest)")))</f>
        <v/>
      </c>
      <c r="H568" s="37" t="str">
        <f t="array" ref="H568">IF(C568="","",IFERROR(LOOKUP(2,1/(($F$1:F567=F568)+($G$1:G567=F568)),IF($F$1:F567=F568,$N$1:N567,$O$1:O567)),1000))</f>
        <v/>
      </c>
      <c r="I568" s="37" t="str">
        <f t="array" ref="I568">IF(C568="","",IF(C568="Tournament",INDEX('Tournament Log'!$J:$J,E568),IF(C568="Guest",IF(INDEX('Guest Log'!$I:$I,Q568)="",1000,INDEX('Guest Log'!$I:$I,Q568)),IFERROR(LOOKUP(2,1/(($F$1:F567=G568)+($G$1:G567=G568)),IF($F$1:F567=G568,$N$1:N567,$O$1:O567)),1000))))</f>
        <v/>
      </c>
      <c r="J568" s="37" t="str">
        <f t="shared" si="41"/>
        <v/>
      </c>
      <c r="K568" s="12" t="str">
        <f>IF(C568="","",IF(C568="Match",IF(INDEX('Match Log'!$D:$D,D568)="Win",1,IF(INDEX('Match Log'!$D:$D,D568)="Draw",0.5,0)),IF(C568="Tournament",INDEX('Tournament Log'!$K:$K,E568),IF(INDEX('Guest Log'!$C:$C,Q568)="Win",1,IF(INDEX('Guest Log'!$C:$C,Q568)="Draw",0.5,0)))))</f>
        <v/>
      </c>
      <c r="L568" s="12" t="str">
        <f>IF(C568="","",IF(C568="Match",32,IF(C568="Tournament",MIN(32*INDEX('Tournament Log'!$D:$D,E568),96),32)))</f>
        <v/>
      </c>
      <c r="M568" s="12" t="str">
        <f t="shared" si="42"/>
        <v/>
      </c>
      <c r="N568" s="12" t="str">
        <f t="shared" si="43"/>
        <v/>
      </c>
      <c r="O568" s="12" t="str">
        <f t="shared" si="44"/>
        <v/>
      </c>
      <c r="P568" s="12" t="str">
        <f>IF(C568="Tournament",INDEX('Tournament Log'!$B:$B,E568),IF(C568="Guest","Guest: "&amp;INDEX('Guest Log'!$H:$H,Q568),""))</f>
        <v/>
      </c>
      <c r="Q568" t="str">
        <f>IFERROR(MATCH($A568,'Guest Log'!$L$4:$L$203,0)+3,"")</f>
        <v/>
      </c>
    </row>
    <row r="569" spans="1:17" ht="15" customHeight="1" x14ac:dyDescent="0.2">
      <c r="A569" s="22">
        <f>568</f>
        <v>568</v>
      </c>
      <c r="B569" s="22" t="str">
        <f>IF(C569="","",IF(C569="Match",INDEX('Match Log'!$A:$A,D569),IF(C569="Tournament",INDEX('Tournament Log'!$A:$A,E569),INDEX('Guest Log'!$A:$A,Q569))))</f>
        <v/>
      </c>
      <c r="C569" s="22" t="str">
        <f t="shared" si="40"/>
        <v/>
      </c>
      <c r="D569" s="39" t="str">
        <f>IFERROR(MATCH($A569,'Match Log'!$K$3:$K$501,0)+2,"")</f>
        <v/>
      </c>
      <c r="E569" s="39" t="str">
        <f>IFERROR(MATCH($A569,'Tournament Log'!$O$4:$O$203,0)+3,"")</f>
        <v/>
      </c>
      <c r="F569" s="22" t="str">
        <f>IF(C569="","",IF(C569="Match",INDEX('Match Log'!$B:$B,D569),IF(C569="Tournament",INDEX('Tournament Log'!$C:$C,E569),INDEX('Guest Log'!$B:$B,Q569))))</f>
        <v/>
      </c>
      <c r="G569" s="22" t="str">
        <f>IF(C569="","",IF(C569="Match",INDEX('Match Log'!$C:$C,D569),IF(C569="Tournament",INDEX('Tournament Log'!$B:$B,E569)&amp;" (Phantom)",INDEX('Guest Log'!$H:$H,Q569)&amp;" (Guest)")))</f>
        <v/>
      </c>
      <c r="H569" s="22" t="str">
        <f t="array" ref="H569">IF(C569="","",IFERROR(LOOKUP(2,1/(($F$1:F568=F569)+($G$1:G568=F569)),IF($F$1:F568=F569,$N$1:N568,$O$1:O568)),1000))</f>
        <v/>
      </c>
      <c r="I569" s="22" t="str">
        <f t="array" ref="I569">IF(C569="","",IF(C569="Tournament",INDEX('Tournament Log'!$J:$J,E569),IF(C569="Guest",IF(INDEX('Guest Log'!$I:$I,Q569)="",1000,INDEX('Guest Log'!$I:$I,Q569)),IFERROR(LOOKUP(2,1/(($F$1:F568=G569)+($G$1:G568=G569)),IF($F$1:F568=G569,$N$1:N568,$O$1:O568)),1000))))</f>
        <v/>
      </c>
      <c r="J569" s="22" t="str">
        <f t="shared" si="41"/>
        <v/>
      </c>
      <c r="K569" s="12" t="str">
        <f>IF(C569="","",IF(C569="Match",IF(INDEX('Match Log'!$D:$D,D569)="Win",1,IF(INDEX('Match Log'!$D:$D,D569)="Draw",0.5,0)),IF(C569="Tournament",INDEX('Tournament Log'!$K:$K,E569),IF(INDEX('Guest Log'!$C:$C,Q569)="Win",1,IF(INDEX('Guest Log'!$C:$C,Q569)="Draw",0.5,0)))))</f>
        <v/>
      </c>
      <c r="L569" s="12" t="str">
        <f>IF(C569="","",IF(C569="Match",32,IF(C569="Tournament",MIN(32*INDEX('Tournament Log'!$D:$D,E569),96),32)))</f>
        <v/>
      </c>
      <c r="M569" s="12" t="str">
        <f t="shared" si="42"/>
        <v/>
      </c>
      <c r="N569" s="12" t="str">
        <f t="shared" si="43"/>
        <v/>
      </c>
      <c r="O569" s="12" t="str">
        <f t="shared" si="44"/>
        <v/>
      </c>
      <c r="P569" s="12" t="str">
        <f>IF(C569="Tournament",INDEX('Tournament Log'!$B:$B,E569),IF(C569="Guest","Guest: "&amp;INDEX('Guest Log'!$H:$H,Q569),""))</f>
        <v/>
      </c>
      <c r="Q569" t="str">
        <f>IFERROR(MATCH($A569,'Guest Log'!$L$4:$L$203,0)+3,"")</f>
        <v/>
      </c>
    </row>
    <row r="570" spans="1:17" ht="15" customHeight="1" x14ac:dyDescent="0.2">
      <c r="A570" s="37">
        <f>569</f>
        <v>569</v>
      </c>
      <c r="B570" s="37" t="str">
        <f>IF(C570="","",IF(C570="Match",INDEX('Match Log'!$A:$A,D570),IF(C570="Tournament",INDEX('Tournament Log'!$A:$A,E570),INDEX('Guest Log'!$A:$A,Q570))))</f>
        <v/>
      </c>
      <c r="C570" s="37" t="str">
        <f t="shared" si="40"/>
        <v/>
      </c>
      <c r="D570" s="38" t="str">
        <f>IFERROR(MATCH($A570,'Match Log'!$K$3:$K$501,0)+2,"")</f>
        <v/>
      </c>
      <c r="E570" s="38" t="str">
        <f>IFERROR(MATCH($A570,'Tournament Log'!$O$4:$O$203,0)+3,"")</f>
        <v/>
      </c>
      <c r="F570" s="37" t="str">
        <f>IF(C570="","",IF(C570="Match",INDEX('Match Log'!$B:$B,D570),IF(C570="Tournament",INDEX('Tournament Log'!$C:$C,E570),INDEX('Guest Log'!$B:$B,Q570))))</f>
        <v/>
      </c>
      <c r="G570" s="37" t="str">
        <f>IF(C570="","",IF(C570="Match",INDEX('Match Log'!$C:$C,D570),IF(C570="Tournament",INDEX('Tournament Log'!$B:$B,E570)&amp;" (Phantom)",INDEX('Guest Log'!$H:$H,Q570)&amp;" (Guest)")))</f>
        <v/>
      </c>
      <c r="H570" s="37" t="str">
        <f t="array" ref="H570">IF(C570="","",IFERROR(LOOKUP(2,1/(($F$1:F569=F570)+($G$1:G569=F570)),IF($F$1:F569=F570,$N$1:N569,$O$1:O569)),1000))</f>
        <v/>
      </c>
      <c r="I570" s="37" t="str">
        <f t="array" ref="I570">IF(C570="","",IF(C570="Tournament",INDEX('Tournament Log'!$J:$J,E570),IF(C570="Guest",IF(INDEX('Guest Log'!$I:$I,Q570)="",1000,INDEX('Guest Log'!$I:$I,Q570)),IFERROR(LOOKUP(2,1/(($F$1:F569=G570)+($G$1:G569=G570)),IF($F$1:F569=G570,$N$1:N569,$O$1:O569)),1000))))</f>
        <v/>
      </c>
      <c r="J570" s="37" t="str">
        <f t="shared" si="41"/>
        <v/>
      </c>
      <c r="K570" s="12" t="str">
        <f>IF(C570="","",IF(C570="Match",IF(INDEX('Match Log'!$D:$D,D570)="Win",1,IF(INDEX('Match Log'!$D:$D,D570)="Draw",0.5,0)),IF(C570="Tournament",INDEX('Tournament Log'!$K:$K,E570),IF(INDEX('Guest Log'!$C:$C,Q570)="Win",1,IF(INDEX('Guest Log'!$C:$C,Q570)="Draw",0.5,0)))))</f>
        <v/>
      </c>
      <c r="L570" s="12" t="str">
        <f>IF(C570="","",IF(C570="Match",32,IF(C570="Tournament",MIN(32*INDEX('Tournament Log'!$D:$D,E570),96),32)))</f>
        <v/>
      </c>
      <c r="M570" s="12" t="str">
        <f t="shared" si="42"/>
        <v/>
      </c>
      <c r="N570" s="12" t="str">
        <f t="shared" si="43"/>
        <v/>
      </c>
      <c r="O570" s="12" t="str">
        <f t="shared" si="44"/>
        <v/>
      </c>
      <c r="P570" s="12" t="str">
        <f>IF(C570="Tournament",INDEX('Tournament Log'!$B:$B,E570),IF(C570="Guest","Guest: "&amp;INDEX('Guest Log'!$H:$H,Q570),""))</f>
        <v/>
      </c>
      <c r="Q570" t="str">
        <f>IFERROR(MATCH($A570,'Guest Log'!$L$4:$L$203,0)+3,"")</f>
        <v/>
      </c>
    </row>
    <row r="571" spans="1:17" ht="15" customHeight="1" x14ac:dyDescent="0.2">
      <c r="A571" s="22">
        <f>570</f>
        <v>570</v>
      </c>
      <c r="B571" s="22" t="str">
        <f>IF(C571="","",IF(C571="Match",INDEX('Match Log'!$A:$A,D571),IF(C571="Tournament",INDEX('Tournament Log'!$A:$A,E571),INDEX('Guest Log'!$A:$A,Q571))))</f>
        <v/>
      </c>
      <c r="C571" s="22" t="str">
        <f t="shared" si="40"/>
        <v/>
      </c>
      <c r="D571" s="39" t="str">
        <f>IFERROR(MATCH($A571,'Match Log'!$K$3:$K$501,0)+2,"")</f>
        <v/>
      </c>
      <c r="E571" s="39" t="str">
        <f>IFERROR(MATCH($A571,'Tournament Log'!$O$4:$O$203,0)+3,"")</f>
        <v/>
      </c>
      <c r="F571" s="22" t="str">
        <f>IF(C571="","",IF(C571="Match",INDEX('Match Log'!$B:$B,D571),IF(C571="Tournament",INDEX('Tournament Log'!$C:$C,E571),INDEX('Guest Log'!$B:$B,Q571))))</f>
        <v/>
      </c>
      <c r="G571" s="22" t="str">
        <f>IF(C571="","",IF(C571="Match",INDEX('Match Log'!$C:$C,D571),IF(C571="Tournament",INDEX('Tournament Log'!$B:$B,E571)&amp;" (Phantom)",INDEX('Guest Log'!$H:$H,Q571)&amp;" (Guest)")))</f>
        <v/>
      </c>
      <c r="H571" s="22" t="str">
        <f t="array" ref="H571">IF(C571="","",IFERROR(LOOKUP(2,1/(($F$1:F570=F571)+($G$1:G570=F571)),IF($F$1:F570=F571,$N$1:N570,$O$1:O570)),1000))</f>
        <v/>
      </c>
      <c r="I571" s="22" t="str">
        <f t="array" ref="I571">IF(C571="","",IF(C571="Tournament",INDEX('Tournament Log'!$J:$J,E571),IF(C571="Guest",IF(INDEX('Guest Log'!$I:$I,Q571)="",1000,INDEX('Guest Log'!$I:$I,Q571)),IFERROR(LOOKUP(2,1/(($F$1:F570=G571)+($G$1:G570=G571)),IF($F$1:F570=G571,$N$1:N570,$O$1:O570)),1000))))</f>
        <v/>
      </c>
      <c r="J571" s="22" t="str">
        <f t="shared" si="41"/>
        <v/>
      </c>
      <c r="K571" s="12" t="str">
        <f>IF(C571="","",IF(C571="Match",IF(INDEX('Match Log'!$D:$D,D571)="Win",1,IF(INDEX('Match Log'!$D:$D,D571)="Draw",0.5,0)),IF(C571="Tournament",INDEX('Tournament Log'!$K:$K,E571),IF(INDEX('Guest Log'!$C:$C,Q571)="Win",1,IF(INDEX('Guest Log'!$C:$C,Q571)="Draw",0.5,0)))))</f>
        <v/>
      </c>
      <c r="L571" s="12" t="str">
        <f>IF(C571="","",IF(C571="Match",32,IF(C571="Tournament",MIN(32*INDEX('Tournament Log'!$D:$D,E571),96),32)))</f>
        <v/>
      </c>
      <c r="M571" s="12" t="str">
        <f t="shared" si="42"/>
        <v/>
      </c>
      <c r="N571" s="12" t="str">
        <f t="shared" si="43"/>
        <v/>
      </c>
      <c r="O571" s="12" t="str">
        <f t="shared" si="44"/>
        <v/>
      </c>
      <c r="P571" s="12" t="str">
        <f>IF(C571="Tournament",INDEX('Tournament Log'!$B:$B,E571),IF(C571="Guest","Guest: "&amp;INDEX('Guest Log'!$H:$H,Q571),""))</f>
        <v/>
      </c>
      <c r="Q571" t="str">
        <f>IFERROR(MATCH($A571,'Guest Log'!$L$4:$L$203,0)+3,"")</f>
        <v/>
      </c>
    </row>
    <row r="572" spans="1:17" ht="15" customHeight="1" x14ac:dyDescent="0.2">
      <c r="A572" s="37">
        <f>571</f>
        <v>571</v>
      </c>
      <c r="B572" s="37" t="str">
        <f>IF(C572="","",IF(C572="Match",INDEX('Match Log'!$A:$A,D572),IF(C572="Tournament",INDEX('Tournament Log'!$A:$A,E572),INDEX('Guest Log'!$A:$A,Q572))))</f>
        <v/>
      </c>
      <c r="C572" s="37" t="str">
        <f t="shared" si="40"/>
        <v/>
      </c>
      <c r="D572" s="38" t="str">
        <f>IFERROR(MATCH($A572,'Match Log'!$K$3:$K$501,0)+2,"")</f>
        <v/>
      </c>
      <c r="E572" s="38" t="str">
        <f>IFERROR(MATCH($A572,'Tournament Log'!$O$4:$O$203,0)+3,"")</f>
        <v/>
      </c>
      <c r="F572" s="37" t="str">
        <f>IF(C572="","",IF(C572="Match",INDEX('Match Log'!$B:$B,D572),IF(C572="Tournament",INDEX('Tournament Log'!$C:$C,E572),INDEX('Guest Log'!$B:$B,Q572))))</f>
        <v/>
      </c>
      <c r="G572" s="37" t="str">
        <f>IF(C572="","",IF(C572="Match",INDEX('Match Log'!$C:$C,D572),IF(C572="Tournament",INDEX('Tournament Log'!$B:$B,E572)&amp;" (Phantom)",INDEX('Guest Log'!$H:$H,Q572)&amp;" (Guest)")))</f>
        <v/>
      </c>
      <c r="H572" s="37" t="str">
        <f t="array" ref="H572">IF(C572="","",IFERROR(LOOKUP(2,1/(($F$1:F571=F572)+($G$1:G571=F572)),IF($F$1:F571=F572,$N$1:N571,$O$1:O571)),1000))</f>
        <v/>
      </c>
      <c r="I572" s="37" t="str">
        <f t="array" ref="I572">IF(C572="","",IF(C572="Tournament",INDEX('Tournament Log'!$J:$J,E572),IF(C572="Guest",IF(INDEX('Guest Log'!$I:$I,Q572)="",1000,INDEX('Guest Log'!$I:$I,Q572)),IFERROR(LOOKUP(2,1/(($F$1:F571=G572)+($G$1:G571=G572)),IF($F$1:F571=G572,$N$1:N571,$O$1:O571)),1000))))</f>
        <v/>
      </c>
      <c r="J572" s="37" t="str">
        <f t="shared" si="41"/>
        <v/>
      </c>
      <c r="K572" s="12" t="str">
        <f>IF(C572="","",IF(C572="Match",IF(INDEX('Match Log'!$D:$D,D572)="Win",1,IF(INDEX('Match Log'!$D:$D,D572)="Draw",0.5,0)),IF(C572="Tournament",INDEX('Tournament Log'!$K:$K,E572),IF(INDEX('Guest Log'!$C:$C,Q572)="Win",1,IF(INDEX('Guest Log'!$C:$C,Q572)="Draw",0.5,0)))))</f>
        <v/>
      </c>
      <c r="L572" s="12" t="str">
        <f>IF(C572="","",IF(C572="Match",32,IF(C572="Tournament",MIN(32*INDEX('Tournament Log'!$D:$D,E572),96),32)))</f>
        <v/>
      </c>
      <c r="M572" s="12" t="str">
        <f t="shared" si="42"/>
        <v/>
      </c>
      <c r="N572" s="12" t="str">
        <f t="shared" si="43"/>
        <v/>
      </c>
      <c r="O572" s="12" t="str">
        <f t="shared" si="44"/>
        <v/>
      </c>
      <c r="P572" s="12" t="str">
        <f>IF(C572="Tournament",INDEX('Tournament Log'!$B:$B,E572),IF(C572="Guest","Guest: "&amp;INDEX('Guest Log'!$H:$H,Q572),""))</f>
        <v/>
      </c>
      <c r="Q572" t="str">
        <f>IFERROR(MATCH($A572,'Guest Log'!$L$4:$L$203,0)+3,"")</f>
        <v/>
      </c>
    </row>
    <row r="573" spans="1:17" ht="15" customHeight="1" x14ac:dyDescent="0.2">
      <c r="A573" s="22">
        <f>572</f>
        <v>572</v>
      </c>
      <c r="B573" s="22" t="str">
        <f>IF(C573="","",IF(C573="Match",INDEX('Match Log'!$A:$A,D573),IF(C573="Tournament",INDEX('Tournament Log'!$A:$A,E573),INDEX('Guest Log'!$A:$A,Q573))))</f>
        <v/>
      </c>
      <c r="C573" s="22" t="str">
        <f t="shared" si="40"/>
        <v/>
      </c>
      <c r="D573" s="39" t="str">
        <f>IFERROR(MATCH($A573,'Match Log'!$K$3:$K$501,0)+2,"")</f>
        <v/>
      </c>
      <c r="E573" s="39" t="str">
        <f>IFERROR(MATCH($A573,'Tournament Log'!$O$4:$O$203,0)+3,"")</f>
        <v/>
      </c>
      <c r="F573" s="22" t="str">
        <f>IF(C573="","",IF(C573="Match",INDEX('Match Log'!$B:$B,D573),IF(C573="Tournament",INDEX('Tournament Log'!$C:$C,E573),INDEX('Guest Log'!$B:$B,Q573))))</f>
        <v/>
      </c>
      <c r="G573" s="22" t="str">
        <f>IF(C573="","",IF(C573="Match",INDEX('Match Log'!$C:$C,D573),IF(C573="Tournament",INDEX('Tournament Log'!$B:$B,E573)&amp;" (Phantom)",INDEX('Guest Log'!$H:$H,Q573)&amp;" (Guest)")))</f>
        <v/>
      </c>
      <c r="H573" s="22" t="str">
        <f t="array" ref="H573">IF(C573="","",IFERROR(LOOKUP(2,1/(($F$1:F572=F573)+($G$1:G572=F573)),IF($F$1:F572=F573,$N$1:N572,$O$1:O572)),1000))</f>
        <v/>
      </c>
      <c r="I573" s="22" t="str">
        <f t="array" ref="I573">IF(C573="","",IF(C573="Tournament",INDEX('Tournament Log'!$J:$J,E573),IF(C573="Guest",IF(INDEX('Guest Log'!$I:$I,Q573)="",1000,INDEX('Guest Log'!$I:$I,Q573)),IFERROR(LOOKUP(2,1/(($F$1:F572=G573)+($G$1:G572=G573)),IF($F$1:F572=G573,$N$1:N572,$O$1:O572)),1000))))</f>
        <v/>
      </c>
      <c r="J573" s="22" t="str">
        <f t="shared" si="41"/>
        <v/>
      </c>
      <c r="K573" s="12" t="str">
        <f>IF(C573="","",IF(C573="Match",IF(INDEX('Match Log'!$D:$D,D573)="Win",1,IF(INDEX('Match Log'!$D:$D,D573)="Draw",0.5,0)),IF(C573="Tournament",INDEX('Tournament Log'!$K:$K,E573),IF(INDEX('Guest Log'!$C:$C,Q573)="Win",1,IF(INDEX('Guest Log'!$C:$C,Q573)="Draw",0.5,0)))))</f>
        <v/>
      </c>
      <c r="L573" s="12" t="str">
        <f>IF(C573="","",IF(C573="Match",32,IF(C573="Tournament",MIN(32*INDEX('Tournament Log'!$D:$D,E573),96),32)))</f>
        <v/>
      </c>
      <c r="M573" s="12" t="str">
        <f t="shared" si="42"/>
        <v/>
      </c>
      <c r="N573" s="12" t="str">
        <f t="shared" si="43"/>
        <v/>
      </c>
      <c r="O573" s="12" t="str">
        <f t="shared" si="44"/>
        <v/>
      </c>
      <c r="P573" s="12" t="str">
        <f>IF(C573="Tournament",INDEX('Tournament Log'!$B:$B,E573),IF(C573="Guest","Guest: "&amp;INDEX('Guest Log'!$H:$H,Q573),""))</f>
        <v/>
      </c>
      <c r="Q573" t="str">
        <f>IFERROR(MATCH($A573,'Guest Log'!$L$4:$L$203,0)+3,"")</f>
        <v/>
      </c>
    </row>
    <row r="574" spans="1:17" ht="15" customHeight="1" x14ac:dyDescent="0.2">
      <c r="A574" s="37">
        <f>573</f>
        <v>573</v>
      </c>
      <c r="B574" s="37" t="str">
        <f>IF(C574="","",IF(C574="Match",INDEX('Match Log'!$A:$A,D574),IF(C574="Tournament",INDEX('Tournament Log'!$A:$A,E574),INDEX('Guest Log'!$A:$A,Q574))))</f>
        <v/>
      </c>
      <c r="C574" s="37" t="str">
        <f t="shared" si="40"/>
        <v/>
      </c>
      <c r="D574" s="38" t="str">
        <f>IFERROR(MATCH($A574,'Match Log'!$K$3:$K$501,0)+2,"")</f>
        <v/>
      </c>
      <c r="E574" s="38" t="str">
        <f>IFERROR(MATCH($A574,'Tournament Log'!$O$4:$O$203,0)+3,"")</f>
        <v/>
      </c>
      <c r="F574" s="37" t="str">
        <f>IF(C574="","",IF(C574="Match",INDEX('Match Log'!$B:$B,D574),IF(C574="Tournament",INDEX('Tournament Log'!$C:$C,E574),INDEX('Guest Log'!$B:$B,Q574))))</f>
        <v/>
      </c>
      <c r="G574" s="37" t="str">
        <f>IF(C574="","",IF(C574="Match",INDEX('Match Log'!$C:$C,D574),IF(C574="Tournament",INDEX('Tournament Log'!$B:$B,E574)&amp;" (Phantom)",INDEX('Guest Log'!$H:$H,Q574)&amp;" (Guest)")))</f>
        <v/>
      </c>
      <c r="H574" s="37" t="str">
        <f t="array" ref="H574">IF(C574="","",IFERROR(LOOKUP(2,1/(($F$1:F573=F574)+($G$1:G573=F574)),IF($F$1:F573=F574,$N$1:N573,$O$1:O573)),1000))</f>
        <v/>
      </c>
      <c r="I574" s="37" t="str">
        <f t="array" ref="I574">IF(C574="","",IF(C574="Tournament",INDEX('Tournament Log'!$J:$J,E574),IF(C574="Guest",IF(INDEX('Guest Log'!$I:$I,Q574)="",1000,INDEX('Guest Log'!$I:$I,Q574)),IFERROR(LOOKUP(2,1/(($F$1:F573=G574)+($G$1:G573=G574)),IF($F$1:F573=G574,$N$1:N573,$O$1:O573)),1000))))</f>
        <v/>
      </c>
      <c r="J574" s="37" t="str">
        <f t="shared" si="41"/>
        <v/>
      </c>
      <c r="K574" s="12" t="str">
        <f>IF(C574="","",IF(C574="Match",IF(INDEX('Match Log'!$D:$D,D574)="Win",1,IF(INDEX('Match Log'!$D:$D,D574)="Draw",0.5,0)),IF(C574="Tournament",INDEX('Tournament Log'!$K:$K,E574),IF(INDEX('Guest Log'!$C:$C,Q574)="Win",1,IF(INDEX('Guest Log'!$C:$C,Q574)="Draw",0.5,0)))))</f>
        <v/>
      </c>
      <c r="L574" s="12" t="str">
        <f>IF(C574="","",IF(C574="Match",32,IF(C574="Tournament",MIN(32*INDEX('Tournament Log'!$D:$D,E574),96),32)))</f>
        <v/>
      </c>
      <c r="M574" s="12" t="str">
        <f t="shared" si="42"/>
        <v/>
      </c>
      <c r="N574" s="12" t="str">
        <f t="shared" si="43"/>
        <v/>
      </c>
      <c r="O574" s="12" t="str">
        <f t="shared" si="44"/>
        <v/>
      </c>
      <c r="P574" s="12" t="str">
        <f>IF(C574="Tournament",INDEX('Tournament Log'!$B:$B,E574),IF(C574="Guest","Guest: "&amp;INDEX('Guest Log'!$H:$H,Q574),""))</f>
        <v/>
      </c>
      <c r="Q574" t="str">
        <f>IFERROR(MATCH($A574,'Guest Log'!$L$4:$L$203,0)+3,"")</f>
        <v/>
      </c>
    </row>
    <row r="575" spans="1:17" ht="15" customHeight="1" x14ac:dyDescent="0.2">
      <c r="A575" s="22">
        <f>574</f>
        <v>574</v>
      </c>
      <c r="B575" s="22" t="str">
        <f>IF(C575="","",IF(C575="Match",INDEX('Match Log'!$A:$A,D575),IF(C575="Tournament",INDEX('Tournament Log'!$A:$A,E575),INDEX('Guest Log'!$A:$A,Q575))))</f>
        <v/>
      </c>
      <c r="C575" s="22" t="str">
        <f t="shared" si="40"/>
        <v/>
      </c>
      <c r="D575" s="39" t="str">
        <f>IFERROR(MATCH($A575,'Match Log'!$K$3:$K$501,0)+2,"")</f>
        <v/>
      </c>
      <c r="E575" s="39" t="str">
        <f>IFERROR(MATCH($A575,'Tournament Log'!$O$4:$O$203,0)+3,"")</f>
        <v/>
      </c>
      <c r="F575" s="22" t="str">
        <f>IF(C575="","",IF(C575="Match",INDEX('Match Log'!$B:$B,D575),IF(C575="Tournament",INDEX('Tournament Log'!$C:$C,E575),INDEX('Guest Log'!$B:$B,Q575))))</f>
        <v/>
      </c>
      <c r="G575" s="22" t="str">
        <f>IF(C575="","",IF(C575="Match",INDEX('Match Log'!$C:$C,D575),IF(C575="Tournament",INDEX('Tournament Log'!$B:$B,E575)&amp;" (Phantom)",INDEX('Guest Log'!$H:$H,Q575)&amp;" (Guest)")))</f>
        <v/>
      </c>
      <c r="H575" s="22" t="str">
        <f t="array" ref="H575">IF(C575="","",IFERROR(LOOKUP(2,1/(($F$1:F574=F575)+($G$1:G574=F575)),IF($F$1:F574=F575,$N$1:N574,$O$1:O574)),1000))</f>
        <v/>
      </c>
      <c r="I575" s="22" t="str">
        <f t="array" ref="I575">IF(C575="","",IF(C575="Tournament",INDEX('Tournament Log'!$J:$J,E575),IF(C575="Guest",IF(INDEX('Guest Log'!$I:$I,Q575)="",1000,INDEX('Guest Log'!$I:$I,Q575)),IFERROR(LOOKUP(2,1/(($F$1:F574=G575)+($G$1:G574=G575)),IF($F$1:F574=G575,$N$1:N574,$O$1:O574)),1000))))</f>
        <v/>
      </c>
      <c r="J575" s="22" t="str">
        <f t="shared" si="41"/>
        <v/>
      </c>
      <c r="K575" s="12" t="str">
        <f>IF(C575="","",IF(C575="Match",IF(INDEX('Match Log'!$D:$D,D575)="Win",1,IF(INDEX('Match Log'!$D:$D,D575)="Draw",0.5,0)),IF(C575="Tournament",INDEX('Tournament Log'!$K:$K,E575),IF(INDEX('Guest Log'!$C:$C,Q575)="Win",1,IF(INDEX('Guest Log'!$C:$C,Q575)="Draw",0.5,0)))))</f>
        <v/>
      </c>
      <c r="L575" s="12" t="str">
        <f>IF(C575="","",IF(C575="Match",32,IF(C575="Tournament",MIN(32*INDEX('Tournament Log'!$D:$D,E575),96),32)))</f>
        <v/>
      </c>
      <c r="M575" s="12" t="str">
        <f t="shared" si="42"/>
        <v/>
      </c>
      <c r="N575" s="12" t="str">
        <f t="shared" si="43"/>
        <v/>
      </c>
      <c r="O575" s="12" t="str">
        <f t="shared" si="44"/>
        <v/>
      </c>
      <c r="P575" s="12" t="str">
        <f>IF(C575="Tournament",INDEX('Tournament Log'!$B:$B,E575),IF(C575="Guest","Guest: "&amp;INDEX('Guest Log'!$H:$H,Q575),""))</f>
        <v/>
      </c>
      <c r="Q575" t="str">
        <f>IFERROR(MATCH($A575,'Guest Log'!$L$4:$L$203,0)+3,"")</f>
        <v/>
      </c>
    </row>
    <row r="576" spans="1:17" ht="15" customHeight="1" x14ac:dyDescent="0.2">
      <c r="A576" s="37">
        <f>575</f>
        <v>575</v>
      </c>
      <c r="B576" s="37" t="str">
        <f>IF(C576="","",IF(C576="Match",INDEX('Match Log'!$A:$A,D576),IF(C576="Tournament",INDEX('Tournament Log'!$A:$A,E576),INDEX('Guest Log'!$A:$A,Q576))))</f>
        <v/>
      </c>
      <c r="C576" s="37" t="str">
        <f t="shared" si="40"/>
        <v/>
      </c>
      <c r="D576" s="38" t="str">
        <f>IFERROR(MATCH($A576,'Match Log'!$K$3:$K$501,0)+2,"")</f>
        <v/>
      </c>
      <c r="E576" s="38" t="str">
        <f>IFERROR(MATCH($A576,'Tournament Log'!$O$4:$O$203,0)+3,"")</f>
        <v/>
      </c>
      <c r="F576" s="37" t="str">
        <f>IF(C576="","",IF(C576="Match",INDEX('Match Log'!$B:$B,D576),IF(C576="Tournament",INDEX('Tournament Log'!$C:$C,E576),INDEX('Guest Log'!$B:$B,Q576))))</f>
        <v/>
      </c>
      <c r="G576" s="37" t="str">
        <f>IF(C576="","",IF(C576="Match",INDEX('Match Log'!$C:$C,D576),IF(C576="Tournament",INDEX('Tournament Log'!$B:$B,E576)&amp;" (Phantom)",INDEX('Guest Log'!$H:$H,Q576)&amp;" (Guest)")))</f>
        <v/>
      </c>
      <c r="H576" s="37" t="str">
        <f t="array" ref="H576">IF(C576="","",IFERROR(LOOKUP(2,1/(($F$1:F575=F576)+($G$1:G575=F576)),IF($F$1:F575=F576,$N$1:N575,$O$1:O575)),1000))</f>
        <v/>
      </c>
      <c r="I576" s="37" t="str">
        <f t="array" ref="I576">IF(C576="","",IF(C576="Tournament",INDEX('Tournament Log'!$J:$J,E576),IF(C576="Guest",IF(INDEX('Guest Log'!$I:$I,Q576)="",1000,INDEX('Guest Log'!$I:$I,Q576)),IFERROR(LOOKUP(2,1/(($F$1:F575=G576)+($G$1:G575=G576)),IF($F$1:F575=G576,$N$1:N575,$O$1:O575)),1000))))</f>
        <v/>
      </c>
      <c r="J576" s="37" t="str">
        <f t="shared" si="41"/>
        <v/>
      </c>
      <c r="K576" s="12" t="str">
        <f>IF(C576="","",IF(C576="Match",IF(INDEX('Match Log'!$D:$D,D576)="Win",1,IF(INDEX('Match Log'!$D:$D,D576)="Draw",0.5,0)),IF(C576="Tournament",INDEX('Tournament Log'!$K:$K,E576),IF(INDEX('Guest Log'!$C:$C,Q576)="Win",1,IF(INDEX('Guest Log'!$C:$C,Q576)="Draw",0.5,0)))))</f>
        <v/>
      </c>
      <c r="L576" s="12" t="str">
        <f>IF(C576="","",IF(C576="Match",32,IF(C576="Tournament",MIN(32*INDEX('Tournament Log'!$D:$D,E576),96),32)))</f>
        <v/>
      </c>
      <c r="M576" s="12" t="str">
        <f t="shared" si="42"/>
        <v/>
      </c>
      <c r="N576" s="12" t="str">
        <f t="shared" si="43"/>
        <v/>
      </c>
      <c r="O576" s="12" t="str">
        <f t="shared" si="44"/>
        <v/>
      </c>
      <c r="P576" s="12" t="str">
        <f>IF(C576="Tournament",INDEX('Tournament Log'!$B:$B,E576),IF(C576="Guest","Guest: "&amp;INDEX('Guest Log'!$H:$H,Q576),""))</f>
        <v/>
      </c>
      <c r="Q576" t="str">
        <f>IFERROR(MATCH($A576,'Guest Log'!$L$4:$L$203,0)+3,"")</f>
        <v/>
      </c>
    </row>
    <row r="577" spans="1:17" ht="15" customHeight="1" x14ac:dyDescent="0.2">
      <c r="A577" s="22">
        <f>576</f>
        <v>576</v>
      </c>
      <c r="B577" s="22" t="str">
        <f>IF(C577="","",IF(C577="Match",INDEX('Match Log'!$A:$A,D577),IF(C577="Tournament",INDEX('Tournament Log'!$A:$A,E577),INDEX('Guest Log'!$A:$A,Q577))))</f>
        <v/>
      </c>
      <c r="C577" s="22" t="str">
        <f t="shared" si="40"/>
        <v/>
      </c>
      <c r="D577" s="39" t="str">
        <f>IFERROR(MATCH($A577,'Match Log'!$K$3:$K$501,0)+2,"")</f>
        <v/>
      </c>
      <c r="E577" s="39" t="str">
        <f>IFERROR(MATCH($A577,'Tournament Log'!$O$4:$O$203,0)+3,"")</f>
        <v/>
      </c>
      <c r="F577" s="22" t="str">
        <f>IF(C577="","",IF(C577="Match",INDEX('Match Log'!$B:$B,D577),IF(C577="Tournament",INDEX('Tournament Log'!$C:$C,E577),INDEX('Guest Log'!$B:$B,Q577))))</f>
        <v/>
      </c>
      <c r="G577" s="22" t="str">
        <f>IF(C577="","",IF(C577="Match",INDEX('Match Log'!$C:$C,D577),IF(C577="Tournament",INDEX('Tournament Log'!$B:$B,E577)&amp;" (Phantom)",INDEX('Guest Log'!$H:$H,Q577)&amp;" (Guest)")))</f>
        <v/>
      </c>
      <c r="H577" s="22" t="str">
        <f t="array" ref="H577">IF(C577="","",IFERROR(LOOKUP(2,1/(($F$1:F576=F577)+($G$1:G576=F577)),IF($F$1:F576=F577,$N$1:N576,$O$1:O576)),1000))</f>
        <v/>
      </c>
      <c r="I577" s="22" t="str">
        <f t="array" ref="I577">IF(C577="","",IF(C577="Tournament",INDEX('Tournament Log'!$J:$J,E577),IF(C577="Guest",IF(INDEX('Guest Log'!$I:$I,Q577)="",1000,INDEX('Guest Log'!$I:$I,Q577)),IFERROR(LOOKUP(2,1/(($F$1:F576=G577)+($G$1:G576=G577)),IF($F$1:F576=G577,$N$1:N576,$O$1:O576)),1000))))</f>
        <v/>
      </c>
      <c r="J577" s="22" t="str">
        <f t="shared" si="41"/>
        <v/>
      </c>
      <c r="K577" s="12" t="str">
        <f>IF(C577="","",IF(C577="Match",IF(INDEX('Match Log'!$D:$D,D577)="Win",1,IF(INDEX('Match Log'!$D:$D,D577)="Draw",0.5,0)),IF(C577="Tournament",INDEX('Tournament Log'!$K:$K,E577),IF(INDEX('Guest Log'!$C:$C,Q577)="Win",1,IF(INDEX('Guest Log'!$C:$C,Q577)="Draw",0.5,0)))))</f>
        <v/>
      </c>
      <c r="L577" s="12" t="str">
        <f>IF(C577="","",IF(C577="Match",32,IF(C577="Tournament",MIN(32*INDEX('Tournament Log'!$D:$D,E577),96),32)))</f>
        <v/>
      </c>
      <c r="M577" s="12" t="str">
        <f t="shared" si="42"/>
        <v/>
      </c>
      <c r="N577" s="12" t="str">
        <f t="shared" si="43"/>
        <v/>
      </c>
      <c r="O577" s="12" t="str">
        <f t="shared" si="44"/>
        <v/>
      </c>
      <c r="P577" s="12" t="str">
        <f>IF(C577="Tournament",INDEX('Tournament Log'!$B:$B,E577),IF(C577="Guest","Guest: "&amp;INDEX('Guest Log'!$H:$H,Q577),""))</f>
        <v/>
      </c>
      <c r="Q577" t="str">
        <f>IFERROR(MATCH($A577,'Guest Log'!$L$4:$L$203,0)+3,"")</f>
        <v/>
      </c>
    </row>
    <row r="578" spans="1:17" ht="15" customHeight="1" x14ac:dyDescent="0.2">
      <c r="A578" s="37">
        <f>577</f>
        <v>577</v>
      </c>
      <c r="B578" s="37" t="str">
        <f>IF(C578="","",IF(C578="Match",INDEX('Match Log'!$A:$A,D578),IF(C578="Tournament",INDEX('Tournament Log'!$A:$A,E578),INDEX('Guest Log'!$A:$A,Q578))))</f>
        <v/>
      </c>
      <c r="C578" s="37" t="str">
        <f t="shared" ref="C578:C641" si="45">IF(D578&lt;&gt;"","Match",IF(E578&lt;&gt;"","Tournament",IF(Q578&lt;&gt;"","Guest","")))</f>
        <v/>
      </c>
      <c r="D578" s="38" t="str">
        <f>IFERROR(MATCH($A578,'Match Log'!$K$3:$K$501,0)+2,"")</f>
        <v/>
      </c>
      <c r="E578" s="38" t="str">
        <f>IFERROR(MATCH($A578,'Tournament Log'!$O$4:$O$203,0)+3,"")</f>
        <v/>
      </c>
      <c r="F578" s="37" t="str">
        <f>IF(C578="","",IF(C578="Match",INDEX('Match Log'!$B:$B,D578),IF(C578="Tournament",INDEX('Tournament Log'!$C:$C,E578),INDEX('Guest Log'!$B:$B,Q578))))</f>
        <v/>
      </c>
      <c r="G578" s="37" t="str">
        <f>IF(C578="","",IF(C578="Match",INDEX('Match Log'!$C:$C,D578),IF(C578="Tournament",INDEX('Tournament Log'!$B:$B,E578)&amp;" (Phantom)",INDEX('Guest Log'!$H:$H,Q578)&amp;" (Guest)")))</f>
        <v/>
      </c>
      <c r="H578" s="37" t="str">
        <f t="array" ref="H578">IF(C578="","",IFERROR(LOOKUP(2,1/(($F$1:F577=F578)+($G$1:G577=F578)),IF($F$1:F577=F578,$N$1:N577,$O$1:O577)),1000))</f>
        <v/>
      </c>
      <c r="I578" s="37" t="str">
        <f t="array" ref="I578">IF(C578="","",IF(C578="Tournament",INDEX('Tournament Log'!$J:$J,E578),IF(C578="Guest",IF(INDEX('Guest Log'!$I:$I,Q578)="",1000,INDEX('Guest Log'!$I:$I,Q578)),IFERROR(LOOKUP(2,1/(($F$1:F577=G578)+($G$1:G577=G578)),IF($F$1:F577=G578,$N$1:N577,$O$1:O577)),1000))))</f>
        <v/>
      </c>
      <c r="J578" s="37" t="str">
        <f t="shared" ref="J578:J641" si="46">IF(C578="","",1/(1+10^((I578-H578)/400)))</f>
        <v/>
      </c>
      <c r="K578" s="12" t="str">
        <f>IF(C578="","",IF(C578="Match",IF(INDEX('Match Log'!$D:$D,D578)="Win",1,IF(INDEX('Match Log'!$D:$D,D578)="Draw",0.5,0)),IF(C578="Tournament",INDEX('Tournament Log'!$K:$K,E578),IF(INDEX('Guest Log'!$C:$C,Q578)="Win",1,IF(INDEX('Guest Log'!$C:$C,Q578)="Draw",0.5,0)))))</f>
        <v/>
      </c>
      <c r="L578" s="12" t="str">
        <f>IF(C578="","",IF(C578="Match",32,IF(C578="Tournament",MIN(32*INDEX('Tournament Log'!$D:$D,E578),96),32)))</f>
        <v/>
      </c>
      <c r="M578" s="12" t="str">
        <f t="shared" ref="M578:M641" si="47">IF(C578="","",ROUND(L578*(K578-J578),0))</f>
        <v/>
      </c>
      <c r="N578" s="12" t="str">
        <f t="shared" ref="N578:N641" si="48">IF(C578="","",H578+M578)</f>
        <v/>
      </c>
      <c r="O578" s="12" t="str">
        <f t="shared" ref="O578:O641" si="49">IF(C578="","",IF(C578="Match",I578-M578,""))</f>
        <v/>
      </c>
      <c r="P578" s="12" t="str">
        <f>IF(C578="Tournament",INDEX('Tournament Log'!$B:$B,E578),IF(C578="Guest","Guest: "&amp;INDEX('Guest Log'!$H:$H,Q578),""))</f>
        <v/>
      </c>
      <c r="Q578" t="str">
        <f>IFERROR(MATCH($A578,'Guest Log'!$L$4:$L$203,0)+3,"")</f>
        <v/>
      </c>
    </row>
    <row r="579" spans="1:17" ht="15" customHeight="1" x14ac:dyDescent="0.2">
      <c r="A579" s="22">
        <f>578</f>
        <v>578</v>
      </c>
      <c r="B579" s="22" t="str">
        <f>IF(C579="","",IF(C579="Match",INDEX('Match Log'!$A:$A,D579),IF(C579="Tournament",INDEX('Tournament Log'!$A:$A,E579),INDEX('Guest Log'!$A:$A,Q579))))</f>
        <v/>
      </c>
      <c r="C579" s="22" t="str">
        <f t="shared" si="45"/>
        <v/>
      </c>
      <c r="D579" s="39" t="str">
        <f>IFERROR(MATCH($A579,'Match Log'!$K$3:$K$501,0)+2,"")</f>
        <v/>
      </c>
      <c r="E579" s="39" t="str">
        <f>IFERROR(MATCH($A579,'Tournament Log'!$O$4:$O$203,0)+3,"")</f>
        <v/>
      </c>
      <c r="F579" s="22" t="str">
        <f>IF(C579="","",IF(C579="Match",INDEX('Match Log'!$B:$B,D579),IF(C579="Tournament",INDEX('Tournament Log'!$C:$C,E579),INDEX('Guest Log'!$B:$B,Q579))))</f>
        <v/>
      </c>
      <c r="G579" s="22" t="str">
        <f>IF(C579="","",IF(C579="Match",INDEX('Match Log'!$C:$C,D579),IF(C579="Tournament",INDEX('Tournament Log'!$B:$B,E579)&amp;" (Phantom)",INDEX('Guest Log'!$H:$H,Q579)&amp;" (Guest)")))</f>
        <v/>
      </c>
      <c r="H579" s="22" t="str">
        <f t="array" ref="H579">IF(C579="","",IFERROR(LOOKUP(2,1/(($F$1:F578=F579)+($G$1:G578=F579)),IF($F$1:F578=F579,$N$1:N578,$O$1:O578)),1000))</f>
        <v/>
      </c>
      <c r="I579" s="22" t="str">
        <f t="array" ref="I579">IF(C579="","",IF(C579="Tournament",INDEX('Tournament Log'!$J:$J,E579),IF(C579="Guest",IF(INDEX('Guest Log'!$I:$I,Q579)="",1000,INDEX('Guest Log'!$I:$I,Q579)),IFERROR(LOOKUP(2,1/(($F$1:F578=G579)+($G$1:G578=G579)),IF($F$1:F578=G579,$N$1:N578,$O$1:O578)),1000))))</f>
        <v/>
      </c>
      <c r="J579" s="22" t="str">
        <f t="shared" si="46"/>
        <v/>
      </c>
      <c r="K579" s="12" t="str">
        <f>IF(C579="","",IF(C579="Match",IF(INDEX('Match Log'!$D:$D,D579)="Win",1,IF(INDEX('Match Log'!$D:$D,D579)="Draw",0.5,0)),IF(C579="Tournament",INDEX('Tournament Log'!$K:$K,E579),IF(INDEX('Guest Log'!$C:$C,Q579)="Win",1,IF(INDEX('Guest Log'!$C:$C,Q579)="Draw",0.5,0)))))</f>
        <v/>
      </c>
      <c r="L579" s="12" t="str">
        <f>IF(C579="","",IF(C579="Match",32,IF(C579="Tournament",MIN(32*INDEX('Tournament Log'!$D:$D,E579),96),32)))</f>
        <v/>
      </c>
      <c r="M579" s="12" t="str">
        <f t="shared" si="47"/>
        <v/>
      </c>
      <c r="N579" s="12" t="str">
        <f t="shared" si="48"/>
        <v/>
      </c>
      <c r="O579" s="12" t="str">
        <f t="shared" si="49"/>
        <v/>
      </c>
      <c r="P579" s="12" t="str">
        <f>IF(C579="Tournament",INDEX('Tournament Log'!$B:$B,E579),IF(C579="Guest","Guest: "&amp;INDEX('Guest Log'!$H:$H,Q579),""))</f>
        <v/>
      </c>
      <c r="Q579" t="str">
        <f>IFERROR(MATCH($A579,'Guest Log'!$L$4:$L$203,0)+3,"")</f>
        <v/>
      </c>
    </row>
    <row r="580" spans="1:17" ht="15" customHeight="1" x14ac:dyDescent="0.2">
      <c r="A580" s="37">
        <f>579</f>
        <v>579</v>
      </c>
      <c r="B580" s="37" t="str">
        <f>IF(C580="","",IF(C580="Match",INDEX('Match Log'!$A:$A,D580),IF(C580="Tournament",INDEX('Tournament Log'!$A:$A,E580),INDEX('Guest Log'!$A:$A,Q580))))</f>
        <v/>
      </c>
      <c r="C580" s="37" t="str">
        <f t="shared" si="45"/>
        <v/>
      </c>
      <c r="D580" s="38" t="str">
        <f>IFERROR(MATCH($A580,'Match Log'!$K$3:$K$501,0)+2,"")</f>
        <v/>
      </c>
      <c r="E580" s="38" t="str">
        <f>IFERROR(MATCH($A580,'Tournament Log'!$O$4:$O$203,0)+3,"")</f>
        <v/>
      </c>
      <c r="F580" s="37" t="str">
        <f>IF(C580="","",IF(C580="Match",INDEX('Match Log'!$B:$B,D580),IF(C580="Tournament",INDEX('Tournament Log'!$C:$C,E580),INDEX('Guest Log'!$B:$B,Q580))))</f>
        <v/>
      </c>
      <c r="G580" s="37" t="str">
        <f>IF(C580="","",IF(C580="Match",INDEX('Match Log'!$C:$C,D580),IF(C580="Tournament",INDEX('Tournament Log'!$B:$B,E580)&amp;" (Phantom)",INDEX('Guest Log'!$H:$H,Q580)&amp;" (Guest)")))</f>
        <v/>
      </c>
      <c r="H580" s="37" t="str">
        <f t="array" ref="H580">IF(C580="","",IFERROR(LOOKUP(2,1/(($F$1:F579=F580)+($G$1:G579=F580)),IF($F$1:F579=F580,$N$1:N579,$O$1:O579)),1000))</f>
        <v/>
      </c>
      <c r="I580" s="37" t="str">
        <f t="array" ref="I580">IF(C580="","",IF(C580="Tournament",INDEX('Tournament Log'!$J:$J,E580),IF(C580="Guest",IF(INDEX('Guest Log'!$I:$I,Q580)="",1000,INDEX('Guest Log'!$I:$I,Q580)),IFERROR(LOOKUP(2,1/(($F$1:F579=G580)+($G$1:G579=G580)),IF($F$1:F579=G580,$N$1:N579,$O$1:O579)),1000))))</f>
        <v/>
      </c>
      <c r="J580" s="37" t="str">
        <f t="shared" si="46"/>
        <v/>
      </c>
      <c r="K580" s="12" t="str">
        <f>IF(C580="","",IF(C580="Match",IF(INDEX('Match Log'!$D:$D,D580)="Win",1,IF(INDEX('Match Log'!$D:$D,D580)="Draw",0.5,0)),IF(C580="Tournament",INDEX('Tournament Log'!$K:$K,E580),IF(INDEX('Guest Log'!$C:$C,Q580)="Win",1,IF(INDEX('Guest Log'!$C:$C,Q580)="Draw",0.5,0)))))</f>
        <v/>
      </c>
      <c r="L580" s="12" t="str">
        <f>IF(C580="","",IF(C580="Match",32,IF(C580="Tournament",MIN(32*INDEX('Tournament Log'!$D:$D,E580),96),32)))</f>
        <v/>
      </c>
      <c r="M580" s="12" t="str">
        <f t="shared" si="47"/>
        <v/>
      </c>
      <c r="N580" s="12" t="str">
        <f t="shared" si="48"/>
        <v/>
      </c>
      <c r="O580" s="12" t="str">
        <f t="shared" si="49"/>
        <v/>
      </c>
      <c r="P580" s="12" t="str">
        <f>IF(C580="Tournament",INDEX('Tournament Log'!$B:$B,E580),IF(C580="Guest","Guest: "&amp;INDEX('Guest Log'!$H:$H,Q580),""))</f>
        <v/>
      </c>
      <c r="Q580" t="str">
        <f>IFERROR(MATCH($A580,'Guest Log'!$L$4:$L$203,0)+3,"")</f>
        <v/>
      </c>
    </row>
    <row r="581" spans="1:17" ht="15" customHeight="1" x14ac:dyDescent="0.2">
      <c r="A581" s="22">
        <f>580</f>
        <v>580</v>
      </c>
      <c r="B581" s="22" t="str">
        <f>IF(C581="","",IF(C581="Match",INDEX('Match Log'!$A:$A,D581),IF(C581="Tournament",INDEX('Tournament Log'!$A:$A,E581),INDEX('Guest Log'!$A:$A,Q581))))</f>
        <v/>
      </c>
      <c r="C581" s="22" t="str">
        <f t="shared" si="45"/>
        <v/>
      </c>
      <c r="D581" s="39" t="str">
        <f>IFERROR(MATCH($A581,'Match Log'!$K$3:$K$501,0)+2,"")</f>
        <v/>
      </c>
      <c r="E581" s="39" t="str">
        <f>IFERROR(MATCH($A581,'Tournament Log'!$O$4:$O$203,0)+3,"")</f>
        <v/>
      </c>
      <c r="F581" s="22" t="str">
        <f>IF(C581="","",IF(C581="Match",INDEX('Match Log'!$B:$B,D581),IF(C581="Tournament",INDEX('Tournament Log'!$C:$C,E581),INDEX('Guest Log'!$B:$B,Q581))))</f>
        <v/>
      </c>
      <c r="G581" s="22" t="str">
        <f>IF(C581="","",IF(C581="Match",INDEX('Match Log'!$C:$C,D581),IF(C581="Tournament",INDEX('Tournament Log'!$B:$B,E581)&amp;" (Phantom)",INDEX('Guest Log'!$H:$H,Q581)&amp;" (Guest)")))</f>
        <v/>
      </c>
      <c r="H581" s="22" t="str">
        <f t="array" ref="H581">IF(C581="","",IFERROR(LOOKUP(2,1/(($F$1:F580=F581)+($G$1:G580=F581)),IF($F$1:F580=F581,$N$1:N580,$O$1:O580)),1000))</f>
        <v/>
      </c>
      <c r="I581" s="22" t="str">
        <f t="array" ref="I581">IF(C581="","",IF(C581="Tournament",INDEX('Tournament Log'!$J:$J,E581),IF(C581="Guest",IF(INDEX('Guest Log'!$I:$I,Q581)="",1000,INDEX('Guest Log'!$I:$I,Q581)),IFERROR(LOOKUP(2,1/(($F$1:F580=G581)+($G$1:G580=G581)),IF($F$1:F580=G581,$N$1:N580,$O$1:O580)),1000))))</f>
        <v/>
      </c>
      <c r="J581" s="22" t="str">
        <f t="shared" si="46"/>
        <v/>
      </c>
      <c r="K581" s="12" t="str">
        <f>IF(C581="","",IF(C581="Match",IF(INDEX('Match Log'!$D:$D,D581)="Win",1,IF(INDEX('Match Log'!$D:$D,D581)="Draw",0.5,0)),IF(C581="Tournament",INDEX('Tournament Log'!$K:$K,E581),IF(INDEX('Guest Log'!$C:$C,Q581)="Win",1,IF(INDEX('Guest Log'!$C:$C,Q581)="Draw",0.5,0)))))</f>
        <v/>
      </c>
      <c r="L581" s="12" t="str">
        <f>IF(C581="","",IF(C581="Match",32,IF(C581="Tournament",MIN(32*INDEX('Tournament Log'!$D:$D,E581),96),32)))</f>
        <v/>
      </c>
      <c r="M581" s="12" t="str">
        <f t="shared" si="47"/>
        <v/>
      </c>
      <c r="N581" s="12" t="str">
        <f t="shared" si="48"/>
        <v/>
      </c>
      <c r="O581" s="12" t="str">
        <f t="shared" si="49"/>
        <v/>
      </c>
      <c r="P581" s="12" t="str">
        <f>IF(C581="Tournament",INDEX('Tournament Log'!$B:$B,E581),IF(C581="Guest","Guest: "&amp;INDEX('Guest Log'!$H:$H,Q581),""))</f>
        <v/>
      </c>
      <c r="Q581" t="str">
        <f>IFERROR(MATCH($A581,'Guest Log'!$L$4:$L$203,0)+3,"")</f>
        <v/>
      </c>
    </row>
    <row r="582" spans="1:17" ht="15" customHeight="1" x14ac:dyDescent="0.2">
      <c r="A582" s="37">
        <f>581</f>
        <v>581</v>
      </c>
      <c r="B582" s="37" t="str">
        <f>IF(C582="","",IF(C582="Match",INDEX('Match Log'!$A:$A,D582),IF(C582="Tournament",INDEX('Tournament Log'!$A:$A,E582),INDEX('Guest Log'!$A:$A,Q582))))</f>
        <v/>
      </c>
      <c r="C582" s="37" t="str">
        <f t="shared" si="45"/>
        <v/>
      </c>
      <c r="D582" s="38" t="str">
        <f>IFERROR(MATCH($A582,'Match Log'!$K$3:$K$501,0)+2,"")</f>
        <v/>
      </c>
      <c r="E582" s="38" t="str">
        <f>IFERROR(MATCH($A582,'Tournament Log'!$O$4:$O$203,0)+3,"")</f>
        <v/>
      </c>
      <c r="F582" s="37" t="str">
        <f>IF(C582="","",IF(C582="Match",INDEX('Match Log'!$B:$B,D582),IF(C582="Tournament",INDEX('Tournament Log'!$C:$C,E582),INDEX('Guest Log'!$B:$B,Q582))))</f>
        <v/>
      </c>
      <c r="G582" s="37" t="str">
        <f>IF(C582="","",IF(C582="Match",INDEX('Match Log'!$C:$C,D582),IF(C582="Tournament",INDEX('Tournament Log'!$B:$B,E582)&amp;" (Phantom)",INDEX('Guest Log'!$H:$H,Q582)&amp;" (Guest)")))</f>
        <v/>
      </c>
      <c r="H582" s="37" t="str">
        <f t="array" ref="H582">IF(C582="","",IFERROR(LOOKUP(2,1/(($F$1:F581=F582)+($G$1:G581=F582)),IF($F$1:F581=F582,$N$1:N581,$O$1:O581)),1000))</f>
        <v/>
      </c>
      <c r="I582" s="37" t="str">
        <f t="array" ref="I582">IF(C582="","",IF(C582="Tournament",INDEX('Tournament Log'!$J:$J,E582),IF(C582="Guest",IF(INDEX('Guest Log'!$I:$I,Q582)="",1000,INDEX('Guest Log'!$I:$I,Q582)),IFERROR(LOOKUP(2,1/(($F$1:F581=G582)+($G$1:G581=G582)),IF($F$1:F581=G582,$N$1:N581,$O$1:O581)),1000))))</f>
        <v/>
      </c>
      <c r="J582" s="37" t="str">
        <f t="shared" si="46"/>
        <v/>
      </c>
      <c r="K582" s="12" t="str">
        <f>IF(C582="","",IF(C582="Match",IF(INDEX('Match Log'!$D:$D,D582)="Win",1,IF(INDEX('Match Log'!$D:$D,D582)="Draw",0.5,0)),IF(C582="Tournament",INDEX('Tournament Log'!$K:$K,E582),IF(INDEX('Guest Log'!$C:$C,Q582)="Win",1,IF(INDEX('Guest Log'!$C:$C,Q582)="Draw",0.5,0)))))</f>
        <v/>
      </c>
      <c r="L582" s="12" t="str">
        <f>IF(C582="","",IF(C582="Match",32,IF(C582="Tournament",MIN(32*INDEX('Tournament Log'!$D:$D,E582),96),32)))</f>
        <v/>
      </c>
      <c r="M582" s="12" t="str">
        <f t="shared" si="47"/>
        <v/>
      </c>
      <c r="N582" s="12" t="str">
        <f t="shared" si="48"/>
        <v/>
      </c>
      <c r="O582" s="12" t="str">
        <f t="shared" si="49"/>
        <v/>
      </c>
      <c r="P582" s="12" t="str">
        <f>IF(C582="Tournament",INDEX('Tournament Log'!$B:$B,E582),IF(C582="Guest","Guest: "&amp;INDEX('Guest Log'!$H:$H,Q582),""))</f>
        <v/>
      </c>
      <c r="Q582" t="str">
        <f>IFERROR(MATCH($A582,'Guest Log'!$L$4:$L$203,0)+3,"")</f>
        <v/>
      </c>
    </row>
    <row r="583" spans="1:17" ht="15" customHeight="1" x14ac:dyDescent="0.2">
      <c r="A583" s="22">
        <f>582</f>
        <v>582</v>
      </c>
      <c r="B583" s="22" t="str">
        <f>IF(C583="","",IF(C583="Match",INDEX('Match Log'!$A:$A,D583),IF(C583="Tournament",INDEX('Tournament Log'!$A:$A,E583),INDEX('Guest Log'!$A:$A,Q583))))</f>
        <v/>
      </c>
      <c r="C583" s="22" t="str">
        <f t="shared" si="45"/>
        <v/>
      </c>
      <c r="D583" s="39" t="str">
        <f>IFERROR(MATCH($A583,'Match Log'!$K$3:$K$501,0)+2,"")</f>
        <v/>
      </c>
      <c r="E583" s="39" t="str">
        <f>IFERROR(MATCH($A583,'Tournament Log'!$O$4:$O$203,0)+3,"")</f>
        <v/>
      </c>
      <c r="F583" s="22" t="str">
        <f>IF(C583="","",IF(C583="Match",INDEX('Match Log'!$B:$B,D583),IF(C583="Tournament",INDEX('Tournament Log'!$C:$C,E583),INDEX('Guest Log'!$B:$B,Q583))))</f>
        <v/>
      </c>
      <c r="G583" s="22" t="str">
        <f>IF(C583="","",IF(C583="Match",INDEX('Match Log'!$C:$C,D583),IF(C583="Tournament",INDEX('Tournament Log'!$B:$B,E583)&amp;" (Phantom)",INDEX('Guest Log'!$H:$H,Q583)&amp;" (Guest)")))</f>
        <v/>
      </c>
      <c r="H583" s="22" t="str">
        <f t="array" ref="H583">IF(C583="","",IFERROR(LOOKUP(2,1/(($F$1:F582=F583)+($G$1:G582=F583)),IF($F$1:F582=F583,$N$1:N582,$O$1:O582)),1000))</f>
        <v/>
      </c>
      <c r="I583" s="22" t="str">
        <f t="array" ref="I583">IF(C583="","",IF(C583="Tournament",INDEX('Tournament Log'!$J:$J,E583),IF(C583="Guest",IF(INDEX('Guest Log'!$I:$I,Q583)="",1000,INDEX('Guest Log'!$I:$I,Q583)),IFERROR(LOOKUP(2,1/(($F$1:F582=G583)+($G$1:G582=G583)),IF($F$1:F582=G583,$N$1:N582,$O$1:O582)),1000))))</f>
        <v/>
      </c>
      <c r="J583" s="22" t="str">
        <f t="shared" si="46"/>
        <v/>
      </c>
      <c r="K583" s="12" t="str">
        <f>IF(C583="","",IF(C583="Match",IF(INDEX('Match Log'!$D:$D,D583)="Win",1,IF(INDEX('Match Log'!$D:$D,D583)="Draw",0.5,0)),IF(C583="Tournament",INDEX('Tournament Log'!$K:$K,E583),IF(INDEX('Guest Log'!$C:$C,Q583)="Win",1,IF(INDEX('Guest Log'!$C:$C,Q583)="Draw",0.5,0)))))</f>
        <v/>
      </c>
      <c r="L583" s="12" t="str">
        <f>IF(C583="","",IF(C583="Match",32,IF(C583="Tournament",MIN(32*INDEX('Tournament Log'!$D:$D,E583),96),32)))</f>
        <v/>
      </c>
      <c r="M583" s="12" t="str">
        <f t="shared" si="47"/>
        <v/>
      </c>
      <c r="N583" s="12" t="str">
        <f t="shared" si="48"/>
        <v/>
      </c>
      <c r="O583" s="12" t="str">
        <f t="shared" si="49"/>
        <v/>
      </c>
      <c r="P583" s="12" t="str">
        <f>IF(C583="Tournament",INDEX('Tournament Log'!$B:$B,E583),IF(C583="Guest","Guest: "&amp;INDEX('Guest Log'!$H:$H,Q583),""))</f>
        <v/>
      </c>
      <c r="Q583" t="str">
        <f>IFERROR(MATCH($A583,'Guest Log'!$L$4:$L$203,0)+3,"")</f>
        <v/>
      </c>
    </row>
    <row r="584" spans="1:17" ht="15" customHeight="1" x14ac:dyDescent="0.2">
      <c r="A584" s="37">
        <f>583</f>
        <v>583</v>
      </c>
      <c r="B584" s="37" t="str">
        <f>IF(C584="","",IF(C584="Match",INDEX('Match Log'!$A:$A,D584),IF(C584="Tournament",INDEX('Tournament Log'!$A:$A,E584),INDEX('Guest Log'!$A:$A,Q584))))</f>
        <v/>
      </c>
      <c r="C584" s="37" t="str">
        <f t="shared" si="45"/>
        <v/>
      </c>
      <c r="D584" s="38" t="str">
        <f>IFERROR(MATCH($A584,'Match Log'!$K$3:$K$501,0)+2,"")</f>
        <v/>
      </c>
      <c r="E584" s="38" t="str">
        <f>IFERROR(MATCH($A584,'Tournament Log'!$O$4:$O$203,0)+3,"")</f>
        <v/>
      </c>
      <c r="F584" s="37" t="str">
        <f>IF(C584="","",IF(C584="Match",INDEX('Match Log'!$B:$B,D584),IF(C584="Tournament",INDEX('Tournament Log'!$C:$C,E584),INDEX('Guest Log'!$B:$B,Q584))))</f>
        <v/>
      </c>
      <c r="G584" s="37" t="str">
        <f>IF(C584="","",IF(C584="Match",INDEX('Match Log'!$C:$C,D584),IF(C584="Tournament",INDEX('Tournament Log'!$B:$B,E584)&amp;" (Phantom)",INDEX('Guest Log'!$H:$H,Q584)&amp;" (Guest)")))</f>
        <v/>
      </c>
      <c r="H584" s="37" t="str">
        <f t="array" ref="H584">IF(C584="","",IFERROR(LOOKUP(2,1/(($F$1:F583=F584)+($G$1:G583=F584)),IF($F$1:F583=F584,$N$1:N583,$O$1:O583)),1000))</f>
        <v/>
      </c>
      <c r="I584" s="37" t="str">
        <f t="array" ref="I584">IF(C584="","",IF(C584="Tournament",INDEX('Tournament Log'!$J:$J,E584),IF(C584="Guest",IF(INDEX('Guest Log'!$I:$I,Q584)="",1000,INDEX('Guest Log'!$I:$I,Q584)),IFERROR(LOOKUP(2,1/(($F$1:F583=G584)+($G$1:G583=G584)),IF($F$1:F583=G584,$N$1:N583,$O$1:O583)),1000))))</f>
        <v/>
      </c>
      <c r="J584" s="37" t="str">
        <f t="shared" si="46"/>
        <v/>
      </c>
      <c r="K584" s="12" t="str">
        <f>IF(C584="","",IF(C584="Match",IF(INDEX('Match Log'!$D:$D,D584)="Win",1,IF(INDEX('Match Log'!$D:$D,D584)="Draw",0.5,0)),IF(C584="Tournament",INDEX('Tournament Log'!$K:$K,E584),IF(INDEX('Guest Log'!$C:$C,Q584)="Win",1,IF(INDEX('Guest Log'!$C:$C,Q584)="Draw",0.5,0)))))</f>
        <v/>
      </c>
      <c r="L584" s="12" t="str">
        <f>IF(C584="","",IF(C584="Match",32,IF(C584="Tournament",MIN(32*INDEX('Tournament Log'!$D:$D,E584),96),32)))</f>
        <v/>
      </c>
      <c r="M584" s="12" t="str">
        <f t="shared" si="47"/>
        <v/>
      </c>
      <c r="N584" s="12" t="str">
        <f t="shared" si="48"/>
        <v/>
      </c>
      <c r="O584" s="12" t="str">
        <f t="shared" si="49"/>
        <v/>
      </c>
      <c r="P584" s="12" t="str">
        <f>IF(C584="Tournament",INDEX('Tournament Log'!$B:$B,E584),IF(C584="Guest","Guest: "&amp;INDEX('Guest Log'!$H:$H,Q584),""))</f>
        <v/>
      </c>
      <c r="Q584" t="str">
        <f>IFERROR(MATCH($A584,'Guest Log'!$L$4:$L$203,0)+3,"")</f>
        <v/>
      </c>
    </row>
    <row r="585" spans="1:17" ht="15" customHeight="1" x14ac:dyDescent="0.2">
      <c r="A585" s="22">
        <f>584</f>
        <v>584</v>
      </c>
      <c r="B585" s="22" t="str">
        <f>IF(C585="","",IF(C585="Match",INDEX('Match Log'!$A:$A,D585),IF(C585="Tournament",INDEX('Tournament Log'!$A:$A,E585),INDEX('Guest Log'!$A:$A,Q585))))</f>
        <v/>
      </c>
      <c r="C585" s="22" t="str">
        <f t="shared" si="45"/>
        <v/>
      </c>
      <c r="D585" s="39" t="str">
        <f>IFERROR(MATCH($A585,'Match Log'!$K$3:$K$501,0)+2,"")</f>
        <v/>
      </c>
      <c r="E585" s="39" t="str">
        <f>IFERROR(MATCH($A585,'Tournament Log'!$O$4:$O$203,0)+3,"")</f>
        <v/>
      </c>
      <c r="F585" s="22" t="str">
        <f>IF(C585="","",IF(C585="Match",INDEX('Match Log'!$B:$B,D585),IF(C585="Tournament",INDEX('Tournament Log'!$C:$C,E585),INDEX('Guest Log'!$B:$B,Q585))))</f>
        <v/>
      </c>
      <c r="G585" s="22" t="str">
        <f>IF(C585="","",IF(C585="Match",INDEX('Match Log'!$C:$C,D585),IF(C585="Tournament",INDEX('Tournament Log'!$B:$B,E585)&amp;" (Phantom)",INDEX('Guest Log'!$H:$H,Q585)&amp;" (Guest)")))</f>
        <v/>
      </c>
      <c r="H585" s="22" t="str">
        <f t="array" ref="H585">IF(C585="","",IFERROR(LOOKUP(2,1/(($F$1:F584=F585)+($G$1:G584=F585)),IF($F$1:F584=F585,$N$1:N584,$O$1:O584)),1000))</f>
        <v/>
      </c>
      <c r="I585" s="22" t="str">
        <f t="array" ref="I585">IF(C585="","",IF(C585="Tournament",INDEX('Tournament Log'!$J:$J,E585),IF(C585="Guest",IF(INDEX('Guest Log'!$I:$I,Q585)="",1000,INDEX('Guest Log'!$I:$I,Q585)),IFERROR(LOOKUP(2,1/(($F$1:F584=G585)+($G$1:G584=G585)),IF($F$1:F584=G585,$N$1:N584,$O$1:O584)),1000))))</f>
        <v/>
      </c>
      <c r="J585" s="22" t="str">
        <f t="shared" si="46"/>
        <v/>
      </c>
      <c r="K585" s="12" t="str">
        <f>IF(C585="","",IF(C585="Match",IF(INDEX('Match Log'!$D:$D,D585)="Win",1,IF(INDEX('Match Log'!$D:$D,D585)="Draw",0.5,0)),IF(C585="Tournament",INDEX('Tournament Log'!$K:$K,E585),IF(INDEX('Guest Log'!$C:$C,Q585)="Win",1,IF(INDEX('Guest Log'!$C:$C,Q585)="Draw",0.5,0)))))</f>
        <v/>
      </c>
      <c r="L585" s="12" t="str">
        <f>IF(C585="","",IF(C585="Match",32,IF(C585="Tournament",MIN(32*INDEX('Tournament Log'!$D:$D,E585),96),32)))</f>
        <v/>
      </c>
      <c r="M585" s="12" t="str">
        <f t="shared" si="47"/>
        <v/>
      </c>
      <c r="N585" s="12" t="str">
        <f t="shared" si="48"/>
        <v/>
      </c>
      <c r="O585" s="12" t="str">
        <f t="shared" si="49"/>
        <v/>
      </c>
      <c r="P585" s="12" t="str">
        <f>IF(C585="Tournament",INDEX('Tournament Log'!$B:$B,E585),IF(C585="Guest","Guest: "&amp;INDEX('Guest Log'!$H:$H,Q585),""))</f>
        <v/>
      </c>
      <c r="Q585" t="str">
        <f>IFERROR(MATCH($A585,'Guest Log'!$L$4:$L$203,0)+3,"")</f>
        <v/>
      </c>
    </row>
    <row r="586" spans="1:17" ht="15" customHeight="1" x14ac:dyDescent="0.2">
      <c r="A586" s="37">
        <f>585</f>
        <v>585</v>
      </c>
      <c r="B586" s="37" t="str">
        <f>IF(C586="","",IF(C586="Match",INDEX('Match Log'!$A:$A,D586),IF(C586="Tournament",INDEX('Tournament Log'!$A:$A,E586),INDEX('Guest Log'!$A:$A,Q586))))</f>
        <v/>
      </c>
      <c r="C586" s="37" t="str">
        <f t="shared" si="45"/>
        <v/>
      </c>
      <c r="D586" s="38" t="str">
        <f>IFERROR(MATCH($A586,'Match Log'!$K$3:$K$501,0)+2,"")</f>
        <v/>
      </c>
      <c r="E586" s="38" t="str">
        <f>IFERROR(MATCH($A586,'Tournament Log'!$O$4:$O$203,0)+3,"")</f>
        <v/>
      </c>
      <c r="F586" s="37" t="str">
        <f>IF(C586="","",IF(C586="Match",INDEX('Match Log'!$B:$B,D586),IF(C586="Tournament",INDEX('Tournament Log'!$C:$C,E586),INDEX('Guest Log'!$B:$B,Q586))))</f>
        <v/>
      </c>
      <c r="G586" s="37" t="str">
        <f>IF(C586="","",IF(C586="Match",INDEX('Match Log'!$C:$C,D586),IF(C586="Tournament",INDEX('Tournament Log'!$B:$B,E586)&amp;" (Phantom)",INDEX('Guest Log'!$H:$H,Q586)&amp;" (Guest)")))</f>
        <v/>
      </c>
      <c r="H586" s="37" t="str">
        <f t="array" ref="H586">IF(C586="","",IFERROR(LOOKUP(2,1/(($F$1:F585=F586)+($G$1:G585=F586)),IF($F$1:F585=F586,$N$1:N585,$O$1:O585)),1000))</f>
        <v/>
      </c>
      <c r="I586" s="37" t="str">
        <f t="array" ref="I586">IF(C586="","",IF(C586="Tournament",INDEX('Tournament Log'!$J:$J,E586),IF(C586="Guest",IF(INDEX('Guest Log'!$I:$I,Q586)="",1000,INDEX('Guest Log'!$I:$I,Q586)),IFERROR(LOOKUP(2,1/(($F$1:F585=G586)+($G$1:G585=G586)),IF($F$1:F585=G586,$N$1:N585,$O$1:O585)),1000))))</f>
        <v/>
      </c>
      <c r="J586" s="37" t="str">
        <f t="shared" si="46"/>
        <v/>
      </c>
      <c r="K586" s="12" t="str">
        <f>IF(C586="","",IF(C586="Match",IF(INDEX('Match Log'!$D:$D,D586)="Win",1,IF(INDEX('Match Log'!$D:$D,D586)="Draw",0.5,0)),IF(C586="Tournament",INDEX('Tournament Log'!$K:$K,E586),IF(INDEX('Guest Log'!$C:$C,Q586)="Win",1,IF(INDEX('Guest Log'!$C:$C,Q586)="Draw",0.5,0)))))</f>
        <v/>
      </c>
      <c r="L586" s="12" t="str">
        <f>IF(C586="","",IF(C586="Match",32,IF(C586="Tournament",MIN(32*INDEX('Tournament Log'!$D:$D,E586),96),32)))</f>
        <v/>
      </c>
      <c r="M586" s="12" t="str">
        <f t="shared" si="47"/>
        <v/>
      </c>
      <c r="N586" s="12" t="str">
        <f t="shared" si="48"/>
        <v/>
      </c>
      <c r="O586" s="12" t="str">
        <f t="shared" si="49"/>
        <v/>
      </c>
      <c r="P586" s="12" t="str">
        <f>IF(C586="Tournament",INDEX('Tournament Log'!$B:$B,E586),IF(C586="Guest","Guest: "&amp;INDEX('Guest Log'!$H:$H,Q586),""))</f>
        <v/>
      </c>
      <c r="Q586" t="str">
        <f>IFERROR(MATCH($A586,'Guest Log'!$L$4:$L$203,0)+3,"")</f>
        <v/>
      </c>
    </row>
    <row r="587" spans="1:17" ht="15" customHeight="1" x14ac:dyDescent="0.2">
      <c r="A587" s="22">
        <f>586</f>
        <v>586</v>
      </c>
      <c r="B587" s="22" t="str">
        <f>IF(C587="","",IF(C587="Match",INDEX('Match Log'!$A:$A,D587),IF(C587="Tournament",INDEX('Tournament Log'!$A:$A,E587),INDEX('Guest Log'!$A:$A,Q587))))</f>
        <v/>
      </c>
      <c r="C587" s="22" t="str">
        <f t="shared" si="45"/>
        <v/>
      </c>
      <c r="D587" s="39" t="str">
        <f>IFERROR(MATCH($A587,'Match Log'!$K$3:$K$501,0)+2,"")</f>
        <v/>
      </c>
      <c r="E587" s="39" t="str">
        <f>IFERROR(MATCH($A587,'Tournament Log'!$O$4:$O$203,0)+3,"")</f>
        <v/>
      </c>
      <c r="F587" s="22" t="str">
        <f>IF(C587="","",IF(C587="Match",INDEX('Match Log'!$B:$B,D587),IF(C587="Tournament",INDEX('Tournament Log'!$C:$C,E587),INDEX('Guest Log'!$B:$B,Q587))))</f>
        <v/>
      </c>
      <c r="G587" s="22" t="str">
        <f>IF(C587="","",IF(C587="Match",INDEX('Match Log'!$C:$C,D587),IF(C587="Tournament",INDEX('Tournament Log'!$B:$B,E587)&amp;" (Phantom)",INDEX('Guest Log'!$H:$H,Q587)&amp;" (Guest)")))</f>
        <v/>
      </c>
      <c r="H587" s="22" t="str">
        <f t="array" ref="H587">IF(C587="","",IFERROR(LOOKUP(2,1/(($F$1:F586=F587)+($G$1:G586=F587)),IF($F$1:F586=F587,$N$1:N586,$O$1:O586)),1000))</f>
        <v/>
      </c>
      <c r="I587" s="22" t="str">
        <f t="array" ref="I587">IF(C587="","",IF(C587="Tournament",INDEX('Tournament Log'!$J:$J,E587),IF(C587="Guest",IF(INDEX('Guest Log'!$I:$I,Q587)="",1000,INDEX('Guest Log'!$I:$I,Q587)),IFERROR(LOOKUP(2,1/(($F$1:F586=G587)+($G$1:G586=G587)),IF($F$1:F586=G587,$N$1:N586,$O$1:O586)),1000))))</f>
        <v/>
      </c>
      <c r="J587" s="22" t="str">
        <f t="shared" si="46"/>
        <v/>
      </c>
      <c r="K587" s="12" t="str">
        <f>IF(C587="","",IF(C587="Match",IF(INDEX('Match Log'!$D:$D,D587)="Win",1,IF(INDEX('Match Log'!$D:$D,D587)="Draw",0.5,0)),IF(C587="Tournament",INDEX('Tournament Log'!$K:$K,E587),IF(INDEX('Guest Log'!$C:$C,Q587)="Win",1,IF(INDEX('Guest Log'!$C:$C,Q587)="Draw",0.5,0)))))</f>
        <v/>
      </c>
      <c r="L587" s="12" t="str">
        <f>IF(C587="","",IF(C587="Match",32,IF(C587="Tournament",MIN(32*INDEX('Tournament Log'!$D:$D,E587),96),32)))</f>
        <v/>
      </c>
      <c r="M587" s="12" t="str">
        <f t="shared" si="47"/>
        <v/>
      </c>
      <c r="N587" s="12" t="str">
        <f t="shared" si="48"/>
        <v/>
      </c>
      <c r="O587" s="12" t="str">
        <f t="shared" si="49"/>
        <v/>
      </c>
      <c r="P587" s="12" t="str">
        <f>IF(C587="Tournament",INDEX('Tournament Log'!$B:$B,E587),IF(C587="Guest","Guest: "&amp;INDEX('Guest Log'!$H:$H,Q587),""))</f>
        <v/>
      </c>
      <c r="Q587" t="str">
        <f>IFERROR(MATCH($A587,'Guest Log'!$L$4:$L$203,0)+3,"")</f>
        <v/>
      </c>
    </row>
    <row r="588" spans="1:17" ht="15" customHeight="1" x14ac:dyDescent="0.2">
      <c r="A588" s="37">
        <f>587</f>
        <v>587</v>
      </c>
      <c r="B588" s="37" t="str">
        <f>IF(C588="","",IF(C588="Match",INDEX('Match Log'!$A:$A,D588),IF(C588="Tournament",INDEX('Tournament Log'!$A:$A,E588),INDEX('Guest Log'!$A:$A,Q588))))</f>
        <v/>
      </c>
      <c r="C588" s="37" t="str">
        <f t="shared" si="45"/>
        <v/>
      </c>
      <c r="D588" s="38" t="str">
        <f>IFERROR(MATCH($A588,'Match Log'!$K$3:$K$501,0)+2,"")</f>
        <v/>
      </c>
      <c r="E588" s="38" t="str">
        <f>IFERROR(MATCH($A588,'Tournament Log'!$O$4:$O$203,0)+3,"")</f>
        <v/>
      </c>
      <c r="F588" s="37" t="str">
        <f>IF(C588="","",IF(C588="Match",INDEX('Match Log'!$B:$B,D588),IF(C588="Tournament",INDEX('Tournament Log'!$C:$C,E588),INDEX('Guest Log'!$B:$B,Q588))))</f>
        <v/>
      </c>
      <c r="G588" s="37" t="str">
        <f>IF(C588="","",IF(C588="Match",INDEX('Match Log'!$C:$C,D588),IF(C588="Tournament",INDEX('Tournament Log'!$B:$B,E588)&amp;" (Phantom)",INDEX('Guest Log'!$H:$H,Q588)&amp;" (Guest)")))</f>
        <v/>
      </c>
      <c r="H588" s="37" t="str">
        <f t="array" ref="H588">IF(C588="","",IFERROR(LOOKUP(2,1/(($F$1:F587=F588)+($G$1:G587=F588)),IF($F$1:F587=F588,$N$1:N587,$O$1:O587)),1000))</f>
        <v/>
      </c>
      <c r="I588" s="37" t="str">
        <f t="array" ref="I588">IF(C588="","",IF(C588="Tournament",INDEX('Tournament Log'!$J:$J,E588),IF(C588="Guest",IF(INDEX('Guest Log'!$I:$I,Q588)="",1000,INDEX('Guest Log'!$I:$I,Q588)),IFERROR(LOOKUP(2,1/(($F$1:F587=G588)+($G$1:G587=G588)),IF($F$1:F587=G588,$N$1:N587,$O$1:O587)),1000))))</f>
        <v/>
      </c>
      <c r="J588" s="37" t="str">
        <f t="shared" si="46"/>
        <v/>
      </c>
      <c r="K588" s="12" t="str">
        <f>IF(C588="","",IF(C588="Match",IF(INDEX('Match Log'!$D:$D,D588)="Win",1,IF(INDEX('Match Log'!$D:$D,D588)="Draw",0.5,0)),IF(C588="Tournament",INDEX('Tournament Log'!$K:$K,E588),IF(INDEX('Guest Log'!$C:$C,Q588)="Win",1,IF(INDEX('Guest Log'!$C:$C,Q588)="Draw",0.5,0)))))</f>
        <v/>
      </c>
      <c r="L588" s="12" t="str">
        <f>IF(C588="","",IF(C588="Match",32,IF(C588="Tournament",MIN(32*INDEX('Tournament Log'!$D:$D,E588),96),32)))</f>
        <v/>
      </c>
      <c r="M588" s="12" t="str">
        <f t="shared" si="47"/>
        <v/>
      </c>
      <c r="N588" s="12" t="str">
        <f t="shared" si="48"/>
        <v/>
      </c>
      <c r="O588" s="12" t="str">
        <f t="shared" si="49"/>
        <v/>
      </c>
      <c r="P588" s="12" t="str">
        <f>IF(C588="Tournament",INDEX('Tournament Log'!$B:$B,E588),IF(C588="Guest","Guest: "&amp;INDEX('Guest Log'!$H:$H,Q588),""))</f>
        <v/>
      </c>
      <c r="Q588" t="str">
        <f>IFERROR(MATCH($A588,'Guest Log'!$L$4:$L$203,0)+3,"")</f>
        <v/>
      </c>
    </row>
    <row r="589" spans="1:17" ht="15" customHeight="1" x14ac:dyDescent="0.2">
      <c r="A589" s="22">
        <f>588</f>
        <v>588</v>
      </c>
      <c r="B589" s="22" t="str">
        <f>IF(C589="","",IF(C589="Match",INDEX('Match Log'!$A:$A,D589),IF(C589="Tournament",INDEX('Tournament Log'!$A:$A,E589),INDEX('Guest Log'!$A:$A,Q589))))</f>
        <v/>
      </c>
      <c r="C589" s="22" t="str">
        <f t="shared" si="45"/>
        <v/>
      </c>
      <c r="D589" s="39" t="str">
        <f>IFERROR(MATCH($A589,'Match Log'!$K$3:$K$501,0)+2,"")</f>
        <v/>
      </c>
      <c r="E589" s="39" t="str">
        <f>IFERROR(MATCH($A589,'Tournament Log'!$O$4:$O$203,0)+3,"")</f>
        <v/>
      </c>
      <c r="F589" s="22" t="str">
        <f>IF(C589="","",IF(C589="Match",INDEX('Match Log'!$B:$B,D589),IF(C589="Tournament",INDEX('Tournament Log'!$C:$C,E589),INDEX('Guest Log'!$B:$B,Q589))))</f>
        <v/>
      </c>
      <c r="G589" s="22" t="str">
        <f>IF(C589="","",IF(C589="Match",INDEX('Match Log'!$C:$C,D589),IF(C589="Tournament",INDEX('Tournament Log'!$B:$B,E589)&amp;" (Phantom)",INDEX('Guest Log'!$H:$H,Q589)&amp;" (Guest)")))</f>
        <v/>
      </c>
      <c r="H589" s="22" t="str">
        <f t="array" ref="H589">IF(C589="","",IFERROR(LOOKUP(2,1/(($F$1:F588=F589)+($G$1:G588=F589)),IF($F$1:F588=F589,$N$1:N588,$O$1:O588)),1000))</f>
        <v/>
      </c>
      <c r="I589" s="22" t="str">
        <f t="array" ref="I589">IF(C589="","",IF(C589="Tournament",INDEX('Tournament Log'!$J:$J,E589),IF(C589="Guest",IF(INDEX('Guest Log'!$I:$I,Q589)="",1000,INDEX('Guest Log'!$I:$I,Q589)),IFERROR(LOOKUP(2,1/(($F$1:F588=G589)+($G$1:G588=G589)),IF($F$1:F588=G589,$N$1:N588,$O$1:O588)),1000))))</f>
        <v/>
      </c>
      <c r="J589" s="22" t="str">
        <f t="shared" si="46"/>
        <v/>
      </c>
      <c r="K589" s="12" t="str">
        <f>IF(C589="","",IF(C589="Match",IF(INDEX('Match Log'!$D:$D,D589)="Win",1,IF(INDEX('Match Log'!$D:$D,D589)="Draw",0.5,0)),IF(C589="Tournament",INDEX('Tournament Log'!$K:$K,E589),IF(INDEX('Guest Log'!$C:$C,Q589)="Win",1,IF(INDEX('Guest Log'!$C:$C,Q589)="Draw",0.5,0)))))</f>
        <v/>
      </c>
      <c r="L589" s="12" t="str">
        <f>IF(C589="","",IF(C589="Match",32,IF(C589="Tournament",MIN(32*INDEX('Tournament Log'!$D:$D,E589),96),32)))</f>
        <v/>
      </c>
      <c r="M589" s="12" t="str">
        <f t="shared" si="47"/>
        <v/>
      </c>
      <c r="N589" s="12" t="str">
        <f t="shared" si="48"/>
        <v/>
      </c>
      <c r="O589" s="12" t="str">
        <f t="shared" si="49"/>
        <v/>
      </c>
      <c r="P589" s="12" t="str">
        <f>IF(C589="Tournament",INDEX('Tournament Log'!$B:$B,E589),IF(C589="Guest","Guest: "&amp;INDEX('Guest Log'!$H:$H,Q589),""))</f>
        <v/>
      </c>
      <c r="Q589" t="str">
        <f>IFERROR(MATCH($A589,'Guest Log'!$L$4:$L$203,0)+3,"")</f>
        <v/>
      </c>
    </row>
    <row r="590" spans="1:17" ht="15" customHeight="1" x14ac:dyDescent="0.2">
      <c r="A590" s="37">
        <f>589</f>
        <v>589</v>
      </c>
      <c r="B590" s="37" t="str">
        <f>IF(C590="","",IF(C590="Match",INDEX('Match Log'!$A:$A,D590),IF(C590="Tournament",INDEX('Tournament Log'!$A:$A,E590),INDEX('Guest Log'!$A:$A,Q590))))</f>
        <v/>
      </c>
      <c r="C590" s="37" t="str">
        <f t="shared" si="45"/>
        <v/>
      </c>
      <c r="D590" s="38" t="str">
        <f>IFERROR(MATCH($A590,'Match Log'!$K$3:$K$501,0)+2,"")</f>
        <v/>
      </c>
      <c r="E590" s="38" t="str">
        <f>IFERROR(MATCH($A590,'Tournament Log'!$O$4:$O$203,0)+3,"")</f>
        <v/>
      </c>
      <c r="F590" s="37" t="str">
        <f>IF(C590="","",IF(C590="Match",INDEX('Match Log'!$B:$B,D590),IF(C590="Tournament",INDEX('Tournament Log'!$C:$C,E590),INDEX('Guest Log'!$B:$B,Q590))))</f>
        <v/>
      </c>
      <c r="G590" s="37" t="str">
        <f>IF(C590="","",IF(C590="Match",INDEX('Match Log'!$C:$C,D590),IF(C590="Tournament",INDEX('Tournament Log'!$B:$B,E590)&amp;" (Phantom)",INDEX('Guest Log'!$H:$H,Q590)&amp;" (Guest)")))</f>
        <v/>
      </c>
      <c r="H590" s="37" t="str">
        <f t="array" ref="H590">IF(C590="","",IFERROR(LOOKUP(2,1/(($F$1:F589=F590)+($G$1:G589=F590)),IF($F$1:F589=F590,$N$1:N589,$O$1:O589)),1000))</f>
        <v/>
      </c>
      <c r="I590" s="37" t="str">
        <f t="array" ref="I590">IF(C590="","",IF(C590="Tournament",INDEX('Tournament Log'!$J:$J,E590),IF(C590="Guest",IF(INDEX('Guest Log'!$I:$I,Q590)="",1000,INDEX('Guest Log'!$I:$I,Q590)),IFERROR(LOOKUP(2,1/(($F$1:F589=G590)+($G$1:G589=G590)),IF($F$1:F589=G590,$N$1:N589,$O$1:O589)),1000))))</f>
        <v/>
      </c>
      <c r="J590" s="37" t="str">
        <f t="shared" si="46"/>
        <v/>
      </c>
      <c r="K590" s="12" t="str">
        <f>IF(C590="","",IF(C590="Match",IF(INDEX('Match Log'!$D:$D,D590)="Win",1,IF(INDEX('Match Log'!$D:$D,D590)="Draw",0.5,0)),IF(C590="Tournament",INDEX('Tournament Log'!$K:$K,E590),IF(INDEX('Guest Log'!$C:$C,Q590)="Win",1,IF(INDEX('Guest Log'!$C:$C,Q590)="Draw",0.5,0)))))</f>
        <v/>
      </c>
      <c r="L590" s="12" t="str">
        <f>IF(C590="","",IF(C590="Match",32,IF(C590="Tournament",MIN(32*INDEX('Tournament Log'!$D:$D,E590),96),32)))</f>
        <v/>
      </c>
      <c r="M590" s="12" t="str">
        <f t="shared" si="47"/>
        <v/>
      </c>
      <c r="N590" s="12" t="str">
        <f t="shared" si="48"/>
        <v/>
      </c>
      <c r="O590" s="12" t="str">
        <f t="shared" si="49"/>
        <v/>
      </c>
      <c r="P590" s="12" t="str">
        <f>IF(C590="Tournament",INDEX('Tournament Log'!$B:$B,E590),IF(C590="Guest","Guest: "&amp;INDEX('Guest Log'!$H:$H,Q590),""))</f>
        <v/>
      </c>
      <c r="Q590" t="str">
        <f>IFERROR(MATCH($A590,'Guest Log'!$L$4:$L$203,0)+3,"")</f>
        <v/>
      </c>
    </row>
    <row r="591" spans="1:17" ht="15" customHeight="1" x14ac:dyDescent="0.2">
      <c r="A591" s="22">
        <f>590</f>
        <v>590</v>
      </c>
      <c r="B591" s="22" t="str">
        <f>IF(C591="","",IF(C591="Match",INDEX('Match Log'!$A:$A,D591),IF(C591="Tournament",INDEX('Tournament Log'!$A:$A,E591),INDEX('Guest Log'!$A:$A,Q591))))</f>
        <v/>
      </c>
      <c r="C591" s="22" t="str">
        <f t="shared" si="45"/>
        <v/>
      </c>
      <c r="D591" s="39" t="str">
        <f>IFERROR(MATCH($A591,'Match Log'!$K$3:$K$501,0)+2,"")</f>
        <v/>
      </c>
      <c r="E591" s="39" t="str">
        <f>IFERROR(MATCH($A591,'Tournament Log'!$O$4:$O$203,0)+3,"")</f>
        <v/>
      </c>
      <c r="F591" s="22" t="str">
        <f>IF(C591="","",IF(C591="Match",INDEX('Match Log'!$B:$B,D591),IF(C591="Tournament",INDEX('Tournament Log'!$C:$C,E591),INDEX('Guest Log'!$B:$B,Q591))))</f>
        <v/>
      </c>
      <c r="G591" s="22" t="str">
        <f>IF(C591="","",IF(C591="Match",INDEX('Match Log'!$C:$C,D591),IF(C591="Tournament",INDEX('Tournament Log'!$B:$B,E591)&amp;" (Phantom)",INDEX('Guest Log'!$H:$H,Q591)&amp;" (Guest)")))</f>
        <v/>
      </c>
      <c r="H591" s="22" t="str">
        <f t="array" ref="H591">IF(C591="","",IFERROR(LOOKUP(2,1/(($F$1:F590=F591)+($G$1:G590=F591)),IF($F$1:F590=F591,$N$1:N590,$O$1:O590)),1000))</f>
        <v/>
      </c>
      <c r="I591" s="22" t="str">
        <f t="array" ref="I591">IF(C591="","",IF(C591="Tournament",INDEX('Tournament Log'!$J:$J,E591),IF(C591="Guest",IF(INDEX('Guest Log'!$I:$I,Q591)="",1000,INDEX('Guest Log'!$I:$I,Q591)),IFERROR(LOOKUP(2,1/(($F$1:F590=G591)+($G$1:G590=G591)),IF($F$1:F590=G591,$N$1:N590,$O$1:O590)),1000))))</f>
        <v/>
      </c>
      <c r="J591" s="22" t="str">
        <f t="shared" si="46"/>
        <v/>
      </c>
      <c r="K591" s="12" t="str">
        <f>IF(C591="","",IF(C591="Match",IF(INDEX('Match Log'!$D:$D,D591)="Win",1,IF(INDEX('Match Log'!$D:$D,D591)="Draw",0.5,0)),IF(C591="Tournament",INDEX('Tournament Log'!$K:$K,E591),IF(INDEX('Guest Log'!$C:$C,Q591)="Win",1,IF(INDEX('Guest Log'!$C:$C,Q591)="Draw",0.5,0)))))</f>
        <v/>
      </c>
      <c r="L591" s="12" t="str">
        <f>IF(C591="","",IF(C591="Match",32,IF(C591="Tournament",MIN(32*INDEX('Tournament Log'!$D:$D,E591),96),32)))</f>
        <v/>
      </c>
      <c r="M591" s="12" t="str">
        <f t="shared" si="47"/>
        <v/>
      </c>
      <c r="N591" s="12" t="str">
        <f t="shared" si="48"/>
        <v/>
      </c>
      <c r="O591" s="12" t="str">
        <f t="shared" si="49"/>
        <v/>
      </c>
      <c r="P591" s="12" t="str">
        <f>IF(C591="Tournament",INDEX('Tournament Log'!$B:$B,E591),IF(C591="Guest","Guest: "&amp;INDEX('Guest Log'!$H:$H,Q591),""))</f>
        <v/>
      </c>
      <c r="Q591" t="str">
        <f>IFERROR(MATCH($A591,'Guest Log'!$L$4:$L$203,0)+3,"")</f>
        <v/>
      </c>
    </row>
    <row r="592" spans="1:17" ht="15" customHeight="1" x14ac:dyDescent="0.2">
      <c r="A592" s="37">
        <f>591</f>
        <v>591</v>
      </c>
      <c r="B592" s="37" t="str">
        <f>IF(C592="","",IF(C592="Match",INDEX('Match Log'!$A:$A,D592),IF(C592="Tournament",INDEX('Tournament Log'!$A:$A,E592),INDEX('Guest Log'!$A:$A,Q592))))</f>
        <v/>
      </c>
      <c r="C592" s="37" t="str">
        <f t="shared" si="45"/>
        <v/>
      </c>
      <c r="D592" s="38" t="str">
        <f>IFERROR(MATCH($A592,'Match Log'!$K$3:$K$501,0)+2,"")</f>
        <v/>
      </c>
      <c r="E592" s="38" t="str">
        <f>IFERROR(MATCH($A592,'Tournament Log'!$O$4:$O$203,0)+3,"")</f>
        <v/>
      </c>
      <c r="F592" s="37" t="str">
        <f>IF(C592="","",IF(C592="Match",INDEX('Match Log'!$B:$B,D592),IF(C592="Tournament",INDEX('Tournament Log'!$C:$C,E592),INDEX('Guest Log'!$B:$B,Q592))))</f>
        <v/>
      </c>
      <c r="G592" s="37" t="str">
        <f>IF(C592="","",IF(C592="Match",INDEX('Match Log'!$C:$C,D592),IF(C592="Tournament",INDEX('Tournament Log'!$B:$B,E592)&amp;" (Phantom)",INDEX('Guest Log'!$H:$H,Q592)&amp;" (Guest)")))</f>
        <v/>
      </c>
      <c r="H592" s="37" t="str">
        <f t="array" ref="H592">IF(C592="","",IFERROR(LOOKUP(2,1/(($F$1:F591=F592)+($G$1:G591=F592)),IF($F$1:F591=F592,$N$1:N591,$O$1:O591)),1000))</f>
        <v/>
      </c>
      <c r="I592" s="37" t="str">
        <f t="array" ref="I592">IF(C592="","",IF(C592="Tournament",INDEX('Tournament Log'!$J:$J,E592),IF(C592="Guest",IF(INDEX('Guest Log'!$I:$I,Q592)="",1000,INDEX('Guest Log'!$I:$I,Q592)),IFERROR(LOOKUP(2,1/(($F$1:F591=G592)+($G$1:G591=G592)),IF($F$1:F591=G592,$N$1:N591,$O$1:O591)),1000))))</f>
        <v/>
      </c>
      <c r="J592" s="37" t="str">
        <f t="shared" si="46"/>
        <v/>
      </c>
      <c r="K592" s="12" t="str">
        <f>IF(C592="","",IF(C592="Match",IF(INDEX('Match Log'!$D:$D,D592)="Win",1,IF(INDEX('Match Log'!$D:$D,D592)="Draw",0.5,0)),IF(C592="Tournament",INDEX('Tournament Log'!$K:$K,E592),IF(INDEX('Guest Log'!$C:$C,Q592)="Win",1,IF(INDEX('Guest Log'!$C:$C,Q592)="Draw",0.5,0)))))</f>
        <v/>
      </c>
      <c r="L592" s="12" t="str">
        <f>IF(C592="","",IF(C592="Match",32,IF(C592="Tournament",MIN(32*INDEX('Tournament Log'!$D:$D,E592),96),32)))</f>
        <v/>
      </c>
      <c r="M592" s="12" t="str">
        <f t="shared" si="47"/>
        <v/>
      </c>
      <c r="N592" s="12" t="str">
        <f t="shared" si="48"/>
        <v/>
      </c>
      <c r="O592" s="12" t="str">
        <f t="shared" si="49"/>
        <v/>
      </c>
      <c r="P592" s="12" t="str">
        <f>IF(C592="Tournament",INDEX('Tournament Log'!$B:$B,E592),IF(C592="Guest","Guest: "&amp;INDEX('Guest Log'!$H:$H,Q592),""))</f>
        <v/>
      </c>
      <c r="Q592" t="str">
        <f>IFERROR(MATCH($A592,'Guest Log'!$L$4:$L$203,0)+3,"")</f>
        <v/>
      </c>
    </row>
    <row r="593" spans="1:17" ht="15" customHeight="1" x14ac:dyDescent="0.2">
      <c r="A593" s="22">
        <f>592</f>
        <v>592</v>
      </c>
      <c r="B593" s="22" t="str">
        <f>IF(C593="","",IF(C593="Match",INDEX('Match Log'!$A:$A,D593),IF(C593="Tournament",INDEX('Tournament Log'!$A:$A,E593),INDEX('Guest Log'!$A:$A,Q593))))</f>
        <v/>
      </c>
      <c r="C593" s="22" t="str">
        <f t="shared" si="45"/>
        <v/>
      </c>
      <c r="D593" s="39" t="str">
        <f>IFERROR(MATCH($A593,'Match Log'!$K$3:$K$501,0)+2,"")</f>
        <v/>
      </c>
      <c r="E593" s="39" t="str">
        <f>IFERROR(MATCH($A593,'Tournament Log'!$O$4:$O$203,0)+3,"")</f>
        <v/>
      </c>
      <c r="F593" s="22" t="str">
        <f>IF(C593="","",IF(C593="Match",INDEX('Match Log'!$B:$B,D593),IF(C593="Tournament",INDEX('Tournament Log'!$C:$C,E593),INDEX('Guest Log'!$B:$B,Q593))))</f>
        <v/>
      </c>
      <c r="G593" s="22" t="str">
        <f>IF(C593="","",IF(C593="Match",INDEX('Match Log'!$C:$C,D593),IF(C593="Tournament",INDEX('Tournament Log'!$B:$B,E593)&amp;" (Phantom)",INDEX('Guest Log'!$H:$H,Q593)&amp;" (Guest)")))</f>
        <v/>
      </c>
      <c r="H593" s="22" t="str">
        <f t="array" ref="H593">IF(C593="","",IFERROR(LOOKUP(2,1/(($F$1:F592=F593)+($G$1:G592=F593)),IF($F$1:F592=F593,$N$1:N592,$O$1:O592)),1000))</f>
        <v/>
      </c>
      <c r="I593" s="22" t="str">
        <f t="array" ref="I593">IF(C593="","",IF(C593="Tournament",INDEX('Tournament Log'!$J:$J,E593),IF(C593="Guest",IF(INDEX('Guest Log'!$I:$I,Q593)="",1000,INDEX('Guest Log'!$I:$I,Q593)),IFERROR(LOOKUP(2,1/(($F$1:F592=G593)+($G$1:G592=G593)),IF($F$1:F592=G593,$N$1:N592,$O$1:O592)),1000))))</f>
        <v/>
      </c>
      <c r="J593" s="22" t="str">
        <f t="shared" si="46"/>
        <v/>
      </c>
      <c r="K593" s="12" t="str">
        <f>IF(C593="","",IF(C593="Match",IF(INDEX('Match Log'!$D:$D,D593)="Win",1,IF(INDEX('Match Log'!$D:$D,D593)="Draw",0.5,0)),IF(C593="Tournament",INDEX('Tournament Log'!$K:$K,E593),IF(INDEX('Guest Log'!$C:$C,Q593)="Win",1,IF(INDEX('Guest Log'!$C:$C,Q593)="Draw",0.5,0)))))</f>
        <v/>
      </c>
      <c r="L593" s="12" t="str">
        <f>IF(C593="","",IF(C593="Match",32,IF(C593="Tournament",MIN(32*INDEX('Tournament Log'!$D:$D,E593),96),32)))</f>
        <v/>
      </c>
      <c r="M593" s="12" t="str">
        <f t="shared" si="47"/>
        <v/>
      </c>
      <c r="N593" s="12" t="str">
        <f t="shared" si="48"/>
        <v/>
      </c>
      <c r="O593" s="12" t="str">
        <f t="shared" si="49"/>
        <v/>
      </c>
      <c r="P593" s="12" t="str">
        <f>IF(C593="Tournament",INDEX('Tournament Log'!$B:$B,E593),IF(C593="Guest","Guest: "&amp;INDEX('Guest Log'!$H:$H,Q593),""))</f>
        <v/>
      </c>
      <c r="Q593" t="str">
        <f>IFERROR(MATCH($A593,'Guest Log'!$L$4:$L$203,0)+3,"")</f>
        <v/>
      </c>
    </row>
    <row r="594" spans="1:17" ht="15" customHeight="1" x14ac:dyDescent="0.2">
      <c r="A594" s="37">
        <f>593</f>
        <v>593</v>
      </c>
      <c r="B594" s="37" t="str">
        <f>IF(C594="","",IF(C594="Match",INDEX('Match Log'!$A:$A,D594),IF(C594="Tournament",INDEX('Tournament Log'!$A:$A,E594),INDEX('Guest Log'!$A:$A,Q594))))</f>
        <v/>
      </c>
      <c r="C594" s="37" t="str">
        <f t="shared" si="45"/>
        <v/>
      </c>
      <c r="D594" s="38" t="str">
        <f>IFERROR(MATCH($A594,'Match Log'!$K$3:$K$501,0)+2,"")</f>
        <v/>
      </c>
      <c r="E594" s="38" t="str">
        <f>IFERROR(MATCH($A594,'Tournament Log'!$O$4:$O$203,0)+3,"")</f>
        <v/>
      </c>
      <c r="F594" s="37" t="str">
        <f>IF(C594="","",IF(C594="Match",INDEX('Match Log'!$B:$B,D594),IF(C594="Tournament",INDEX('Tournament Log'!$C:$C,E594),INDEX('Guest Log'!$B:$B,Q594))))</f>
        <v/>
      </c>
      <c r="G594" s="37" t="str">
        <f>IF(C594="","",IF(C594="Match",INDEX('Match Log'!$C:$C,D594),IF(C594="Tournament",INDEX('Tournament Log'!$B:$B,E594)&amp;" (Phantom)",INDEX('Guest Log'!$H:$H,Q594)&amp;" (Guest)")))</f>
        <v/>
      </c>
      <c r="H594" s="37" t="str">
        <f t="array" ref="H594">IF(C594="","",IFERROR(LOOKUP(2,1/(($F$1:F593=F594)+($G$1:G593=F594)),IF($F$1:F593=F594,$N$1:N593,$O$1:O593)),1000))</f>
        <v/>
      </c>
      <c r="I594" s="37" t="str">
        <f t="array" ref="I594">IF(C594="","",IF(C594="Tournament",INDEX('Tournament Log'!$J:$J,E594),IF(C594="Guest",IF(INDEX('Guest Log'!$I:$I,Q594)="",1000,INDEX('Guest Log'!$I:$I,Q594)),IFERROR(LOOKUP(2,1/(($F$1:F593=G594)+($G$1:G593=G594)),IF($F$1:F593=G594,$N$1:N593,$O$1:O593)),1000))))</f>
        <v/>
      </c>
      <c r="J594" s="37" t="str">
        <f t="shared" si="46"/>
        <v/>
      </c>
      <c r="K594" s="12" t="str">
        <f>IF(C594="","",IF(C594="Match",IF(INDEX('Match Log'!$D:$D,D594)="Win",1,IF(INDEX('Match Log'!$D:$D,D594)="Draw",0.5,0)),IF(C594="Tournament",INDEX('Tournament Log'!$K:$K,E594),IF(INDEX('Guest Log'!$C:$C,Q594)="Win",1,IF(INDEX('Guest Log'!$C:$C,Q594)="Draw",0.5,0)))))</f>
        <v/>
      </c>
      <c r="L594" s="12" t="str">
        <f>IF(C594="","",IF(C594="Match",32,IF(C594="Tournament",MIN(32*INDEX('Tournament Log'!$D:$D,E594),96),32)))</f>
        <v/>
      </c>
      <c r="M594" s="12" t="str">
        <f t="shared" si="47"/>
        <v/>
      </c>
      <c r="N594" s="12" t="str">
        <f t="shared" si="48"/>
        <v/>
      </c>
      <c r="O594" s="12" t="str">
        <f t="shared" si="49"/>
        <v/>
      </c>
      <c r="P594" s="12" t="str">
        <f>IF(C594="Tournament",INDEX('Tournament Log'!$B:$B,E594),IF(C594="Guest","Guest: "&amp;INDEX('Guest Log'!$H:$H,Q594),""))</f>
        <v/>
      </c>
      <c r="Q594" t="str">
        <f>IFERROR(MATCH($A594,'Guest Log'!$L$4:$L$203,0)+3,"")</f>
        <v/>
      </c>
    </row>
    <row r="595" spans="1:17" ht="15" customHeight="1" x14ac:dyDescent="0.2">
      <c r="A595" s="22">
        <f>594</f>
        <v>594</v>
      </c>
      <c r="B595" s="22" t="str">
        <f>IF(C595="","",IF(C595="Match",INDEX('Match Log'!$A:$A,D595),IF(C595="Tournament",INDEX('Tournament Log'!$A:$A,E595),INDEX('Guest Log'!$A:$A,Q595))))</f>
        <v/>
      </c>
      <c r="C595" s="22" t="str">
        <f t="shared" si="45"/>
        <v/>
      </c>
      <c r="D595" s="39" t="str">
        <f>IFERROR(MATCH($A595,'Match Log'!$K$3:$K$501,0)+2,"")</f>
        <v/>
      </c>
      <c r="E595" s="39" t="str">
        <f>IFERROR(MATCH($A595,'Tournament Log'!$O$4:$O$203,0)+3,"")</f>
        <v/>
      </c>
      <c r="F595" s="22" t="str">
        <f>IF(C595="","",IF(C595="Match",INDEX('Match Log'!$B:$B,D595),IF(C595="Tournament",INDEX('Tournament Log'!$C:$C,E595),INDEX('Guest Log'!$B:$B,Q595))))</f>
        <v/>
      </c>
      <c r="G595" s="22" t="str">
        <f>IF(C595="","",IF(C595="Match",INDEX('Match Log'!$C:$C,D595),IF(C595="Tournament",INDEX('Tournament Log'!$B:$B,E595)&amp;" (Phantom)",INDEX('Guest Log'!$H:$H,Q595)&amp;" (Guest)")))</f>
        <v/>
      </c>
      <c r="H595" s="22" t="str">
        <f t="array" ref="H595">IF(C595="","",IFERROR(LOOKUP(2,1/(($F$1:F594=F595)+($G$1:G594=F595)),IF($F$1:F594=F595,$N$1:N594,$O$1:O594)),1000))</f>
        <v/>
      </c>
      <c r="I595" s="22" t="str">
        <f t="array" ref="I595">IF(C595="","",IF(C595="Tournament",INDEX('Tournament Log'!$J:$J,E595),IF(C595="Guest",IF(INDEX('Guest Log'!$I:$I,Q595)="",1000,INDEX('Guest Log'!$I:$I,Q595)),IFERROR(LOOKUP(2,1/(($F$1:F594=G595)+($G$1:G594=G595)),IF($F$1:F594=G595,$N$1:N594,$O$1:O594)),1000))))</f>
        <v/>
      </c>
      <c r="J595" s="22" t="str">
        <f t="shared" si="46"/>
        <v/>
      </c>
      <c r="K595" s="12" t="str">
        <f>IF(C595="","",IF(C595="Match",IF(INDEX('Match Log'!$D:$D,D595)="Win",1,IF(INDEX('Match Log'!$D:$D,D595)="Draw",0.5,0)),IF(C595="Tournament",INDEX('Tournament Log'!$K:$K,E595),IF(INDEX('Guest Log'!$C:$C,Q595)="Win",1,IF(INDEX('Guest Log'!$C:$C,Q595)="Draw",0.5,0)))))</f>
        <v/>
      </c>
      <c r="L595" s="12" t="str">
        <f>IF(C595="","",IF(C595="Match",32,IF(C595="Tournament",MIN(32*INDEX('Tournament Log'!$D:$D,E595),96),32)))</f>
        <v/>
      </c>
      <c r="M595" s="12" t="str">
        <f t="shared" si="47"/>
        <v/>
      </c>
      <c r="N595" s="12" t="str">
        <f t="shared" si="48"/>
        <v/>
      </c>
      <c r="O595" s="12" t="str">
        <f t="shared" si="49"/>
        <v/>
      </c>
      <c r="P595" s="12" t="str">
        <f>IF(C595="Tournament",INDEX('Tournament Log'!$B:$B,E595),IF(C595="Guest","Guest: "&amp;INDEX('Guest Log'!$H:$H,Q595),""))</f>
        <v/>
      </c>
      <c r="Q595" t="str">
        <f>IFERROR(MATCH($A595,'Guest Log'!$L$4:$L$203,0)+3,"")</f>
        <v/>
      </c>
    </row>
    <row r="596" spans="1:17" ht="15" customHeight="1" x14ac:dyDescent="0.2">
      <c r="A596" s="37">
        <f>595</f>
        <v>595</v>
      </c>
      <c r="B596" s="37" t="str">
        <f>IF(C596="","",IF(C596="Match",INDEX('Match Log'!$A:$A,D596),IF(C596="Tournament",INDEX('Tournament Log'!$A:$A,E596),INDEX('Guest Log'!$A:$A,Q596))))</f>
        <v/>
      </c>
      <c r="C596" s="37" t="str">
        <f t="shared" si="45"/>
        <v/>
      </c>
      <c r="D596" s="38" t="str">
        <f>IFERROR(MATCH($A596,'Match Log'!$K$3:$K$501,0)+2,"")</f>
        <v/>
      </c>
      <c r="E596" s="38" t="str">
        <f>IFERROR(MATCH($A596,'Tournament Log'!$O$4:$O$203,0)+3,"")</f>
        <v/>
      </c>
      <c r="F596" s="37" t="str">
        <f>IF(C596="","",IF(C596="Match",INDEX('Match Log'!$B:$B,D596),IF(C596="Tournament",INDEX('Tournament Log'!$C:$C,E596),INDEX('Guest Log'!$B:$B,Q596))))</f>
        <v/>
      </c>
      <c r="G596" s="37" t="str">
        <f>IF(C596="","",IF(C596="Match",INDEX('Match Log'!$C:$C,D596),IF(C596="Tournament",INDEX('Tournament Log'!$B:$B,E596)&amp;" (Phantom)",INDEX('Guest Log'!$H:$H,Q596)&amp;" (Guest)")))</f>
        <v/>
      </c>
      <c r="H596" s="37" t="str">
        <f t="array" ref="H596">IF(C596="","",IFERROR(LOOKUP(2,1/(($F$1:F595=F596)+($G$1:G595=F596)),IF($F$1:F595=F596,$N$1:N595,$O$1:O595)),1000))</f>
        <v/>
      </c>
      <c r="I596" s="37" t="str">
        <f t="array" ref="I596">IF(C596="","",IF(C596="Tournament",INDEX('Tournament Log'!$J:$J,E596),IF(C596="Guest",IF(INDEX('Guest Log'!$I:$I,Q596)="",1000,INDEX('Guest Log'!$I:$I,Q596)),IFERROR(LOOKUP(2,1/(($F$1:F595=G596)+($G$1:G595=G596)),IF($F$1:F595=G596,$N$1:N595,$O$1:O595)),1000))))</f>
        <v/>
      </c>
      <c r="J596" s="37" t="str">
        <f t="shared" si="46"/>
        <v/>
      </c>
      <c r="K596" s="12" t="str">
        <f>IF(C596="","",IF(C596="Match",IF(INDEX('Match Log'!$D:$D,D596)="Win",1,IF(INDEX('Match Log'!$D:$D,D596)="Draw",0.5,0)),IF(C596="Tournament",INDEX('Tournament Log'!$K:$K,E596),IF(INDEX('Guest Log'!$C:$C,Q596)="Win",1,IF(INDEX('Guest Log'!$C:$C,Q596)="Draw",0.5,0)))))</f>
        <v/>
      </c>
      <c r="L596" s="12" t="str">
        <f>IF(C596="","",IF(C596="Match",32,IF(C596="Tournament",MIN(32*INDEX('Tournament Log'!$D:$D,E596),96),32)))</f>
        <v/>
      </c>
      <c r="M596" s="12" t="str">
        <f t="shared" si="47"/>
        <v/>
      </c>
      <c r="N596" s="12" t="str">
        <f t="shared" si="48"/>
        <v/>
      </c>
      <c r="O596" s="12" t="str">
        <f t="shared" si="49"/>
        <v/>
      </c>
      <c r="P596" s="12" t="str">
        <f>IF(C596="Tournament",INDEX('Tournament Log'!$B:$B,E596),IF(C596="Guest","Guest: "&amp;INDEX('Guest Log'!$H:$H,Q596),""))</f>
        <v/>
      </c>
      <c r="Q596" t="str">
        <f>IFERROR(MATCH($A596,'Guest Log'!$L$4:$L$203,0)+3,"")</f>
        <v/>
      </c>
    </row>
    <row r="597" spans="1:17" ht="15" customHeight="1" x14ac:dyDescent="0.2">
      <c r="A597" s="22">
        <f>596</f>
        <v>596</v>
      </c>
      <c r="B597" s="22" t="str">
        <f>IF(C597="","",IF(C597="Match",INDEX('Match Log'!$A:$A,D597),IF(C597="Tournament",INDEX('Tournament Log'!$A:$A,E597),INDEX('Guest Log'!$A:$A,Q597))))</f>
        <v/>
      </c>
      <c r="C597" s="22" t="str">
        <f t="shared" si="45"/>
        <v/>
      </c>
      <c r="D597" s="39" t="str">
        <f>IFERROR(MATCH($A597,'Match Log'!$K$3:$K$501,0)+2,"")</f>
        <v/>
      </c>
      <c r="E597" s="39" t="str">
        <f>IFERROR(MATCH($A597,'Tournament Log'!$O$4:$O$203,0)+3,"")</f>
        <v/>
      </c>
      <c r="F597" s="22" t="str">
        <f>IF(C597="","",IF(C597="Match",INDEX('Match Log'!$B:$B,D597),IF(C597="Tournament",INDEX('Tournament Log'!$C:$C,E597),INDEX('Guest Log'!$B:$B,Q597))))</f>
        <v/>
      </c>
      <c r="G597" s="22" t="str">
        <f>IF(C597="","",IF(C597="Match",INDEX('Match Log'!$C:$C,D597),IF(C597="Tournament",INDEX('Tournament Log'!$B:$B,E597)&amp;" (Phantom)",INDEX('Guest Log'!$H:$H,Q597)&amp;" (Guest)")))</f>
        <v/>
      </c>
      <c r="H597" s="22" t="str">
        <f t="array" ref="H597">IF(C597="","",IFERROR(LOOKUP(2,1/(($F$1:F596=F597)+($G$1:G596=F597)),IF($F$1:F596=F597,$N$1:N596,$O$1:O596)),1000))</f>
        <v/>
      </c>
      <c r="I597" s="22" t="str">
        <f t="array" ref="I597">IF(C597="","",IF(C597="Tournament",INDEX('Tournament Log'!$J:$J,E597),IF(C597="Guest",IF(INDEX('Guest Log'!$I:$I,Q597)="",1000,INDEX('Guest Log'!$I:$I,Q597)),IFERROR(LOOKUP(2,1/(($F$1:F596=G597)+($G$1:G596=G597)),IF($F$1:F596=G597,$N$1:N596,$O$1:O596)),1000))))</f>
        <v/>
      </c>
      <c r="J597" s="22" t="str">
        <f t="shared" si="46"/>
        <v/>
      </c>
      <c r="K597" s="12" t="str">
        <f>IF(C597="","",IF(C597="Match",IF(INDEX('Match Log'!$D:$D,D597)="Win",1,IF(INDEX('Match Log'!$D:$D,D597)="Draw",0.5,0)),IF(C597="Tournament",INDEX('Tournament Log'!$K:$K,E597),IF(INDEX('Guest Log'!$C:$C,Q597)="Win",1,IF(INDEX('Guest Log'!$C:$C,Q597)="Draw",0.5,0)))))</f>
        <v/>
      </c>
      <c r="L597" s="12" t="str">
        <f>IF(C597="","",IF(C597="Match",32,IF(C597="Tournament",MIN(32*INDEX('Tournament Log'!$D:$D,E597),96),32)))</f>
        <v/>
      </c>
      <c r="M597" s="12" t="str">
        <f t="shared" si="47"/>
        <v/>
      </c>
      <c r="N597" s="12" t="str">
        <f t="shared" si="48"/>
        <v/>
      </c>
      <c r="O597" s="12" t="str">
        <f t="shared" si="49"/>
        <v/>
      </c>
      <c r="P597" s="12" t="str">
        <f>IF(C597="Tournament",INDEX('Tournament Log'!$B:$B,E597),IF(C597="Guest","Guest: "&amp;INDEX('Guest Log'!$H:$H,Q597),""))</f>
        <v/>
      </c>
      <c r="Q597" t="str">
        <f>IFERROR(MATCH($A597,'Guest Log'!$L$4:$L$203,0)+3,"")</f>
        <v/>
      </c>
    </row>
    <row r="598" spans="1:17" ht="15" customHeight="1" x14ac:dyDescent="0.2">
      <c r="A598" s="37">
        <f>597</f>
        <v>597</v>
      </c>
      <c r="B598" s="37" t="str">
        <f>IF(C598="","",IF(C598="Match",INDEX('Match Log'!$A:$A,D598),IF(C598="Tournament",INDEX('Tournament Log'!$A:$A,E598),INDEX('Guest Log'!$A:$A,Q598))))</f>
        <v/>
      </c>
      <c r="C598" s="37" t="str">
        <f t="shared" si="45"/>
        <v/>
      </c>
      <c r="D598" s="38" t="str">
        <f>IFERROR(MATCH($A598,'Match Log'!$K$3:$K$501,0)+2,"")</f>
        <v/>
      </c>
      <c r="E598" s="38" t="str">
        <f>IFERROR(MATCH($A598,'Tournament Log'!$O$4:$O$203,0)+3,"")</f>
        <v/>
      </c>
      <c r="F598" s="37" t="str">
        <f>IF(C598="","",IF(C598="Match",INDEX('Match Log'!$B:$B,D598),IF(C598="Tournament",INDEX('Tournament Log'!$C:$C,E598),INDEX('Guest Log'!$B:$B,Q598))))</f>
        <v/>
      </c>
      <c r="G598" s="37" t="str">
        <f>IF(C598="","",IF(C598="Match",INDEX('Match Log'!$C:$C,D598),IF(C598="Tournament",INDEX('Tournament Log'!$B:$B,E598)&amp;" (Phantom)",INDEX('Guest Log'!$H:$H,Q598)&amp;" (Guest)")))</f>
        <v/>
      </c>
      <c r="H598" s="37" t="str">
        <f t="array" ref="H598">IF(C598="","",IFERROR(LOOKUP(2,1/(($F$1:F597=F598)+($G$1:G597=F598)),IF($F$1:F597=F598,$N$1:N597,$O$1:O597)),1000))</f>
        <v/>
      </c>
      <c r="I598" s="37" t="str">
        <f t="array" ref="I598">IF(C598="","",IF(C598="Tournament",INDEX('Tournament Log'!$J:$J,E598),IF(C598="Guest",IF(INDEX('Guest Log'!$I:$I,Q598)="",1000,INDEX('Guest Log'!$I:$I,Q598)),IFERROR(LOOKUP(2,1/(($F$1:F597=G598)+($G$1:G597=G598)),IF($F$1:F597=G598,$N$1:N597,$O$1:O597)),1000))))</f>
        <v/>
      </c>
      <c r="J598" s="37" t="str">
        <f t="shared" si="46"/>
        <v/>
      </c>
      <c r="K598" s="12" t="str">
        <f>IF(C598="","",IF(C598="Match",IF(INDEX('Match Log'!$D:$D,D598)="Win",1,IF(INDEX('Match Log'!$D:$D,D598)="Draw",0.5,0)),IF(C598="Tournament",INDEX('Tournament Log'!$K:$K,E598),IF(INDEX('Guest Log'!$C:$C,Q598)="Win",1,IF(INDEX('Guest Log'!$C:$C,Q598)="Draw",0.5,0)))))</f>
        <v/>
      </c>
      <c r="L598" s="12" t="str">
        <f>IF(C598="","",IF(C598="Match",32,IF(C598="Tournament",MIN(32*INDEX('Tournament Log'!$D:$D,E598),96),32)))</f>
        <v/>
      </c>
      <c r="M598" s="12" t="str">
        <f t="shared" si="47"/>
        <v/>
      </c>
      <c r="N598" s="12" t="str">
        <f t="shared" si="48"/>
        <v/>
      </c>
      <c r="O598" s="12" t="str">
        <f t="shared" si="49"/>
        <v/>
      </c>
      <c r="P598" s="12" t="str">
        <f>IF(C598="Tournament",INDEX('Tournament Log'!$B:$B,E598),IF(C598="Guest","Guest: "&amp;INDEX('Guest Log'!$H:$H,Q598),""))</f>
        <v/>
      </c>
      <c r="Q598" t="str">
        <f>IFERROR(MATCH($A598,'Guest Log'!$L$4:$L$203,0)+3,"")</f>
        <v/>
      </c>
    </row>
    <row r="599" spans="1:17" ht="15" customHeight="1" x14ac:dyDescent="0.2">
      <c r="A599" s="22">
        <f>598</f>
        <v>598</v>
      </c>
      <c r="B599" s="22" t="str">
        <f>IF(C599="","",IF(C599="Match",INDEX('Match Log'!$A:$A,D599),IF(C599="Tournament",INDEX('Tournament Log'!$A:$A,E599),INDEX('Guest Log'!$A:$A,Q599))))</f>
        <v/>
      </c>
      <c r="C599" s="22" t="str">
        <f t="shared" si="45"/>
        <v/>
      </c>
      <c r="D599" s="39" t="str">
        <f>IFERROR(MATCH($A599,'Match Log'!$K$3:$K$501,0)+2,"")</f>
        <v/>
      </c>
      <c r="E599" s="39" t="str">
        <f>IFERROR(MATCH($A599,'Tournament Log'!$O$4:$O$203,0)+3,"")</f>
        <v/>
      </c>
      <c r="F599" s="22" t="str">
        <f>IF(C599="","",IF(C599="Match",INDEX('Match Log'!$B:$B,D599),IF(C599="Tournament",INDEX('Tournament Log'!$C:$C,E599),INDEX('Guest Log'!$B:$B,Q599))))</f>
        <v/>
      </c>
      <c r="G599" s="22" t="str">
        <f>IF(C599="","",IF(C599="Match",INDEX('Match Log'!$C:$C,D599),IF(C599="Tournament",INDEX('Tournament Log'!$B:$B,E599)&amp;" (Phantom)",INDEX('Guest Log'!$H:$H,Q599)&amp;" (Guest)")))</f>
        <v/>
      </c>
      <c r="H599" s="22" t="str">
        <f t="array" ref="H599">IF(C599="","",IFERROR(LOOKUP(2,1/(($F$1:F598=F599)+($G$1:G598=F599)),IF($F$1:F598=F599,$N$1:N598,$O$1:O598)),1000))</f>
        <v/>
      </c>
      <c r="I599" s="22" t="str">
        <f t="array" ref="I599">IF(C599="","",IF(C599="Tournament",INDEX('Tournament Log'!$J:$J,E599),IF(C599="Guest",IF(INDEX('Guest Log'!$I:$I,Q599)="",1000,INDEX('Guest Log'!$I:$I,Q599)),IFERROR(LOOKUP(2,1/(($F$1:F598=G599)+($G$1:G598=G599)),IF($F$1:F598=G599,$N$1:N598,$O$1:O598)),1000))))</f>
        <v/>
      </c>
      <c r="J599" s="22" t="str">
        <f t="shared" si="46"/>
        <v/>
      </c>
      <c r="K599" s="12" t="str">
        <f>IF(C599="","",IF(C599="Match",IF(INDEX('Match Log'!$D:$D,D599)="Win",1,IF(INDEX('Match Log'!$D:$D,D599)="Draw",0.5,0)),IF(C599="Tournament",INDEX('Tournament Log'!$K:$K,E599),IF(INDEX('Guest Log'!$C:$C,Q599)="Win",1,IF(INDEX('Guest Log'!$C:$C,Q599)="Draw",0.5,0)))))</f>
        <v/>
      </c>
      <c r="L599" s="12" t="str">
        <f>IF(C599="","",IF(C599="Match",32,IF(C599="Tournament",MIN(32*INDEX('Tournament Log'!$D:$D,E599),96),32)))</f>
        <v/>
      </c>
      <c r="M599" s="12" t="str">
        <f t="shared" si="47"/>
        <v/>
      </c>
      <c r="N599" s="12" t="str">
        <f t="shared" si="48"/>
        <v/>
      </c>
      <c r="O599" s="12" t="str">
        <f t="shared" si="49"/>
        <v/>
      </c>
      <c r="P599" s="12" t="str">
        <f>IF(C599="Tournament",INDEX('Tournament Log'!$B:$B,E599),IF(C599="Guest","Guest: "&amp;INDEX('Guest Log'!$H:$H,Q599),""))</f>
        <v/>
      </c>
      <c r="Q599" t="str">
        <f>IFERROR(MATCH($A599,'Guest Log'!$L$4:$L$203,0)+3,"")</f>
        <v/>
      </c>
    </row>
    <row r="600" spans="1:17" ht="15" customHeight="1" x14ac:dyDescent="0.2">
      <c r="A600" s="37">
        <f>599</f>
        <v>599</v>
      </c>
      <c r="B600" s="37" t="str">
        <f>IF(C600="","",IF(C600="Match",INDEX('Match Log'!$A:$A,D600),IF(C600="Tournament",INDEX('Tournament Log'!$A:$A,E600),INDEX('Guest Log'!$A:$A,Q600))))</f>
        <v/>
      </c>
      <c r="C600" s="37" t="str">
        <f t="shared" si="45"/>
        <v/>
      </c>
      <c r="D600" s="38" t="str">
        <f>IFERROR(MATCH($A600,'Match Log'!$K$3:$K$501,0)+2,"")</f>
        <v/>
      </c>
      <c r="E600" s="38" t="str">
        <f>IFERROR(MATCH($A600,'Tournament Log'!$O$4:$O$203,0)+3,"")</f>
        <v/>
      </c>
      <c r="F600" s="37" t="str">
        <f>IF(C600="","",IF(C600="Match",INDEX('Match Log'!$B:$B,D600),IF(C600="Tournament",INDEX('Tournament Log'!$C:$C,E600),INDEX('Guest Log'!$B:$B,Q600))))</f>
        <v/>
      </c>
      <c r="G600" s="37" t="str">
        <f>IF(C600="","",IF(C600="Match",INDEX('Match Log'!$C:$C,D600),IF(C600="Tournament",INDEX('Tournament Log'!$B:$B,E600)&amp;" (Phantom)",INDEX('Guest Log'!$H:$H,Q600)&amp;" (Guest)")))</f>
        <v/>
      </c>
      <c r="H600" s="37" t="str">
        <f t="array" ref="H600">IF(C600="","",IFERROR(LOOKUP(2,1/(($F$1:F599=F600)+($G$1:G599=F600)),IF($F$1:F599=F600,$N$1:N599,$O$1:O599)),1000))</f>
        <v/>
      </c>
      <c r="I600" s="37" t="str">
        <f t="array" ref="I600">IF(C600="","",IF(C600="Tournament",INDEX('Tournament Log'!$J:$J,E600),IF(C600="Guest",IF(INDEX('Guest Log'!$I:$I,Q600)="",1000,INDEX('Guest Log'!$I:$I,Q600)),IFERROR(LOOKUP(2,1/(($F$1:F599=G600)+($G$1:G599=G600)),IF($F$1:F599=G600,$N$1:N599,$O$1:O599)),1000))))</f>
        <v/>
      </c>
      <c r="J600" s="37" t="str">
        <f t="shared" si="46"/>
        <v/>
      </c>
      <c r="K600" s="12" t="str">
        <f>IF(C600="","",IF(C600="Match",IF(INDEX('Match Log'!$D:$D,D600)="Win",1,IF(INDEX('Match Log'!$D:$D,D600)="Draw",0.5,0)),IF(C600="Tournament",INDEX('Tournament Log'!$K:$K,E600),IF(INDEX('Guest Log'!$C:$C,Q600)="Win",1,IF(INDEX('Guest Log'!$C:$C,Q600)="Draw",0.5,0)))))</f>
        <v/>
      </c>
      <c r="L600" s="12" t="str">
        <f>IF(C600="","",IF(C600="Match",32,IF(C600="Tournament",MIN(32*INDEX('Tournament Log'!$D:$D,E600),96),32)))</f>
        <v/>
      </c>
      <c r="M600" s="12" t="str">
        <f t="shared" si="47"/>
        <v/>
      </c>
      <c r="N600" s="12" t="str">
        <f t="shared" si="48"/>
        <v/>
      </c>
      <c r="O600" s="12" t="str">
        <f t="shared" si="49"/>
        <v/>
      </c>
      <c r="P600" s="12" t="str">
        <f>IF(C600="Tournament",INDEX('Tournament Log'!$B:$B,E600),IF(C600="Guest","Guest: "&amp;INDEX('Guest Log'!$H:$H,Q600),""))</f>
        <v/>
      </c>
      <c r="Q600" t="str">
        <f>IFERROR(MATCH($A600,'Guest Log'!$L$4:$L$203,0)+3,"")</f>
        <v/>
      </c>
    </row>
    <row r="601" spans="1:17" ht="15" customHeight="1" x14ac:dyDescent="0.2">
      <c r="A601" s="22">
        <f>600</f>
        <v>600</v>
      </c>
      <c r="B601" s="22" t="str">
        <f>IF(C601="","",IF(C601="Match",INDEX('Match Log'!$A:$A,D601),IF(C601="Tournament",INDEX('Tournament Log'!$A:$A,E601),INDEX('Guest Log'!$A:$A,Q601))))</f>
        <v/>
      </c>
      <c r="C601" s="22" t="str">
        <f t="shared" si="45"/>
        <v/>
      </c>
      <c r="D601" s="39" t="str">
        <f>IFERROR(MATCH($A601,'Match Log'!$K$3:$K$501,0)+2,"")</f>
        <v/>
      </c>
      <c r="E601" s="39" t="str">
        <f>IFERROR(MATCH($A601,'Tournament Log'!$O$4:$O$203,0)+3,"")</f>
        <v/>
      </c>
      <c r="F601" s="22" t="str">
        <f>IF(C601="","",IF(C601="Match",INDEX('Match Log'!$B:$B,D601),IF(C601="Tournament",INDEX('Tournament Log'!$C:$C,E601),INDEX('Guest Log'!$B:$B,Q601))))</f>
        <v/>
      </c>
      <c r="G601" s="22" t="str">
        <f>IF(C601="","",IF(C601="Match",INDEX('Match Log'!$C:$C,D601),IF(C601="Tournament",INDEX('Tournament Log'!$B:$B,E601)&amp;" (Phantom)",INDEX('Guest Log'!$H:$H,Q601)&amp;" (Guest)")))</f>
        <v/>
      </c>
      <c r="H601" s="22" t="str">
        <f t="array" ref="H601">IF(C601="","",IFERROR(LOOKUP(2,1/(($F$1:F600=F601)+($G$1:G600=F601)),IF($F$1:F600=F601,$N$1:N600,$O$1:O600)),1000))</f>
        <v/>
      </c>
      <c r="I601" s="22" t="str">
        <f t="array" ref="I601">IF(C601="","",IF(C601="Tournament",INDEX('Tournament Log'!$J:$J,E601),IF(C601="Guest",IF(INDEX('Guest Log'!$I:$I,Q601)="",1000,INDEX('Guest Log'!$I:$I,Q601)),IFERROR(LOOKUP(2,1/(($F$1:F600=G601)+($G$1:G600=G601)),IF($F$1:F600=G601,$N$1:N600,$O$1:O600)),1000))))</f>
        <v/>
      </c>
      <c r="J601" s="22" t="str">
        <f t="shared" si="46"/>
        <v/>
      </c>
      <c r="K601" s="12" t="str">
        <f>IF(C601="","",IF(C601="Match",IF(INDEX('Match Log'!$D:$D,D601)="Win",1,IF(INDEX('Match Log'!$D:$D,D601)="Draw",0.5,0)),IF(C601="Tournament",INDEX('Tournament Log'!$K:$K,E601),IF(INDEX('Guest Log'!$C:$C,Q601)="Win",1,IF(INDEX('Guest Log'!$C:$C,Q601)="Draw",0.5,0)))))</f>
        <v/>
      </c>
      <c r="L601" s="12" t="str">
        <f>IF(C601="","",IF(C601="Match",32,IF(C601="Tournament",MIN(32*INDEX('Tournament Log'!$D:$D,E601),96),32)))</f>
        <v/>
      </c>
      <c r="M601" s="12" t="str">
        <f t="shared" si="47"/>
        <v/>
      </c>
      <c r="N601" s="12" t="str">
        <f t="shared" si="48"/>
        <v/>
      </c>
      <c r="O601" s="12" t="str">
        <f t="shared" si="49"/>
        <v/>
      </c>
      <c r="P601" s="12" t="str">
        <f>IF(C601="Tournament",INDEX('Tournament Log'!$B:$B,E601),IF(C601="Guest","Guest: "&amp;INDEX('Guest Log'!$H:$H,Q601),""))</f>
        <v/>
      </c>
      <c r="Q601" t="str">
        <f>IFERROR(MATCH($A601,'Guest Log'!$L$4:$L$203,0)+3,"")</f>
        <v/>
      </c>
    </row>
    <row r="602" spans="1:17" ht="15" customHeight="1" x14ac:dyDescent="0.2">
      <c r="A602" s="37">
        <f>601</f>
        <v>601</v>
      </c>
      <c r="B602" s="37" t="str">
        <f>IF(C602="","",IF(C602="Match",INDEX('Match Log'!$A:$A,D602),IF(C602="Tournament",INDEX('Tournament Log'!$A:$A,E602),INDEX('Guest Log'!$A:$A,Q602))))</f>
        <v/>
      </c>
      <c r="C602" s="37" t="str">
        <f t="shared" si="45"/>
        <v/>
      </c>
      <c r="D602" s="38" t="str">
        <f>IFERROR(MATCH($A602,'Match Log'!$K$3:$K$501,0)+2,"")</f>
        <v/>
      </c>
      <c r="E602" s="38" t="str">
        <f>IFERROR(MATCH($A602,'Tournament Log'!$O$4:$O$203,0)+3,"")</f>
        <v/>
      </c>
      <c r="F602" s="37" t="str">
        <f>IF(C602="","",IF(C602="Match",INDEX('Match Log'!$B:$B,D602),IF(C602="Tournament",INDEX('Tournament Log'!$C:$C,E602),INDEX('Guest Log'!$B:$B,Q602))))</f>
        <v/>
      </c>
      <c r="G602" s="37" t="str">
        <f>IF(C602="","",IF(C602="Match",INDEX('Match Log'!$C:$C,D602),IF(C602="Tournament",INDEX('Tournament Log'!$B:$B,E602)&amp;" (Phantom)",INDEX('Guest Log'!$H:$H,Q602)&amp;" (Guest)")))</f>
        <v/>
      </c>
      <c r="H602" s="37" t="str">
        <f t="array" ref="H602">IF(C602="","",IFERROR(LOOKUP(2,1/(($F$1:F601=F602)+($G$1:G601=F602)),IF($F$1:F601=F602,$N$1:N601,$O$1:O601)),1000))</f>
        <v/>
      </c>
      <c r="I602" s="37" t="str">
        <f t="array" ref="I602">IF(C602="","",IF(C602="Tournament",INDEX('Tournament Log'!$J:$J,E602),IF(C602="Guest",IF(INDEX('Guest Log'!$I:$I,Q602)="",1000,INDEX('Guest Log'!$I:$I,Q602)),IFERROR(LOOKUP(2,1/(($F$1:F601=G602)+($G$1:G601=G602)),IF($F$1:F601=G602,$N$1:N601,$O$1:O601)),1000))))</f>
        <v/>
      </c>
      <c r="J602" s="37" t="str">
        <f t="shared" si="46"/>
        <v/>
      </c>
      <c r="K602" s="12" t="str">
        <f>IF(C602="","",IF(C602="Match",IF(INDEX('Match Log'!$D:$D,D602)="Win",1,IF(INDEX('Match Log'!$D:$D,D602)="Draw",0.5,0)),IF(C602="Tournament",INDEX('Tournament Log'!$K:$K,E602),IF(INDEX('Guest Log'!$C:$C,Q602)="Win",1,IF(INDEX('Guest Log'!$C:$C,Q602)="Draw",0.5,0)))))</f>
        <v/>
      </c>
      <c r="L602" s="12" t="str">
        <f>IF(C602="","",IF(C602="Match",32,IF(C602="Tournament",MIN(32*INDEX('Tournament Log'!$D:$D,E602),96),32)))</f>
        <v/>
      </c>
      <c r="M602" s="12" t="str">
        <f t="shared" si="47"/>
        <v/>
      </c>
      <c r="N602" s="12" t="str">
        <f t="shared" si="48"/>
        <v/>
      </c>
      <c r="O602" s="12" t="str">
        <f t="shared" si="49"/>
        <v/>
      </c>
      <c r="P602" s="12" t="str">
        <f>IF(C602="Tournament",INDEX('Tournament Log'!$B:$B,E602),IF(C602="Guest","Guest: "&amp;INDEX('Guest Log'!$H:$H,Q602),""))</f>
        <v/>
      </c>
      <c r="Q602" t="str">
        <f>IFERROR(MATCH($A602,'Guest Log'!$L$4:$L$203,0)+3,"")</f>
        <v/>
      </c>
    </row>
    <row r="603" spans="1:17" ht="15" customHeight="1" x14ac:dyDescent="0.2">
      <c r="A603" s="22">
        <f>602</f>
        <v>602</v>
      </c>
      <c r="B603" s="22" t="str">
        <f>IF(C603="","",IF(C603="Match",INDEX('Match Log'!$A:$A,D603),IF(C603="Tournament",INDEX('Tournament Log'!$A:$A,E603),INDEX('Guest Log'!$A:$A,Q603))))</f>
        <v/>
      </c>
      <c r="C603" s="22" t="str">
        <f t="shared" si="45"/>
        <v/>
      </c>
      <c r="D603" s="39" t="str">
        <f>IFERROR(MATCH($A603,'Match Log'!$K$3:$K$501,0)+2,"")</f>
        <v/>
      </c>
      <c r="E603" s="39" t="str">
        <f>IFERROR(MATCH($A603,'Tournament Log'!$O$4:$O$203,0)+3,"")</f>
        <v/>
      </c>
      <c r="F603" s="22" t="str">
        <f>IF(C603="","",IF(C603="Match",INDEX('Match Log'!$B:$B,D603),IF(C603="Tournament",INDEX('Tournament Log'!$C:$C,E603),INDEX('Guest Log'!$B:$B,Q603))))</f>
        <v/>
      </c>
      <c r="G603" s="22" t="str">
        <f>IF(C603="","",IF(C603="Match",INDEX('Match Log'!$C:$C,D603),IF(C603="Tournament",INDEX('Tournament Log'!$B:$B,E603)&amp;" (Phantom)",INDEX('Guest Log'!$H:$H,Q603)&amp;" (Guest)")))</f>
        <v/>
      </c>
      <c r="H603" s="22" t="str">
        <f t="array" ref="H603">IF(C603="","",IFERROR(LOOKUP(2,1/(($F$1:F602=F603)+($G$1:G602=F603)),IF($F$1:F602=F603,$N$1:N602,$O$1:O602)),1000))</f>
        <v/>
      </c>
      <c r="I603" s="22" t="str">
        <f t="array" ref="I603">IF(C603="","",IF(C603="Tournament",INDEX('Tournament Log'!$J:$J,E603),IF(C603="Guest",IF(INDEX('Guest Log'!$I:$I,Q603)="",1000,INDEX('Guest Log'!$I:$I,Q603)),IFERROR(LOOKUP(2,1/(($F$1:F602=G603)+($G$1:G602=G603)),IF($F$1:F602=G603,$N$1:N602,$O$1:O602)),1000))))</f>
        <v/>
      </c>
      <c r="J603" s="22" t="str">
        <f t="shared" si="46"/>
        <v/>
      </c>
      <c r="K603" s="12" t="str">
        <f>IF(C603="","",IF(C603="Match",IF(INDEX('Match Log'!$D:$D,D603)="Win",1,IF(INDEX('Match Log'!$D:$D,D603)="Draw",0.5,0)),IF(C603="Tournament",INDEX('Tournament Log'!$K:$K,E603),IF(INDEX('Guest Log'!$C:$C,Q603)="Win",1,IF(INDEX('Guest Log'!$C:$C,Q603)="Draw",0.5,0)))))</f>
        <v/>
      </c>
      <c r="L603" s="12" t="str">
        <f>IF(C603="","",IF(C603="Match",32,IF(C603="Tournament",MIN(32*INDEX('Tournament Log'!$D:$D,E603),96),32)))</f>
        <v/>
      </c>
      <c r="M603" s="12" t="str">
        <f t="shared" si="47"/>
        <v/>
      </c>
      <c r="N603" s="12" t="str">
        <f t="shared" si="48"/>
        <v/>
      </c>
      <c r="O603" s="12" t="str">
        <f t="shared" si="49"/>
        <v/>
      </c>
      <c r="P603" s="12" t="str">
        <f>IF(C603="Tournament",INDEX('Tournament Log'!$B:$B,E603),IF(C603="Guest","Guest: "&amp;INDEX('Guest Log'!$H:$H,Q603),""))</f>
        <v/>
      </c>
      <c r="Q603" t="str">
        <f>IFERROR(MATCH($A603,'Guest Log'!$L$4:$L$203,0)+3,"")</f>
        <v/>
      </c>
    </row>
    <row r="604" spans="1:17" ht="15" customHeight="1" x14ac:dyDescent="0.2">
      <c r="A604" s="37">
        <f>603</f>
        <v>603</v>
      </c>
      <c r="B604" s="37" t="str">
        <f>IF(C604="","",IF(C604="Match",INDEX('Match Log'!$A:$A,D604),IF(C604="Tournament",INDEX('Tournament Log'!$A:$A,E604),INDEX('Guest Log'!$A:$A,Q604))))</f>
        <v/>
      </c>
      <c r="C604" s="37" t="str">
        <f t="shared" si="45"/>
        <v/>
      </c>
      <c r="D604" s="38" t="str">
        <f>IFERROR(MATCH($A604,'Match Log'!$K$3:$K$501,0)+2,"")</f>
        <v/>
      </c>
      <c r="E604" s="38" t="str">
        <f>IFERROR(MATCH($A604,'Tournament Log'!$O$4:$O$203,0)+3,"")</f>
        <v/>
      </c>
      <c r="F604" s="37" t="str">
        <f>IF(C604="","",IF(C604="Match",INDEX('Match Log'!$B:$B,D604),IF(C604="Tournament",INDEX('Tournament Log'!$C:$C,E604),INDEX('Guest Log'!$B:$B,Q604))))</f>
        <v/>
      </c>
      <c r="G604" s="37" t="str">
        <f>IF(C604="","",IF(C604="Match",INDEX('Match Log'!$C:$C,D604),IF(C604="Tournament",INDEX('Tournament Log'!$B:$B,E604)&amp;" (Phantom)",INDEX('Guest Log'!$H:$H,Q604)&amp;" (Guest)")))</f>
        <v/>
      </c>
      <c r="H604" s="37" t="str">
        <f t="array" ref="H604">IF(C604="","",IFERROR(LOOKUP(2,1/(($F$1:F603=F604)+($G$1:G603=F604)),IF($F$1:F603=F604,$N$1:N603,$O$1:O603)),1000))</f>
        <v/>
      </c>
      <c r="I604" s="37" t="str">
        <f t="array" ref="I604">IF(C604="","",IF(C604="Tournament",INDEX('Tournament Log'!$J:$J,E604),IF(C604="Guest",IF(INDEX('Guest Log'!$I:$I,Q604)="",1000,INDEX('Guest Log'!$I:$I,Q604)),IFERROR(LOOKUP(2,1/(($F$1:F603=G604)+($G$1:G603=G604)),IF($F$1:F603=G604,$N$1:N603,$O$1:O603)),1000))))</f>
        <v/>
      </c>
      <c r="J604" s="37" t="str">
        <f t="shared" si="46"/>
        <v/>
      </c>
      <c r="K604" s="12" t="str">
        <f>IF(C604="","",IF(C604="Match",IF(INDEX('Match Log'!$D:$D,D604)="Win",1,IF(INDEX('Match Log'!$D:$D,D604)="Draw",0.5,0)),IF(C604="Tournament",INDEX('Tournament Log'!$K:$K,E604),IF(INDEX('Guest Log'!$C:$C,Q604)="Win",1,IF(INDEX('Guest Log'!$C:$C,Q604)="Draw",0.5,0)))))</f>
        <v/>
      </c>
      <c r="L604" s="12" t="str">
        <f>IF(C604="","",IF(C604="Match",32,IF(C604="Tournament",MIN(32*INDEX('Tournament Log'!$D:$D,E604),96),32)))</f>
        <v/>
      </c>
      <c r="M604" s="12" t="str">
        <f t="shared" si="47"/>
        <v/>
      </c>
      <c r="N604" s="12" t="str">
        <f t="shared" si="48"/>
        <v/>
      </c>
      <c r="O604" s="12" t="str">
        <f t="shared" si="49"/>
        <v/>
      </c>
      <c r="P604" s="12" t="str">
        <f>IF(C604="Tournament",INDEX('Tournament Log'!$B:$B,E604),IF(C604="Guest","Guest: "&amp;INDEX('Guest Log'!$H:$H,Q604),""))</f>
        <v/>
      </c>
      <c r="Q604" t="str">
        <f>IFERROR(MATCH($A604,'Guest Log'!$L$4:$L$203,0)+3,"")</f>
        <v/>
      </c>
    </row>
    <row r="605" spans="1:17" ht="15" customHeight="1" x14ac:dyDescent="0.2">
      <c r="A605" s="22">
        <f>604</f>
        <v>604</v>
      </c>
      <c r="B605" s="22" t="str">
        <f>IF(C605="","",IF(C605="Match",INDEX('Match Log'!$A:$A,D605),IF(C605="Tournament",INDEX('Tournament Log'!$A:$A,E605),INDEX('Guest Log'!$A:$A,Q605))))</f>
        <v/>
      </c>
      <c r="C605" s="22" t="str">
        <f t="shared" si="45"/>
        <v/>
      </c>
      <c r="D605" s="39" t="str">
        <f>IFERROR(MATCH($A605,'Match Log'!$K$3:$K$501,0)+2,"")</f>
        <v/>
      </c>
      <c r="E605" s="39" t="str">
        <f>IFERROR(MATCH($A605,'Tournament Log'!$O$4:$O$203,0)+3,"")</f>
        <v/>
      </c>
      <c r="F605" s="22" t="str">
        <f>IF(C605="","",IF(C605="Match",INDEX('Match Log'!$B:$B,D605),IF(C605="Tournament",INDEX('Tournament Log'!$C:$C,E605),INDEX('Guest Log'!$B:$B,Q605))))</f>
        <v/>
      </c>
      <c r="G605" s="22" t="str">
        <f>IF(C605="","",IF(C605="Match",INDEX('Match Log'!$C:$C,D605),IF(C605="Tournament",INDEX('Tournament Log'!$B:$B,E605)&amp;" (Phantom)",INDEX('Guest Log'!$H:$H,Q605)&amp;" (Guest)")))</f>
        <v/>
      </c>
      <c r="H605" s="22" t="str">
        <f t="array" ref="H605">IF(C605="","",IFERROR(LOOKUP(2,1/(($F$1:F604=F605)+($G$1:G604=F605)),IF($F$1:F604=F605,$N$1:N604,$O$1:O604)),1000))</f>
        <v/>
      </c>
      <c r="I605" s="22" t="str">
        <f t="array" ref="I605">IF(C605="","",IF(C605="Tournament",INDEX('Tournament Log'!$J:$J,E605),IF(C605="Guest",IF(INDEX('Guest Log'!$I:$I,Q605)="",1000,INDEX('Guest Log'!$I:$I,Q605)),IFERROR(LOOKUP(2,1/(($F$1:F604=G605)+($G$1:G604=G605)),IF($F$1:F604=G605,$N$1:N604,$O$1:O604)),1000))))</f>
        <v/>
      </c>
      <c r="J605" s="22" t="str">
        <f t="shared" si="46"/>
        <v/>
      </c>
      <c r="K605" s="12" t="str">
        <f>IF(C605="","",IF(C605="Match",IF(INDEX('Match Log'!$D:$D,D605)="Win",1,IF(INDEX('Match Log'!$D:$D,D605)="Draw",0.5,0)),IF(C605="Tournament",INDEX('Tournament Log'!$K:$K,E605),IF(INDEX('Guest Log'!$C:$C,Q605)="Win",1,IF(INDEX('Guest Log'!$C:$C,Q605)="Draw",0.5,0)))))</f>
        <v/>
      </c>
      <c r="L605" s="12" t="str">
        <f>IF(C605="","",IF(C605="Match",32,IF(C605="Tournament",MIN(32*INDEX('Tournament Log'!$D:$D,E605),96),32)))</f>
        <v/>
      </c>
      <c r="M605" s="12" t="str">
        <f t="shared" si="47"/>
        <v/>
      </c>
      <c r="N605" s="12" t="str">
        <f t="shared" si="48"/>
        <v/>
      </c>
      <c r="O605" s="12" t="str">
        <f t="shared" si="49"/>
        <v/>
      </c>
      <c r="P605" s="12" t="str">
        <f>IF(C605="Tournament",INDEX('Tournament Log'!$B:$B,E605),IF(C605="Guest","Guest: "&amp;INDEX('Guest Log'!$H:$H,Q605),""))</f>
        <v/>
      </c>
      <c r="Q605" t="str">
        <f>IFERROR(MATCH($A605,'Guest Log'!$L$4:$L$203,0)+3,"")</f>
        <v/>
      </c>
    </row>
    <row r="606" spans="1:17" ht="15" customHeight="1" x14ac:dyDescent="0.2">
      <c r="A606" s="37">
        <f>605</f>
        <v>605</v>
      </c>
      <c r="B606" s="37" t="str">
        <f>IF(C606="","",IF(C606="Match",INDEX('Match Log'!$A:$A,D606),IF(C606="Tournament",INDEX('Tournament Log'!$A:$A,E606),INDEX('Guest Log'!$A:$A,Q606))))</f>
        <v/>
      </c>
      <c r="C606" s="37" t="str">
        <f t="shared" si="45"/>
        <v/>
      </c>
      <c r="D606" s="38" t="str">
        <f>IFERROR(MATCH($A606,'Match Log'!$K$3:$K$501,0)+2,"")</f>
        <v/>
      </c>
      <c r="E606" s="38" t="str">
        <f>IFERROR(MATCH($A606,'Tournament Log'!$O$4:$O$203,0)+3,"")</f>
        <v/>
      </c>
      <c r="F606" s="37" t="str">
        <f>IF(C606="","",IF(C606="Match",INDEX('Match Log'!$B:$B,D606),IF(C606="Tournament",INDEX('Tournament Log'!$C:$C,E606),INDEX('Guest Log'!$B:$B,Q606))))</f>
        <v/>
      </c>
      <c r="G606" s="37" t="str">
        <f>IF(C606="","",IF(C606="Match",INDEX('Match Log'!$C:$C,D606),IF(C606="Tournament",INDEX('Tournament Log'!$B:$B,E606)&amp;" (Phantom)",INDEX('Guest Log'!$H:$H,Q606)&amp;" (Guest)")))</f>
        <v/>
      </c>
      <c r="H606" s="37" t="str">
        <f t="array" ref="H606">IF(C606="","",IFERROR(LOOKUP(2,1/(($F$1:F605=F606)+($G$1:G605=F606)),IF($F$1:F605=F606,$N$1:N605,$O$1:O605)),1000))</f>
        <v/>
      </c>
      <c r="I606" s="37" t="str">
        <f t="array" ref="I606">IF(C606="","",IF(C606="Tournament",INDEX('Tournament Log'!$J:$J,E606),IF(C606="Guest",IF(INDEX('Guest Log'!$I:$I,Q606)="",1000,INDEX('Guest Log'!$I:$I,Q606)),IFERROR(LOOKUP(2,1/(($F$1:F605=G606)+($G$1:G605=G606)),IF($F$1:F605=G606,$N$1:N605,$O$1:O605)),1000))))</f>
        <v/>
      </c>
      <c r="J606" s="37" t="str">
        <f t="shared" si="46"/>
        <v/>
      </c>
      <c r="K606" s="12" t="str">
        <f>IF(C606="","",IF(C606="Match",IF(INDEX('Match Log'!$D:$D,D606)="Win",1,IF(INDEX('Match Log'!$D:$D,D606)="Draw",0.5,0)),IF(C606="Tournament",INDEX('Tournament Log'!$K:$K,E606),IF(INDEX('Guest Log'!$C:$C,Q606)="Win",1,IF(INDEX('Guest Log'!$C:$C,Q606)="Draw",0.5,0)))))</f>
        <v/>
      </c>
      <c r="L606" s="12" t="str">
        <f>IF(C606="","",IF(C606="Match",32,IF(C606="Tournament",MIN(32*INDEX('Tournament Log'!$D:$D,E606),96),32)))</f>
        <v/>
      </c>
      <c r="M606" s="12" t="str">
        <f t="shared" si="47"/>
        <v/>
      </c>
      <c r="N606" s="12" t="str">
        <f t="shared" si="48"/>
        <v/>
      </c>
      <c r="O606" s="12" t="str">
        <f t="shared" si="49"/>
        <v/>
      </c>
      <c r="P606" s="12" t="str">
        <f>IF(C606="Tournament",INDEX('Tournament Log'!$B:$B,E606),IF(C606="Guest","Guest: "&amp;INDEX('Guest Log'!$H:$H,Q606),""))</f>
        <v/>
      </c>
      <c r="Q606" t="str">
        <f>IFERROR(MATCH($A606,'Guest Log'!$L$4:$L$203,0)+3,"")</f>
        <v/>
      </c>
    </row>
    <row r="607" spans="1:17" ht="15" customHeight="1" x14ac:dyDescent="0.2">
      <c r="A607" s="22">
        <f>606</f>
        <v>606</v>
      </c>
      <c r="B607" s="22" t="str">
        <f>IF(C607="","",IF(C607="Match",INDEX('Match Log'!$A:$A,D607),IF(C607="Tournament",INDEX('Tournament Log'!$A:$A,E607),INDEX('Guest Log'!$A:$A,Q607))))</f>
        <v/>
      </c>
      <c r="C607" s="22" t="str">
        <f t="shared" si="45"/>
        <v/>
      </c>
      <c r="D607" s="39" t="str">
        <f>IFERROR(MATCH($A607,'Match Log'!$K$3:$K$501,0)+2,"")</f>
        <v/>
      </c>
      <c r="E607" s="39" t="str">
        <f>IFERROR(MATCH($A607,'Tournament Log'!$O$4:$O$203,0)+3,"")</f>
        <v/>
      </c>
      <c r="F607" s="22" t="str">
        <f>IF(C607="","",IF(C607="Match",INDEX('Match Log'!$B:$B,D607),IF(C607="Tournament",INDEX('Tournament Log'!$C:$C,E607),INDEX('Guest Log'!$B:$B,Q607))))</f>
        <v/>
      </c>
      <c r="G607" s="22" t="str">
        <f>IF(C607="","",IF(C607="Match",INDEX('Match Log'!$C:$C,D607),IF(C607="Tournament",INDEX('Tournament Log'!$B:$B,E607)&amp;" (Phantom)",INDEX('Guest Log'!$H:$H,Q607)&amp;" (Guest)")))</f>
        <v/>
      </c>
      <c r="H607" s="22" t="str">
        <f t="array" ref="H607">IF(C607="","",IFERROR(LOOKUP(2,1/(($F$1:F606=F607)+($G$1:G606=F607)),IF($F$1:F606=F607,$N$1:N606,$O$1:O606)),1000))</f>
        <v/>
      </c>
      <c r="I607" s="22" t="str">
        <f t="array" ref="I607">IF(C607="","",IF(C607="Tournament",INDEX('Tournament Log'!$J:$J,E607),IF(C607="Guest",IF(INDEX('Guest Log'!$I:$I,Q607)="",1000,INDEX('Guest Log'!$I:$I,Q607)),IFERROR(LOOKUP(2,1/(($F$1:F606=G607)+($G$1:G606=G607)),IF($F$1:F606=G607,$N$1:N606,$O$1:O606)),1000))))</f>
        <v/>
      </c>
      <c r="J607" s="22" t="str">
        <f t="shared" si="46"/>
        <v/>
      </c>
      <c r="K607" s="12" t="str">
        <f>IF(C607="","",IF(C607="Match",IF(INDEX('Match Log'!$D:$D,D607)="Win",1,IF(INDEX('Match Log'!$D:$D,D607)="Draw",0.5,0)),IF(C607="Tournament",INDEX('Tournament Log'!$K:$K,E607),IF(INDEX('Guest Log'!$C:$C,Q607)="Win",1,IF(INDEX('Guest Log'!$C:$C,Q607)="Draw",0.5,0)))))</f>
        <v/>
      </c>
      <c r="L607" s="12" t="str">
        <f>IF(C607="","",IF(C607="Match",32,IF(C607="Tournament",MIN(32*INDEX('Tournament Log'!$D:$D,E607),96),32)))</f>
        <v/>
      </c>
      <c r="M607" s="12" t="str">
        <f t="shared" si="47"/>
        <v/>
      </c>
      <c r="N607" s="12" t="str">
        <f t="shared" si="48"/>
        <v/>
      </c>
      <c r="O607" s="12" t="str">
        <f t="shared" si="49"/>
        <v/>
      </c>
      <c r="P607" s="12" t="str">
        <f>IF(C607="Tournament",INDEX('Tournament Log'!$B:$B,E607),IF(C607="Guest","Guest: "&amp;INDEX('Guest Log'!$H:$H,Q607),""))</f>
        <v/>
      </c>
      <c r="Q607" t="str">
        <f>IFERROR(MATCH($A607,'Guest Log'!$L$4:$L$203,0)+3,"")</f>
        <v/>
      </c>
    </row>
    <row r="608" spans="1:17" ht="15" customHeight="1" x14ac:dyDescent="0.2">
      <c r="A608" s="37">
        <f>607</f>
        <v>607</v>
      </c>
      <c r="B608" s="37" t="str">
        <f>IF(C608="","",IF(C608="Match",INDEX('Match Log'!$A:$A,D608),IF(C608="Tournament",INDEX('Tournament Log'!$A:$A,E608),INDEX('Guest Log'!$A:$A,Q608))))</f>
        <v/>
      </c>
      <c r="C608" s="37" t="str">
        <f t="shared" si="45"/>
        <v/>
      </c>
      <c r="D608" s="38" t="str">
        <f>IFERROR(MATCH($A608,'Match Log'!$K$3:$K$501,0)+2,"")</f>
        <v/>
      </c>
      <c r="E608" s="38" t="str">
        <f>IFERROR(MATCH($A608,'Tournament Log'!$O$4:$O$203,0)+3,"")</f>
        <v/>
      </c>
      <c r="F608" s="37" t="str">
        <f>IF(C608="","",IF(C608="Match",INDEX('Match Log'!$B:$B,D608),IF(C608="Tournament",INDEX('Tournament Log'!$C:$C,E608),INDEX('Guest Log'!$B:$B,Q608))))</f>
        <v/>
      </c>
      <c r="G608" s="37" t="str">
        <f>IF(C608="","",IF(C608="Match",INDEX('Match Log'!$C:$C,D608),IF(C608="Tournament",INDEX('Tournament Log'!$B:$B,E608)&amp;" (Phantom)",INDEX('Guest Log'!$H:$H,Q608)&amp;" (Guest)")))</f>
        <v/>
      </c>
      <c r="H608" s="37" t="str">
        <f t="array" ref="H608">IF(C608="","",IFERROR(LOOKUP(2,1/(($F$1:F607=F608)+($G$1:G607=F608)),IF($F$1:F607=F608,$N$1:N607,$O$1:O607)),1000))</f>
        <v/>
      </c>
      <c r="I608" s="37" t="str">
        <f t="array" ref="I608">IF(C608="","",IF(C608="Tournament",INDEX('Tournament Log'!$J:$J,E608),IF(C608="Guest",IF(INDEX('Guest Log'!$I:$I,Q608)="",1000,INDEX('Guest Log'!$I:$I,Q608)),IFERROR(LOOKUP(2,1/(($F$1:F607=G608)+($G$1:G607=G608)),IF($F$1:F607=G608,$N$1:N607,$O$1:O607)),1000))))</f>
        <v/>
      </c>
      <c r="J608" s="37" t="str">
        <f t="shared" si="46"/>
        <v/>
      </c>
      <c r="K608" s="12" t="str">
        <f>IF(C608="","",IF(C608="Match",IF(INDEX('Match Log'!$D:$D,D608)="Win",1,IF(INDEX('Match Log'!$D:$D,D608)="Draw",0.5,0)),IF(C608="Tournament",INDEX('Tournament Log'!$K:$K,E608),IF(INDEX('Guest Log'!$C:$C,Q608)="Win",1,IF(INDEX('Guest Log'!$C:$C,Q608)="Draw",0.5,0)))))</f>
        <v/>
      </c>
      <c r="L608" s="12" t="str">
        <f>IF(C608="","",IF(C608="Match",32,IF(C608="Tournament",MIN(32*INDEX('Tournament Log'!$D:$D,E608),96),32)))</f>
        <v/>
      </c>
      <c r="M608" s="12" t="str">
        <f t="shared" si="47"/>
        <v/>
      </c>
      <c r="N608" s="12" t="str">
        <f t="shared" si="48"/>
        <v/>
      </c>
      <c r="O608" s="12" t="str">
        <f t="shared" si="49"/>
        <v/>
      </c>
      <c r="P608" s="12" t="str">
        <f>IF(C608="Tournament",INDEX('Tournament Log'!$B:$B,E608),IF(C608="Guest","Guest: "&amp;INDEX('Guest Log'!$H:$H,Q608),""))</f>
        <v/>
      </c>
      <c r="Q608" t="str">
        <f>IFERROR(MATCH($A608,'Guest Log'!$L$4:$L$203,0)+3,"")</f>
        <v/>
      </c>
    </row>
    <row r="609" spans="1:17" ht="15" customHeight="1" x14ac:dyDescent="0.2">
      <c r="A609" s="22">
        <f>608</f>
        <v>608</v>
      </c>
      <c r="B609" s="22" t="str">
        <f>IF(C609="","",IF(C609="Match",INDEX('Match Log'!$A:$A,D609),IF(C609="Tournament",INDEX('Tournament Log'!$A:$A,E609),INDEX('Guest Log'!$A:$A,Q609))))</f>
        <v/>
      </c>
      <c r="C609" s="22" t="str">
        <f t="shared" si="45"/>
        <v/>
      </c>
      <c r="D609" s="39" t="str">
        <f>IFERROR(MATCH($A609,'Match Log'!$K$3:$K$501,0)+2,"")</f>
        <v/>
      </c>
      <c r="E609" s="39" t="str">
        <f>IFERROR(MATCH($A609,'Tournament Log'!$O$4:$O$203,0)+3,"")</f>
        <v/>
      </c>
      <c r="F609" s="22" t="str">
        <f>IF(C609="","",IF(C609="Match",INDEX('Match Log'!$B:$B,D609),IF(C609="Tournament",INDEX('Tournament Log'!$C:$C,E609),INDEX('Guest Log'!$B:$B,Q609))))</f>
        <v/>
      </c>
      <c r="G609" s="22" t="str">
        <f>IF(C609="","",IF(C609="Match",INDEX('Match Log'!$C:$C,D609),IF(C609="Tournament",INDEX('Tournament Log'!$B:$B,E609)&amp;" (Phantom)",INDEX('Guest Log'!$H:$H,Q609)&amp;" (Guest)")))</f>
        <v/>
      </c>
      <c r="H609" s="22" t="str">
        <f t="array" ref="H609">IF(C609="","",IFERROR(LOOKUP(2,1/(($F$1:F608=F609)+($G$1:G608=F609)),IF($F$1:F608=F609,$N$1:N608,$O$1:O608)),1000))</f>
        <v/>
      </c>
      <c r="I609" s="22" t="str">
        <f t="array" ref="I609">IF(C609="","",IF(C609="Tournament",INDEX('Tournament Log'!$J:$J,E609),IF(C609="Guest",IF(INDEX('Guest Log'!$I:$I,Q609)="",1000,INDEX('Guest Log'!$I:$I,Q609)),IFERROR(LOOKUP(2,1/(($F$1:F608=G609)+($G$1:G608=G609)),IF($F$1:F608=G609,$N$1:N608,$O$1:O608)),1000))))</f>
        <v/>
      </c>
      <c r="J609" s="22" t="str">
        <f t="shared" si="46"/>
        <v/>
      </c>
      <c r="K609" s="12" t="str">
        <f>IF(C609="","",IF(C609="Match",IF(INDEX('Match Log'!$D:$D,D609)="Win",1,IF(INDEX('Match Log'!$D:$D,D609)="Draw",0.5,0)),IF(C609="Tournament",INDEX('Tournament Log'!$K:$K,E609),IF(INDEX('Guest Log'!$C:$C,Q609)="Win",1,IF(INDEX('Guest Log'!$C:$C,Q609)="Draw",0.5,0)))))</f>
        <v/>
      </c>
      <c r="L609" s="12" t="str">
        <f>IF(C609="","",IF(C609="Match",32,IF(C609="Tournament",MIN(32*INDEX('Tournament Log'!$D:$D,E609),96),32)))</f>
        <v/>
      </c>
      <c r="M609" s="12" t="str">
        <f t="shared" si="47"/>
        <v/>
      </c>
      <c r="N609" s="12" t="str">
        <f t="shared" si="48"/>
        <v/>
      </c>
      <c r="O609" s="12" t="str">
        <f t="shared" si="49"/>
        <v/>
      </c>
      <c r="P609" s="12" t="str">
        <f>IF(C609="Tournament",INDEX('Tournament Log'!$B:$B,E609),IF(C609="Guest","Guest: "&amp;INDEX('Guest Log'!$H:$H,Q609),""))</f>
        <v/>
      </c>
      <c r="Q609" t="str">
        <f>IFERROR(MATCH($A609,'Guest Log'!$L$4:$L$203,0)+3,"")</f>
        <v/>
      </c>
    </row>
    <row r="610" spans="1:17" ht="15" customHeight="1" x14ac:dyDescent="0.2">
      <c r="A610" s="37">
        <f>609</f>
        <v>609</v>
      </c>
      <c r="B610" s="37" t="str">
        <f>IF(C610="","",IF(C610="Match",INDEX('Match Log'!$A:$A,D610),IF(C610="Tournament",INDEX('Tournament Log'!$A:$A,E610),INDEX('Guest Log'!$A:$A,Q610))))</f>
        <v/>
      </c>
      <c r="C610" s="37" t="str">
        <f t="shared" si="45"/>
        <v/>
      </c>
      <c r="D610" s="38" t="str">
        <f>IFERROR(MATCH($A610,'Match Log'!$K$3:$K$501,0)+2,"")</f>
        <v/>
      </c>
      <c r="E610" s="38" t="str">
        <f>IFERROR(MATCH($A610,'Tournament Log'!$O$4:$O$203,0)+3,"")</f>
        <v/>
      </c>
      <c r="F610" s="37" t="str">
        <f>IF(C610="","",IF(C610="Match",INDEX('Match Log'!$B:$B,D610),IF(C610="Tournament",INDEX('Tournament Log'!$C:$C,E610),INDEX('Guest Log'!$B:$B,Q610))))</f>
        <v/>
      </c>
      <c r="G610" s="37" t="str">
        <f>IF(C610="","",IF(C610="Match",INDEX('Match Log'!$C:$C,D610),IF(C610="Tournament",INDEX('Tournament Log'!$B:$B,E610)&amp;" (Phantom)",INDEX('Guest Log'!$H:$H,Q610)&amp;" (Guest)")))</f>
        <v/>
      </c>
      <c r="H610" s="37" t="str">
        <f t="array" ref="H610">IF(C610="","",IFERROR(LOOKUP(2,1/(($F$1:F609=F610)+($G$1:G609=F610)),IF($F$1:F609=F610,$N$1:N609,$O$1:O609)),1000))</f>
        <v/>
      </c>
      <c r="I610" s="37" t="str">
        <f t="array" ref="I610">IF(C610="","",IF(C610="Tournament",INDEX('Tournament Log'!$J:$J,E610),IF(C610="Guest",IF(INDEX('Guest Log'!$I:$I,Q610)="",1000,INDEX('Guest Log'!$I:$I,Q610)),IFERROR(LOOKUP(2,1/(($F$1:F609=G610)+($G$1:G609=G610)),IF($F$1:F609=G610,$N$1:N609,$O$1:O609)),1000))))</f>
        <v/>
      </c>
      <c r="J610" s="37" t="str">
        <f t="shared" si="46"/>
        <v/>
      </c>
      <c r="K610" s="12" t="str">
        <f>IF(C610="","",IF(C610="Match",IF(INDEX('Match Log'!$D:$D,D610)="Win",1,IF(INDEX('Match Log'!$D:$D,D610)="Draw",0.5,0)),IF(C610="Tournament",INDEX('Tournament Log'!$K:$K,E610),IF(INDEX('Guest Log'!$C:$C,Q610)="Win",1,IF(INDEX('Guest Log'!$C:$C,Q610)="Draw",0.5,0)))))</f>
        <v/>
      </c>
      <c r="L610" s="12" t="str">
        <f>IF(C610="","",IF(C610="Match",32,IF(C610="Tournament",MIN(32*INDEX('Tournament Log'!$D:$D,E610),96),32)))</f>
        <v/>
      </c>
      <c r="M610" s="12" t="str">
        <f t="shared" si="47"/>
        <v/>
      </c>
      <c r="N610" s="12" t="str">
        <f t="shared" si="48"/>
        <v/>
      </c>
      <c r="O610" s="12" t="str">
        <f t="shared" si="49"/>
        <v/>
      </c>
      <c r="P610" s="12" t="str">
        <f>IF(C610="Tournament",INDEX('Tournament Log'!$B:$B,E610),IF(C610="Guest","Guest: "&amp;INDEX('Guest Log'!$H:$H,Q610),""))</f>
        <v/>
      </c>
      <c r="Q610" t="str">
        <f>IFERROR(MATCH($A610,'Guest Log'!$L$4:$L$203,0)+3,"")</f>
        <v/>
      </c>
    </row>
    <row r="611" spans="1:17" ht="15" customHeight="1" x14ac:dyDescent="0.2">
      <c r="A611" s="22">
        <f>610</f>
        <v>610</v>
      </c>
      <c r="B611" s="22" t="str">
        <f>IF(C611="","",IF(C611="Match",INDEX('Match Log'!$A:$A,D611),IF(C611="Tournament",INDEX('Tournament Log'!$A:$A,E611),INDEX('Guest Log'!$A:$A,Q611))))</f>
        <v/>
      </c>
      <c r="C611" s="22" t="str">
        <f t="shared" si="45"/>
        <v/>
      </c>
      <c r="D611" s="39" t="str">
        <f>IFERROR(MATCH($A611,'Match Log'!$K$3:$K$501,0)+2,"")</f>
        <v/>
      </c>
      <c r="E611" s="39" t="str">
        <f>IFERROR(MATCH($A611,'Tournament Log'!$O$4:$O$203,0)+3,"")</f>
        <v/>
      </c>
      <c r="F611" s="22" t="str">
        <f>IF(C611="","",IF(C611="Match",INDEX('Match Log'!$B:$B,D611),IF(C611="Tournament",INDEX('Tournament Log'!$C:$C,E611),INDEX('Guest Log'!$B:$B,Q611))))</f>
        <v/>
      </c>
      <c r="G611" s="22" t="str">
        <f>IF(C611="","",IF(C611="Match",INDEX('Match Log'!$C:$C,D611),IF(C611="Tournament",INDEX('Tournament Log'!$B:$B,E611)&amp;" (Phantom)",INDEX('Guest Log'!$H:$H,Q611)&amp;" (Guest)")))</f>
        <v/>
      </c>
      <c r="H611" s="22" t="str">
        <f t="array" ref="H611">IF(C611="","",IFERROR(LOOKUP(2,1/(($F$1:F610=F611)+($G$1:G610=F611)),IF($F$1:F610=F611,$N$1:N610,$O$1:O610)),1000))</f>
        <v/>
      </c>
      <c r="I611" s="22" t="str">
        <f t="array" ref="I611">IF(C611="","",IF(C611="Tournament",INDEX('Tournament Log'!$J:$J,E611),IF(C611="Guest",IF(INDEX('Guest Log'!$I:$I,Q611)="",1000,INDEX('Guest Log'!$I:$I,Q611)),IFERROR(LOOKUP(2,1/(($F$1:F610=G611)+($G$1:G610=G611)),IF($F$1:F610=G611,$N$1:N610,$O$1:O610)),1000))))</f>
        <v/>
      </c>
      <c r="J611" s="22" t="str">
        <f t="shared" si="46"/>
        <v/>
      </c>
      <c r="K611" s="12" t="str">
        <f>IF(C611="","",IF(C611="Match",IF(INDEX('Match Log'!$D:$D,D611)="Win",1,IF(INDEX('Match Log'!$D:$D,D611)="Draw",0.5,0)),IF(C611="Tournament",INDEX('Tournament Log'!$K:$K,E611),IF(INDEX('Guest Log'!$C:$C,Q611)="Win",1,IF(INDEX('Guest Log'!$C:$C,Q611)="Draw",0.5,0)))))</f>
        <v/>
      </c>
      <c r="L611" s="12" t="str">
        <f>IF(C611="","",IF(C611="Match",32,IF(C611="Tournament",MIN(32*INDEX('Tournament Log'!$D:$D,E611),96),32)))</f>
        <v/>
      </c>
      <c r="M611" s="12" t="str">
        <f t="shared" si="47"/>
        <v/>
      </c>
      <c r="N611" s="12" t="str">
        <f t="shared" si="48"/>
        <v/>
      </c>
      <c r="O611" s="12" t="str">
        <f t="shared" si="49"/>
        <v/>
      </c>
      <c r="P611" s="12" t="str">
        <f>IF(C611="Tournament",INDEX('Tournament Log'!$B:$B,E611),IF(C611="Guest","Guest: "&amp;INDEX('Guest Log'!$H:$H,Q611),""))</f>
        <v/>
      </c>
      <c r="Q611" t="str">
        <f>IFERROR(MATCH($A611,'Guest Log'!$L$4:$L$203,0)+3,"")</f>
        <v/>
      </c>
    </row>
    <row r="612" spans="1:17" ht="15" customHeight="1" x14ac:dyDescent="0.2">
      <c r="A612" s="37">
        <f>611</f>
        <v>611</v>
      </c>
      <c r="B612" s="37" t="str">
        <f>IF(C612="","",IF(C612="Match",INDEX('Match Log'!$A:$A,D612),IF(C612="Tournament",INDEX('Tournament Log'!$A:$A,E612),INDEX('Guest Log'!$A:$A,Q612))))</f>
        <v/>
      </c>
      <c r="C612" s="37" t="str">
        <f t="shared" si="45"/>
        <v/>
      </c>
      <c r="D612" s="38" t="str">
        <f>IFERROR(MATCH($A612,'Match Log'!$K$3:$K$501,0)+2,"")</f>
        <v/>
      </c>
      <c r="E612" s="38" t="str">
        <f>IFERROR(MATCH($A612,'Tournament Log'!$O$4:$O$203,0)+3,"")</f>
        <v/>
      </c>
      <c r="F612" s="37" t="str">
        <f>IF(C612="","",IF(C612="Match",INDEX('Match Log'!$B:$B,D612),IF(C612="Tournament",INDEX('Tournament Log'!$C:$C,E612),INDEX('Guest Log'!$B:$B,Q612))))</f>
        <v/>
      </c>
      <c r="G612" s="37" t="str">
        <f>IF(C612="","",IF(C612="Match",INDEX('Match Log'!$C:$C,D612),IF(C612="Tournament",INDEX('Tournament Log'!$B:$B,E612)&amp;" (Phantom)",INDEX('Guest Log'!$H:$H,Q612)&amp;" (Guest)")))</f>
        <v/>
      </c>
      <c r="H612" s="37" t="str">
        <f t="array" ref="H612">IF(C612="","",IFERROR(LOOKUP(2,1/(($F$1:F611=F612)+($G$1:G611=F612)),IF($F$1:F611=F612,$N$1:N611,$O$1:O611)),1000))</f>
        <v/>
      </c>
      <c r="I612" s="37" t="str">
        <f t="array" ref="I612">IF(C612="","",IF(C612="Tournament",INDEX('Tournament Log'!$J:$J,E612),IF(C612="Guest",IF(INDEX('Guest Log'!$I:$I,Q612)="",1000,INDEX('Guest Log'!$I:$I,Q612)),IFERROR(LOOKUP(2,1/(($F$1:F611=G612)+($G$1:G611=G612)),IF($F$1:F611=G612,$N$1:N611,$O$1:O611)),1000))))</f>
        <v/>
      </c>
      <c r="J612" s="37" t="str">
        <f t="shared" si="46"/>
        <v/>
      </c>
      <c r="K612" s="12" t="str">
        <f>IF(C612="","",IF(C612="Match",IF(INDEX('Match Log'!$D:$D,D612)="Win",1,IF(INDEX('Match Log'!$D:$D,D612)="Draw",0.5,0)),IF(C612="Tournament",INDEX('Tournament Log'!$K:$K,E612),IF(INDEX('Guest Log'!$C:$C,Q612)="Win",1,IF(INDEX('Guest Log'!$C:$C,Q612)="Draw",0.5,0)))))</f>
        <v/>
      </c>
      <c r="L612" s="12" t="str">
        <f>IF(C612="","",IF(C612="Match",32,IF(C612="Tournament",MIN(32*INDEX('Tournament Log'!$D:$D,E612),96),32)))</f>
        <v/>
      </c>
      <c r="M612" s="12" t="str">
        <f t="shared" si="47"/>
        <v/>
      </c>
      <c r="N612" s="12" t="str">
        <f t="shared" si="48"/>
        <v/>
      </c>
      <c r="O612" s="12" t="str">
        <f t="shared" si="49"/>
        <v/>
      </c>
      <c r="P612" s="12" t="str">
        <f>IF(C612="Tournament",INDEX('Tournament Log'!$B:$B,E612),IF(C612="Guest","Guest: "&amp;INDEX('Guest Log'!$H:$H,Q612),""))</f>
        <v/>
      </c>
      <c r="Q612" t="str">
        <f>IFERROR(MATCH($A612,'Guest Log'!$L$4:$L$203,0)+3,"")</f>
        <v/>
      </c>
    </row>
    <row r="613" spans="1:17" ht="15" customHeight="1" x14ac:dyDescent="0.2">
      <c r="A613" s="22">
        <f>612</f>
        <v>612</v>
      </c>
      <c r="B613" s="22" t="str">
        <f>IF(C613="","",IF(C613="Match",INDEX('Match Log'!$A:$A,D613),IF(C613="Tournament",INDEX('Tournament Log'!$A:$A,E613),INDEX('Guest Log'!$A:$A,Q613))))</f>
        <v/>
      </c>
      <c r="C613" s="22" t="str">
        <f t="shared" si="45"/>
        <v/>
      </c>
      <c r="D613" s="39" t="str">
        <f>IFERROR(MATCH($A613,'Match Log'!$K$3:$K$501,0)+2,"")</f>
        <v/>
      </c>
      <c r="E613" s="39" t="str">
        <f>IFERROR(MATCH($A613,'Tournament Log'!$O$4:$O$203,0)+3,"")</f>
        <v/>
      </c>
      <c r="F613" s="22" t="str">
        <f>IF(C613="","",IF(C613="Match",INDEX('Match Log'!$B:$B,D613),IF(C613="Tournament",INDEX('Tournament Log'!$C:$C,E613),INDEX('Guest Log'!$B:$B,Q613))))</f>
        <v/>
      </c>
      <c r="G613" s="22" t="str">
        <f>IF(C613="","",IF(C613="Match",INDEX('Match Log'!$C:$C,D613),IF(C613="Tournament",INDEX('Tournament Log'!$B:$B,E613)&amp;" (Phantom)",INDEX('Guest Log'!$H:$H,Q613)&amp;" (Guest)")))</f>
        <v/>
      </c>
      <c r="H613" s="22" t="str">
        <f t="array" ref="H613">IF(C613="","",IFERROR(LOOKUP(2,1/(($F$1:F612=F613)+($G$1:G612=F613)),IF($F$1:F612=F613,$N$1:N612,$O$1:O612)),1000))</f>
        <v/>
      </c>
      <c r="I613" s="22" t="str">
        <f t="array" ref="I613">IF(C613="","",IF(C613="Tournament",INDEX('Tournament Log'!$J:$J,E613),IF(C613="Guest",IF(INDEX('Guest Log'!$I:$I,Q613)="",1000,INDEX('Guest Log'!$I:$I,Q613)),IFERROR(LOOKUP(2,1/(($F$1:F612=G613)+($G$1:G612=G613)),IF($F$1:F612=G613,$N$1:N612,$O$1:O612)),1000))))</f>
        <v/>
      </c>
      <c r="J613" s="22" t="str">
        <f t="shared" si="46"/>
        <v/>
      </c>
      <c r="K613" s="12" t="str">
        <f>IF(C613="","",IF(C613="Match",IF(INDEX('Match Log'!$D:$D,D613)="Win",1,IF(INDEX('Match Log'!$D:$D,D613)="Draw",0.5,0)),IF(C613="Tournament",INDEX('Tournament Log'!$K:$K,E613),IF(INDEX('Guest Log'!$C:$C,Q613)="Win",1,IF(INDEX('Guest Log'!$C:$C,Q613)="Draw",0.5,0)))))</f>
        <v/>
      </c>
      <c r="L613" s="12" t="str">
        <f>IF(C613="","",IF(C613="Match",32,IF(C613="Tournament",MIN(32*INDEX('Tournament Log'!$D:$D,E613),96),32)))</f>
        <v/>
      </c>
      <c r="M613" s="12" t="str">
        <f t="shared" si="47"/>
        <v/>
      </c>
      <c r="N613" s="12" t="str">
        <f t="shared" si="48"/>
        <v/>
      </c>
      <c r="O613" s="12" t="str">
        <f t="shared" si="49"/>
        <v/>
      </c>
      <c r="P613" s="12" t="str">
        <f>IF(C613="Tournament",INDEX('Tournament Log'!$B:$B,E613),IF(C613="Guest","Guest: "&amp;INDEX('Guest Log'!$H:$H,Q613),""))</f>
        <v/>
      </c>
      <c r="Q613" t="str">
        <f>IFERROR(MATCH($A613,'Guest Log'!$L$4:$L$203,0)+3,"")</f>
        <v/>
      </c>
    </row>
    <row r="614" spans="1:17" ht="15" customHeight="1" x14ac:dyDescent="0.2">
      <c r="A614" s="37">
        <f>613</f>
        <v>613</v>
      </c>
      <c r="B614" s="37" t="str">
        <f>IF(C614="","",IF(C614="Match",INDEX('Match Log'!$A:$A,D614),IF(C614="Tournament",INDEX('Tournament Log'!$A:$A,E614),INDEX('Guest Log'!$A:$A,Q614))))</f>
        <v/>
      </c>
      <c r="C614" s="37" t="str">
        <f t="shared" si="45"/>
        <v/>
      </c>
      <c r="D614" s="38" t="str">
        <f>IFERROR(MATCH($A614,'Match Log'!$K$3:$K$501,0)+2,"")</f>
        <v/>
      </c>
      <c r="E614" s="38" t="str">
        <f>IFERROR(MATCH($A614,'Tournament Log'!$O$4:$O$203,0)+3,"")</f>
        <v/>
      </c>
      <c r="F614" s="37" t="str">
        <f>IF(C614="","",IF(C614="Match",INDEX('Match Log'!$B:$B,D614),IF(C614="Tournament",INDEX('Tournament Log'!$C:$C,E614),INDEX('Guest Log'!$B:$B,Q614))))</f>
        <v/>
      </c>
      <c r="G614" s="37" t="str">
        <f>IF(C614="","",IF(C614="Match",INDEX('Match Log'!$C:$C,D614),IF(C614="Tournament",INDEX('Tournament Log'!$B:$B,E614)&amp;" (Phantom)",INDEX('Guest Log'!$H:$H,Q614)&amp;" (Guest)")))</f>
        <v/>
      </c>
      <c r="H614" s="37" t="str">
        <f t="array" ref="H614">IF(C614="","",IFERROR(LOOKUP(2,1/(($F$1:F613=F614)+($G$1:G613=F614)),IF($F$1:F613=F614,$N$1:N613,$O$1:O613)),1000))</f>
        <v/>
      </c>
      <c r="I614" s="37" t="str">
        <f t="array" ref="I614">IF(C614="","",IF(C614="Tournament",INDEX('Tournament Log'!$J:$J,E614),IF(C614="Guest",IF(INDEX('Guest Log'!$I:$I,Q614)="",1000,INDEX('Guest Log'!$I:$I,Q614)),IFERROR(LOOKUP(2,1/(($F$1:F613=G614)+($G$1:G613=G614)),IF($F$1:F613=G614,$N$1:N613,$O$1:O613)),1000))))</f>
        <v/>
      </c>
      <c r="J614" s="37" t="str">
        <f t="shared" si="46"/>
        <v/>
      </c>
      <c r="K614" s="12" t="str">
        <f>IF(C614="","",IF(C614="Match",IF(INDEX('Match Log'!$D:$D,D614)="Win",1,IF(INDEX('Match Log'!$D:$D,D614)="Draw",0.5,0)),IF(C614="Tournament",INDEX('Tournament Log'!$K:$K,E614),IF(INDEX('Guest Log'!$C:$C,Q614)="Win",1,IF(INDEX('Guest Log'!$C:$C,Q614)="Draw",0.5,0)))))</f>
        <v/>
      </c>
      <c r="L614" s="12" t="str">
        <f>IF(C614="","",IF(C614="Match",32,IF(C614="Tournament",MIN(32*INDEX('Tournament Log'!$D:$D,E614),96),32)))</f>
        <v/>
      </c>
      <c r="M614" s="12" t="str">
        <f t="shared" si="47"/>
        <v/>
      </c>
      <c r="N614" s="12" t="str">
        <f t="shared" si="48"/>
        <v/>
      </c>
      <c r="O614" s="12" t="str">
        <f t="shared" si="49"/>
        <v/>
      </c>
      <c r="P614" s="12" t="str">
        <f>IF(C614="Tournament",INDEX('Tournament Log'!$B:$B,E614),IF(C614="Guest","Guest: "&amp;INDEX('Guest Log'!$H:$H,Q614),""))</f>
        <v/>
      </c>
      <c r="Q614" t="str">
        <f>IFERROR(MATCH($A614,'Guest Log'!$L$4:$L$203,0)+3,"")</f>
        <v/>
      </c>
    </row>
    <row r="615" spans="1:17" ht="15" customHeight="1" x14ac:dyDescent="0.2">
      <c r="A615" s="22">
        <f>614</f>
        <v>614</v>
      </c>
      <c r="B615" s="22" t="str">
        <f>IF(C615="","",IF(C615="Match",INDEX('Match Log'!$A:$A,D615),IF(C615="Tournament",INDEX('Tournament Log'!$A:$A,E615),INDEX('Guest Log'!$A:$A,Q615))))</f>
        <v/>
      </c>
      <c r="C615" s="22" t="str">
        <f t="shared" si="45"/>
        <v/>
      </c>
      <c r="D615" s="39" t="str">
        <f>IFERROR(MATCH($A615,'Match Log'!$K$3:$K$501,0)+2,"")</f>
        <v/>
      </c>
      <c r="E615" s="39" t="str">
        <f>IFERROR(MATCH($A615,'Tournament Log'!$O$4:$O$203,0)+3,"")</f>
        <v/>
      </c>
      <c r="F615" s="22" t="str">
        <f>IF(C615="","",IF(C615="Match",INDEX('Match Log'!$B:$B,D615),IF(C615="Tournament",INDEX('Tournament Log'!$C:$C,E615),INDEX('Guest Log'!$B:$B,Q615))))</f>
        <v/>
      </c>
      <c r="G615" s="22" t="str">
        <f>IF(C615="","",IF(C615="Match",INDEX('Match Log'!$C:$C,D615),IF(C615="Tournament",INDEX('Tournament Log'!$B:$B,E615)&amp;" (Phantom)",INDEX('Guest Log'!$H:$H,Q615)&amp;" (Guest)")))</f>
        <v/>
      </c>
      <c r="H615" s="22" t="str">
        <f t="array" ref="H615">IF(C615="","",IFERROR(LOOKUP(2,1/(($F$1:F614=F615)+($G$1:G614=F615)),IF($F$1:F614=F615,$N$1:N614,$O$1:O614)),1000))</f>
        <v/>
      </c>
      <c r="I615" s="22" t="str">
        <f t="array" ref="I615">IF(C615="","",IF(C615="Tournament",INDEX('Tournament Log'!$J:$J,E615),IF(C615="Guest",IF(INDEX('Guest Log'!$I:$I,Q615)="",1000,INDEX('Guest Log'!$I:$I,Q615)),IFERROR(LOOKUP(2,1/(($F$1:F614=G615)+($G$1:G614=G615)),IF($F$1:F614=G615,$N$1:N614,$O$1:O614)),1000))))</f>
        <v/>
      </c>
      <c r="J615" s="22" t="str">
        <f t="shared" si="46"/>
        <v/>
      </c>
      <c r="K615" s="12" t="str">
        <f>IF(C615="","",IF(C615="Match",IF(INDEX('Match Log'!$D:$D,D615)="Win",1,IF(INDEX('Match Log'!$D:$D,D615)="Draw",0.5,0)),IF(C615="Tournament",INDEX('Tournament Log'!$K:$K,E615),IF(INDEX('Guest Log'!$C:$C,Q615)="Win",1,IF(INDEX('Guest Log'!$C:$C,Q615)="Draw",0.5,0)))))</f>
        <v/>
      </c>
      <c r="L615" s="12" t="str">
        <f>IF(C615="","",IF(C615="Match",32,IF(C615="Tournament",MIN(32*INDEX('Tournament Log'!$D:$D,E615),96),32)))</f>
        <v/>
      </c>
      <c r="M615" s="12" t="str">
        <f t="shared" si="47"/>
        <v/>
      </c>
      <c r="N615" s="12" t="str">
        <f t="shared" si="48"/>
        <v/>
      </c>
      <c r="O615" s="12" t="str">
        <f t="shared" si="49"/>
        <v/>
      </c>
      <c r="P615" s="12" t="str">
        <f>IF(C615="Tournament",INDEX('Tournament Log'!$B:$B,E615),IF(C615="Guest","Guest: "&amp;INDEX('Guest Log'!$H:$H,Q615),""))</f>
        <v/>
      </c>
      <c r="Q615" t="str">
        <f>IFERROR(MATCH($A615,'Guest Log'!$L$4:$L$203,0)+3,"")</f>
        <v/>
      </c>
    </row>
    <row r="616" spans="1:17" ht="15" customHeight="1" x14ac:dyDescent="0.2">
      <c r="A616" s="37">
        <f>615</f>
        <v>615</v>
      </c>
      <c r="B616" s="37" t="str">
        <f>IF(C616="","",IF(C616="Match",INDEX('Match Log'!$A:$A,D616),IF(C616="Tournament",INDEX('Tournament Log'!$A:$A,E616),INDEX('Guest Log'!$A:$A,Q616))))</f>
        <v/>
      </c>
      <c r="C616" s="37" t="str">
        <f t="shared" si="45"/>
        <v/>
      </c>
      <c r="D616" s="38" t="str">
        <f>IFERROR(MATCH($A616,'Match Log'!$K$3:$K$501,0)+2,"")</f>
        <v/>
      </c>
      <c r="E616" s="38" t="str">
        <f>IFERROR(MATCH($A616,'Tournament Log'!$O$4:$O$203,0)+3,"")</f>
        <v/>
      </c>
      <c r="F616" s="37" t="str">
        <f>IF(C616="","",IF(C616="Match",INDEX('Match Log'!$B:$B,D616),IF(C616="Tournament",INDEX('Tournament Log'!$C:$C,E616),INDEX('Guest Log'!$B:$B,Q616))))</f>
        <v/>
      </c>
      <c r="G616" s="37" t="str">
        <f>IF(C616="","",IF(C616="Match",INDEX('Match Log'!$C:$C,D616),IF(C616="Tournament",INDEX('Tournament Log'!$B:$B,E616)&amp;" (Phantom)",INDEX('Guest Log'!$H:$H,Q616)&amp;" (Guest)")))</f>
        <v/>
      </c>
      <c r="H616" s="37" t="str">
        <f t="array" ref="H616">IF(C616="","",IFERROR(LOOKUP(2,1/(($F$1:F615=F616)+($G$1:G615=F616)),IF($F$1:F615=F616,$N$1:N615,$O$1:O615)),1000))</f>
        <v/>
      </c>
      <c r="I616" s="37" t="str">
        <f t="array" ref="I616">IF(C616="","",IF(C616="Tournament",INDEX('Tournament Log'!$J:$J,E616),IF(C616="Guest",IF(INDEX('Guest Log'!$I:$I,Q616)="",1000,INDEX('Guest Log'!$I:$I,Q616)),IFERROR(LOOKUP(2,1/(($F$1:F615=G616)+($G$1:G615=G616)),IF($F$1:F615=G616,$N$1:N615,$O$1:O615)),1000))))</f>
        <v/>
      </c>
      <c r="J616" s="37" t="str">
        <f t="shared" si="46"/>
        <v/>
      </c>
      <c r="K616" s="12" t="str">
        <f>IF(C616="","",IF(C616="Match",IF(INDEX('Match Log'!$D:$D,D616)="Win",1,IF(INDEX('Match Log'!$D:$D,D616)="Draw",0.5,0)),IF(C616="Tournament",INDEX('Tournament Log'!$K:$K,E616),IF(INDEX('Guest Log'!$C:$C,Q616)="Win",1,IF(INDEX('Guest Log'!$C:$C,Q616)="Draw",0.5,0)))))</f>
        <v/>
      </c>
      <c r="L616" s="12" t="str">
        <f>IF(C616="","",IF(C616="Match",32,IF(C616="Tournament",MIN(32*INDEX('Tournament Log'!$D:$D,E616),96),32)))</f>
        <v/>
      </c>
      <c r="M616" s="12" t="str">
        <f t="shared" si="47"/>
        <v/>
      </c>
      <c r="N616" s="12" t="str">
        <f t="shared" si="48"/>
        <v/>
      </c>
      <c r="O616" s="12" t="str">
        <f t="shared" si="49"/>
        <v/>
      </c>
      <c r="P616" s="12" t="str">
        <f>IF(C616="Tournament",INDEX('Tournament Log'!$B:$B,E616),IF(C616="Guest","Guest: "&amp;INDEX('Guest Log'!$H:$H,Q616),""))</f>
        <v/>
      </c>
      <c r="Q616" t="str">
        <f>IFERROR(MATCH($A616,'Guest Log'!$L$4:$L$203,0)+3,"")</f>
        <v/>
      </c>
    </row>
    <row r="617" spans="1:17" ht="15" customHeight="1" x14ac:dyDescent="0.2">
      <c r="A617" s="22">
        <f>616</f>
        <v>616</v>
      </c>
      <c r="B617" s="22" t="str">
        <f>IF(C617="","",IF(C617="Match",INDEX('Match Log'!$A:$A,D617),IF(C617="Tournament",INDEX('Tournament Log'!$A:$A,E617),INDEX('Guest Log'!$A:$A,Q617))))</f>
        <v/>
      </c>
      <c r="C617" s="22" t="str">
        <f t="shared" si="45"/>
        <v/>
      </c>
      <c r="D617" s="39" t="str">
        <f>IFERROR(MATCH($A617,'Match Log'!$K$3:$K$501,0)+2,"")</f>
        <v/>
      </c>
      <c r="E617" s="39" t="str">
        <f>IFERROR(MATCH($A617,'Tournament Log'!$O$4:$O$203,0)+3,"")</f>
        <v/>
      </c>
      <c r="F617" s="22" t="str">
        <f>IF(C617="","",IF(C617="Match",INDEX('Match Log'!$B:$B,D617),IF(C617="Tournament",INDEX('Tournament Log'!$C:$C,E617),INDEX('Guest Log'!$B:$B,Q617))))</f>
        <v/>
      </c>
      <c r="G617" s="22" t="str">
        <f>IF(C617="","",IF(C617="Match",INDEX('Match Log'!$C:$C,D617),IF(C617="Tournament",INDEX('Tournament Log'!$B:$B,E617)&amp;" (Phantom)",INDEX('Guest Log'!$H:$H,Q617)&amp;" (Guest)")))</f>
        <v/>
      </c>
      <c r="H617" s="22" t="str">
        <f t="array" ref="H617">IF(C617="","",IFERROR(LOOKUP(2,1/(($F$1:F616=F617)+($G$1:G616=F617)),IF($F$1:F616=F617,$N$1:N616,$O$1:O616)),1000))</f>
        <v/>
      </c>
      <c r="I617" s="22" t="str">
        <f t="array" ref="I617">IF(C617="","",IF(C617="Tournament",INDEX('Tournament Log'!$J:$J,E617),IF(C617="Guest",IF(INDEX('Guest Log'!$I:$I,Q617)="",1000,INDEX('Guest Log'!$I:$I,Q617)),IFERROR(LOOKUP(2,1/(($F$1:F616=G617)+($G$1:G616=G617)),IF($F$1:F616=G617,$N$1:N616,$O$1:O616)),1000))))</f>
        <v/>
      </c>
      <c r="J617" s="22" t="str">
        <f t="shared" si="46"/>
        <v/>
      </c>
      <c r="K617" s="12" t="str">
        <f>IF(C617="","",IF(C617="Match",IF(INDEX('Match Log'!$D:$D,D617)="Win",1,IF(INDEX('Match Log'!$D:$D,D617)="Draw",0.5,0)),IF(C617="Tournament",INDEX('Tournament Log'!$K:$K,E617),IF(INDEX('Guest Log'!$C:$C,Q617)="Win",1,IF(INDEX('Guest Log'!$C:$C,Q617)="Draw",0.5,0)))))</f>
        <v/>
      </c>
      <c r="L617" s="12" t="str">
        <f>IF(C617="","",IF(C617="Match",32,IF(C617="Tournament",MIN(32*INDEX('Tournament Log'!$D:$D,E617),96),32)))</f>
        <v/>
      </c>
      <c r="M617" s="12" t="str">
        <f t="shared" si="47"/>
        <v/>
      </c>
      <c r="N617" s="12" t="str">
        <f t="shared" si="48"/>
        <v/>
      </c>
      <c r="O617" s="12" t="str">
        <f t="shared" si="49"/>
        <v/>
      </c>
      <c r="P617" s="12" t="str">
        <f>IF(C617="Tournament",INDEX('Tournament Log'!$B:$B,E617),IF(C617="Guest","Guest: "&amp;INDEX('Guest Log'!$H:$H,Q617),""))</f>
        <v/>
      </c>
      <c r="Q617" t="str">
        <f>IFERROR(MATCH($A617,'Guest Log'!$L$4:$L$203,0)+3,"")</f>
        <v/>
      </c>
    </row>
    <row r="618" spans="1:17" ht="15" customHeight="1" x14ac:dyDescent="0.2">
      <c r="A618" s="37">
        <f>617</f>
        <v>617</v>
      </c>
      <c r="B618" s="37" t="str">
        <f>IF(C618="","",IF(C618="Match",INDEX('Match Log'!$A:$A,D618),IF(C618="Tournament",INDEX('Tournament Log'!$A:$A,E618),INDEX('Guest Log'!$A:$A,Q618))))</f>
        <v/>
      </c>
      <c r="C618" s="37" t="str">
        <f t="shared" si="45"/>
        <v/>
      </c>
      <c r="D618" s="38" t="str">
        <f>IFERROR(MATCH($A618,'Match Log'!$K$3:$K$501,0)+2,"")</f>
        <v/>
      </c>
      <c r="E618" s="38" t="str">
        <f>IFERROR(MATCH($A618,'Tournament Log'!$O$4:$O$203,0)+3,"")</f>
        <v/>
      </c>
      <c r="F618" s="37" t="str">
        <f>IF(C618="","",IF(C618="Match",INDEX('Match Log'!$B:$B,D618),IF(C618="Tournament",INDEX('Tournament Log'!$C:$C,E618),INDEX('Guest Log'!$B:$B,Q618))))</f>
        <v/>
      </c>
      <c r="G618" s="37" t="str">
        <f>IF(C618="","",IF(C618="Match",INDEX('Match Log'!$C:$C,D618),IF(C618="Tournament",INDEX('Tournament Log'!$B:$B,E618)&amp;" (Phantom)",INDEX('Guest Log'!$H:$H,Q618)&amp;" (Guest)")))</f>
        <v/>
      </c>
      <c r="H618" s="37" t="str">
        <f t="array" ref="H618">IF(C618="","",IFERROR(LOOKUP(2,1/(($F$1:F617=F618)+($G$1:G617=F618)),IF($F$1:F617=F618,$N$1:N617,$O$1:O617)),1000))</f>
        <v/>
      </c>
      <c r="I618" s="37" t="str">
        <f t="array" ref="I618">IF(C618="","",IF(C618="Tournament",INDEX('Tournament Log'!$J:$J,E618),IF(C618="Guest",IF(INDEX('Guest Log'!$I:$I,Q618)="",1000,INDEX('Guest Log'!$I:$I,Q618)),IFERROR(LOOKUP(2,1/(($F$1:F617=G618)+($G$1:G617=G618)),IF($F$1:F617=G618,$N$1:N617,$O$1:O617)),1000))))</f>
        <v/>
      </c>
      <c r="J618" s="37" t="str">
        <f t="shared" si="46"/>
        <v/>
      </c>
      <c r="K618" s="12" t="str">
        <f>IF(C618="","",IF(C618="Match",IF(INDEX('Match Log'!$D:$D,D618)="Win",1,IF(INDEX('Match Log'!$D:$D,D618)="Draw",0.5,0)),IF(C618="Tournament",INDEX('Tournament Log'!$K:$K,E618),IF(INDEX('Guest Log'!$C:$C,Q618)="Win",1,IF(INDEX('Guest Log'!$C:$C,Q618)="Draw",0.5,0)))))</f>
        <v/>
      </c>
      <c r="L618" s="12" t="str">
        <f>IF(C618="","",IF(C618="Match",32,IF(C618="Tournament",MIN(32*INDEX('Tournament Log'!$D:$D,E618),96),32)))</f>
        <v/>
      </c>
      <c r="M618" s="12" t="str">
        <f t="shared" si="47"/>
        <v/>
      </c>
      <c r="N618" s="12" t="str">
        <f t="shared" si="48"/>
        <v/>
      </c>
      <c r="O618" s="12" t="str">
        <f t="shared" si="49"/>
        <v/>
      </c>
      <c r="P618" s="12" t="str">
        <f>IF(C618="Tournament",INDEX('Tournament Log'!$B:$B,E618),IF(C618="Guest","Guest: "&amp;INDEX('Guest Log'!$H:$H,Q618),""))</f>
        <v/>
      </c>
      <c r="Q618" t="str">
        <f>IFERROR(MATCH($A618,'Guest Log'!$L$4:$L$203,0)+3,"")</f>
        <v/>
      </c>
    </row>
    <row r="619" spans="1:17" ht="15" customHeight="1" x14ac:dyDescent="0.2">
      <c r="A619" s="22">
        <f>618</f>
        <v>618</v>
      </c>
      <c r="B619" s="22" t="str">
        <f>IF(C619="","",IF(C619="Match",INDEX('Match Log'!$A:$A,D619),IF(C619="Tournament",INDEX('Tournament Log'!$A:$A,E619),INDEX('Guest Log'!$A:$A,Q619))))</f>
        <v/>
      </c>
      <c r="C619" s="22" t="str">
        <f t="shared" si="45"/>
        <v/>
      </c>
      <c r="D619" s="39" t="str">
        <f>IFERROR(MATCH($A619,'Match Log'!$K$3:$K$501,0)+2,"")</f>
        <v/>
      </c>
      <c r="E619" s="39" t="str">
        <f>IFERROR(MATCH($A619,'Tournament Log'!$O$4:$O$203,0)+3,"")</f>
        <v/>
      </c>
      <c r="F619" s="22" t="str">
        <f>IF(C619="","",IF(C619="Match",INDEX('Match Log'!$B:$B,D619),IF(C619="Tournament",INDEX('Tournament Log'!$C:$C,E619),INDEX('Guest Log'!$B:$B,Q619))))</f>
        <v/>
      </c>
      <c r="G619" s="22" t="str">
        <f>IF(C619="","",IF(C619="Match",INDEX('Match Log'!$C:$C,D619),IF(C619="Tournament",INDEX('Tournament Log'!$B:$B,E619)&amp;" (Phantom)",INDEX('Guest Log'!$H:$H,Q619)&amp;" (Guest)")))</f>
        <v/>
      </c>
      <c r="H619" s="22" t="str">
        <f t="array" ref="H619">IF(C619="","",IFERROR(LOOKUP(2,1/(($F$1:F618=F619)+($G$1:G618=F619)),IF($F$1:F618=F619,$N$1:N618,$O$1:O618)),1000))</f>
        <v/>
      </c>
      <c r="I619" s="22" t="str">
        <f t="array" ref="I619">IF(C619="","",IF(C619="Tournament",INDEX('Tournament Log'!$J:$J,E619),IF(C619="Guest",IF(INDEX('Guest Log'!$I:$I,Q619)="",1000,INDEX('Guest Log'!$I:$I,Q619)),IFERROR(LOOKUP(2,1/(($F$1:F618=G619)+($G$1:G618=G619)),IF($F$1:F618=G619,$N$1:N618,$O$1:O618)),1000))))</f>
        <v/>
      </c>
      <c r="J619" s="22" t="str">
        <f t="shared" si="46"/>
        <v/>
      </c>
      <c r="K619" s="12" t="str">
        <f>IF(C619="","",IF(C619="Match",IF(INDEX('Match Log'!$D:$D,D619)="Win",1,IF(INDEX('Match Log'!$D:$D,D619)="Draw",0.5,0)),IF(C619="Tournament",INDEX('Tournament Log'!$K:$K,E619),IF(INDEX('Guest Log'!$C:$C,Q619)="Win",1,IF(INDEX('Guest Log'!$C:$C,Q619)="Draw",0.5,0)))))</f>
        <v/>
      </c>
      <c r="L619" s="12" t="str">
        <f>IF(C619="","",IF(C619="Match",32,IF(C619="Tournament",MIN(32*INDEX('Tournament Log'!$D:$D,E619),96),32)))</f>
        <v/>
      </c>
      <c r="M619" s="12" t="str">
        <f t="shared" si="47"/>
        <v/>
      </c>
      <c r="N619" s="12" t="str">
        <f t="shared" si="48"/>
        <v/>
      </c>
      <c r="O619" s="12" t="str">
        <f t="shared" si="49"/>
        <v/>
      </c>
      <c r="P619" s="12" t="str">
        <f>IF(C619="Tournament",INDEX('Tournament Log'!$B:$B,E619),IF(C619="Guest","Guest: "&amp;INDEX('Guest Log'!$H:$H,Q619),""))</f>
        <v/>
      </c>
      <c r="Q619" t="str">
        <f>IFERROR(MATCH($A619,'Guest Log'!$L$4:$L$203,0)+3,"")</f>
        <v/>
      </c>
    </row>
    <row r="620" spans="1:17" ht="15" customHeight="1" x14ac:dyDescent="0.2">
      <c r="A620" s="37">
        <f>619</f>
        <v>619</v>
      </c>
      <c r="B620" s="37" t="str">
        <f>IF(C620="","",IF(C620="Match",INDEX('Match Log'!$A:$A,D620),IF(C620="Tournament",INDEX('Tournament Log'!$A:$A,E620),INDEX('Guest Log'!$A:$A,Q620))))</f>
        <v/>
      </c>
      <c r="C620" s="37" t="str">
        <f t="shared" si="45"/>
        <v/>
      </c>
      <c r="D620" s="38" t="str">
        <f>IFERROR(MATCH($A620,'Match Log'!$K$3:$K$501,0)+2,"")</f>
        <v/>
      </c>
      <c r="E620" s="38" t="str">
        <f>IFERROR(MATCH($A620,'Tournament Log'!$O$4:$O$203,0)+3,"")</f>
        <v/>
      </c>
      <c r="F620" s="37" t="str">
        <f>IF(C620="","",IF(C620="Match",INDEX('Match Log'!$B:$B,D620),IF(C620="Tournament",INDEX('Tournament Log'!$C:$C,E620),INDEX('Guest Log'!$B:$B,Q620))))</f>
        <v/>
      </c>
      <c r="G620" s="37" t="str">
        <f>IF(C620="","",IF(C620="Match",INDEX('Match Log'!$C:$C,D620),IF(C620="Tournament",INDEX('Tournament Log'!$B:$B,E620)&amp;" (Phantom)",INDEX('Guest Log'!$H:$H,Q620)&amp;" (Guest)")))</f>
        <v/>
      </c>
      <c r="H620" s="37" t="str">
        <f t="array" ref="H620">IF(C620="","",IFERROR(LOOKUP(2,1/(($F$1:F619=F620)+($G$1:G619=F620)),IF($F$1:F619=F620,$N$1:N619,$O$1:O619)),1000))</f>
        <v/>
      </c>
      <c r="I620" s="37" t="str">
        <f t="array" ref="I620">IF(C620="","",IF(C620="Tournament",INDEX('Tournament Log'!$J:$J,E620),IF(C620="Guest",IF(INDEX('Guest Log'!$I:$I,Q620)="",1000,INDEX('Guest Log'!$I:$I,Q620)),IFERROR(LOOKUP(2,1/(($F$1:F619=G620)+($G$1:G619=G620)),IF($F$1:F619=G620,$N$1:N619,$O$1:O619)),1000))))</f>
        <v/>
      </c>
      <c r="J620" s="37" t="str">
        <f t="shared" si="46"/>
        <v/>
      </c>
      <c r="K620" s="12" t="str">
        <f>IF(C620="","",IF(C620="Match",IF(INDEX('Match Log'!$D:$D,D620)="Win",1,IF(INDEX('Match Log'!$D:$D,D620)="Draw",0.5,0)),IF(C620="Tournament",INDEX('Tournament Log'!$K:$K,E620),IF(INDEX('Guest Log'!$C:$C,Q620)="Win",1,IF(INDEX('Guest Log'!$C:$C,Q620)="Draw",0.5,0)))))</f>
        <v/>
      </c>
      <c r="L620" s="12" t="str">
        <f>IF(C620="","",IF(C620="Match",32,IF(C620="Tournament",MIN(32*INDEX('Tournament Log'!$D:$D,E620),96),32)))</f>
        <v/>
      </c>
      <c r="M620" s="12" t="str">
        <f t="shared" si="47"/>
        <v/>
      </c>
      <c r="N620" s="12" t="str">
        <f t="shared" si="48"/>
        <v/>
      </c>
      <c r="O620" s="12" t="str">
        <f t="shared" si="49"/>
        <v/>
      </c>
      <c r="P620" s="12" t="str">
        <f>IF(C620="Tournament",INDEX('Tournament Log'!$B:$B,E620),IF(C620="Guest","Guest: "&amp;INDEX('Guest Log'!$H:$H,Q620),""))</f>
        <v/>
      </c>
      <c r="Q620" t="str">
        <f>IFERROR(MATCH($A620,'Guest Log'!$L$4:$L$203,0)+3,"")</f>
        <v/>
      </c>
    </row>
    <row r="621" spans="1:17" ht="15" customHeight="1" x14ac:dyDescent="0.2">
      <c r="A621" s="22">
        <f>620</f>
        <v>620</v>
      </c>
      <c r="B621" s="22" t="str">
        <f>IF(C621="","",IF(C621="Match",INDEX('Match Log'!$A:$A,D621),IF(C621="Tournament",INDEX('Tournament Log'!$A:$A,E621),INDEX('Guest Log'!$A:$A,Q621))))</f>
        <v/>
      </c>
      <c r="C621" s="22" t="str">
        <f t="shared" si="45"/>
        <v/>
      </c>
      <c r="D621" s="39" t="str">
        <f>IFERROR(MATCH($A621,'Match Log'!$K$3:$K$501,0)+2,"")</f>
        <v/>
      </c>
      <c r="E621" s="39" t="str">
        <f>IFERROR(MATCH($A621,'Tournament Log'!$O$4:$O$203,0)+3,"")</f>
        <v/>
      </c>
      <c r="F621" s="22" t="str">
        <f>IF(C621="","",IF(C621="Match",INDEX('Match Log'!$B:$B,D621),IF(C621="Tournament",INDEX('Tournament Log'!$C:$C,E621),INDEX('Guest Log'!$B:$B,Q621))))</f>
        <v/>
      </c>
      <c r="G621" s="22" t="str">
        <f>IF(C621="","",IF(C621="Match",INDEX('Match Log'!$C:$C,D621),IF(C621="Tournament",INDEX('Tournament Log'!$B:$B,E621)&amp;" (Phantom)",INDEX('Guest Log'!$H:$H,Q621)&amp;" (Guest)")))</f>
        <v/>
      </c>
      <c r="H621" s="22" t="str">
        <f t="array" ref="H621">IF(C621="","",IFERROR(LOOKUP(2,1/(($F$1:F620=F621)+($G$1:G620=F621)),IF($F$1:F620=F621,$N$1:N620,$O$1:O620)),1000))</f>
        <v/>
      </c>
      <c r="I621" s="22" t="str">
        <f t="array" ref="I621">IF(C621="","",IF(C621="Tournament",INDEX('Tournament Log'!$J:$J,E621),IF(C621="Guest",IF(INDEX('Guest Log'!$I:$I,Q621)="",1000,INDEX('Guest Log'!$I:$I,Q621)),IFERROR(LOOKUP(2,1/(($F$1:F620=G621)+($G$1:G620=G621)),IF($F$1:F620=G621,$N$1:N620,$O$1:O620)),1000))))</f>
        <v/>
      </c>
      <c r="J621" s="22" t="str">
        <f t="shared" si="46"/>
        <v/>
      </c>
      <c r="K621" s="12" t="str">
        <f>IF(C621="","",IF(C621="Match",IF(INDEX('Match Log'!$D:$D,D621)="Win",1,IF(INDEX('Match Log'!$D:$D,D621)="Draw",0.5,0)),IF(C621="Tournament",INDEX('Tournament Log'!$K:$K,E621),IF(INDEX('Guest Log'!$C:$C,Q621)="Win",1,IF(INDEX('Guest Log'!$C:$C,Q621)="Draw",0.5,0)))))</f>
        <v/>
      </c>
      <c r="L621" s="12" t="str">
        <f>IF(C621="","",IF(C621="Match",32,IF(C621="Tournament",MIN(32*INDEX('Tournament Log'!$D:$D,E621),96),32)))</f>
        <v/>
      </c>
      <c r="M621" s="12" t="str">
        <f t="shared" si="47"/>
        <v/>
      </c>
      <c r="N621" s="12" t="str">
        <f t="shared" si="48"/>
        <v/>
      </c>
      <c r="O621" s="12" t="str">
        <f t="shared" si="49"/>
        <v/>
      </c>
      <c r="P621" s="12" t="str">
        <f>IF(C621="Tournament",INDEX('Tournament Log'!$B:$B,E621),IF(C621="Guest","Guest: "&amp;INDEX('Guest Log'!$H:$H,Q621),""))</f>
        <v/>
      </c>
      <c r="Q621" t="str">
        <f>IFERROR(MATCH($A621,'Guest Log'!$L$4:$L$203,0)+3,"")</f>
        <v/>
      </c>
    </row>
    <row r="622" spans="1:17" ht="15" customHeight="1" x14ac:dyDescent="0.2">
      <c r="A622" s="37">
        <f>621</f>
        <v>621</v>
      </c>
      <c r="B622" s="37" t="str">
        <f>IF(C622="","",IF(C622="Match",INDEX('Match Log'!$A:$A,D622),IF(C622="Tournament",INDEX('Tournament Log'!$A:$A,E622),INDEX('Guest Log'!$A:$A,Q622))))</f>
        <v/>
      </c>
      <c r="C622" s="37" t="str">
        <f t="shared" si="45"/>
        <v/>
      </c>
      <c r="D622" s="38" t="str">
        <f>IFERROR(MATCH($A622,'Match Log'!$K$3:$K$501,0)+2,"")</f>
        <v/>
      </c>
      <c r="E622" s="38" t="str">
        <f>IFERROR(MATCH($A622,'Tournament Log'!$O$4:$O$203,0)+3,"")</f>
        <v/>
      </c>
      <c r="F622" s="37" t="str">
        <f>IF(C622="","",IF(C622="Match",INDEX('Match Log'!$B:$B,D622),IF(C622="Tournament",INDEX('Tournament Log'!$C:$C,E622),INDEX('Guest Log'!$B:$B,Q622))))</f>
        <v/>
      </c>
      <c r="G622" s="37" t="str">
        <f>IF(C622="","",IF(C622="Match",INDEX('Match Log'!$C:$C,D622),IF(C622="Tournament",INDEX('Tournament Log'!$B:$B,E622)&amp;" (Phantom)",INDEX('Guest Log'!$H:$H,Q622)&amp;" (Guest)")))</f>
        <v/>
      </c>
      <c r="H622" s="37" t="str">
        <f t="array" ref="H622">IF(C622="","",IFERROR(LOOKUP(2,1/(($F$1:F621=F622)+($G$1:G621=F622)),IF($F$1:F621=F622,$N$1:N621,$O$1:O621)),1000))</f>
        <v/>
      </c>
      <c r="I622" s="37" t="str">
        <f t="array" ref="I622">IF(C622="","",IF(C622="Tournament",INDEX('Tournament Log'!$J:$J,E622),IF(C622="Guest",IF(INDEX('Guest Log'!$I:$I,Q622)="",1000,INDEX('Guest Log'!$I:$I,Q622)),IFERROR(LOOKUP(2,1/(($F$1:F621=G622)+($G$1:G621=G622)),IF($F$1:F621=G622,$N$1:N621,$O$1:O621)),1000))))</f>
        <v/>
      </c>
      <c r="J622" s="37" t="str">
        <f t="shared" si="46"/>
        <v/>
      </c>
      <c r="K622" s="12" t="str">
        <f>IF(C622="","",IF(C622="Match",IF(INDEX('Match Log'!$D:$D,D622)="Win",1,IF(INDEX('Match Log'!$D:$D,D622)="Draw",0.5,0)),IF(C622="Tournament",INDEX('Tournament Log'!$K:$K,E622),IF(INDEX('Guest Log'!$C:$C,Q622)="Win",1,IF(INDEX('Guest Log'!$C:$C,Q622)="Draw",0.5,0)))))</f>
        <v/>
      </c>
      <c r="L622" s="12" t="str">
        <f>IF(C622="","",IF(C622="Match",32,IF(C622="Tournament",MIN(32*INDEX('Tournament Log'!$D:$D,E622),96),32)))</f>
        <v/>
      </c>
      <c r="M622" s="12" t="str">
        <f t="shared" si="47"/>
        <v/>
      </c>
      <c r="N622" s="12" t="str">
        <f t="shared" si="48"/>
        <v/>
      </c>
      <c r="O622" s="12" t="str">
        <f t="shared" si="49"/>
        <v/>
      </c>
      <c r="P622" s="12" t="str">
        <f>IF(C622="Tournament",INDEX('Tournament Log'!$B:$B,E622),IF(C622="Guest","Guest: "&amp;INDEX('Guest Log'!$H:$H,Q622),""))</f>
        <v/>
      </c>
      <c r="Q622" t="str">
        <f>IFERROR(MATCH($A622,'Guest Log'!$L$4:$L$203,0)+3,"")</f>
        <v/>
      </c>
    </row>
    <row r="623" spans="1:17" ht="15" customHeight="1" x14ac:dyDescent="0.2">
      <c r="A623" s="22">
        <f>622</f>
        <v>622</v>
      </c>
      <c r="B623" s="22" t="str">
        <f>IF(C623="","",IF(C623="Match",INDEX('Match Log'!$A:$A,D623),IF(C623="Tournament",INDEX('Tournament Log'!$A:$A,E623),INDEX('Guest Log'!$A:$A,Q623))))</f>
        <v/>
      </c>
      <c r="C623" s="22" t="str">
        <f t="shared" si="45"/>
        <v/>
      </c>
      <c r="D623" s="39" t="str">
        <f>IFERROR(MATCH($A623,'Match Log'!$K$3:$K$501,0)+2,"")</f>
        <v/>
      </c>
      <c r="E623" s="39" t="str">
        <f>IFERROR(MATCH($A623,'Tournament Log'!$O$4:$O$203,0)+3,"")</f>
        <v/>
      </c>
      <c r="F623" s="22" t="str">
        <f>IF(C623="","",IF(C623="Match",INDEX('Match Log'!$B:$B,D623),IF(C623="Tournament",INDEX('Tournament Log'!$C:$C,E623),INDEX('Guest Log'!$B:$B,Q623))))</f>
        <v/>
      </c>
      <c r="G623" s="22" t="str">
        <f>IF(C623="","",IF(C623="Match",INDEX('Match Log'!$C:$C,D623),IF(C623="Tournament",INDEX('Tournament Log'!$B:$B,E623)&amp;" (Phantom)",INDEX('Guest Log'!$H:$H,Q623)&amp;" (Guest)")))</f>
        <v/>
      </c>
      <c r="H623" s="22" t="str">
        <f t="array" ref="H623">IF(C623="","",IFERROR(LOOKUP(2,1/(($F$1:F622=F623)+($G$1:G622=F623)),IF($F$1:F622=F623,$N$1:N622,$O$1:O622)),1000))</f>
        <v/>
      </c>
      <c r="I623" s="22" t="str">
        <f t="array" ref="I623">IF(C623="","",IF(C623="Tournament",INDEX('Tournament Log'!$J:$J,E623),IF(C623="Guest",IF(INDEX('Guest Log'!$I:$I,Q623)="",1000,INDEX('Guest Log'!$I:$I,Q623)),IFERROR(LOOKUP(2,1/(($F$1:F622=G623)+($G$1:G622=G623)),IF($F$1:F622=G623,$N$1:N622,$O$1:O622)),1000))))</f>
        <v/>
      </c>
      <c r="J623" s="22" t="str">
        <f t="shared" si="46"/>
        <v/>
      </c>
      <c r="K623" s="12" t="str">
        <f>IF(C623="","",IF(C623="Match",IF(INDEX('Match Log'!$D:$D,D623)="Win",1,IF(INDEX('Match Log'!$D:$D,D623)="Draw",0.5,0)),IF(C623="Tournament",INDEX('Tournament Log'!$K:$K,E623),IF(INDEX('Guest Log'!$C:$C,Q623)="Win",1,IF(INDEX('Guest Log'!$C:$C,Q623)="Draw",0.5,0)))))</f>
        <v/>
      </c>
      <c r="L623" s="12" t="str">
        <f>IF(C623="","",IF(C623="Match",32,IF(C623="Tournament",MIN(32*INDEX('Tournament Log'!$D:$D,E623),96),32)))</f>
        <v/>
      </c>
      <c r="M623" s="12" t="str">
        <f t="shared" si="47"/>
        <v/>
      </c>
      <c r="N623" s="12" t="str">
        <f t="shared" si="48"/>
        <v/>
      </c>
      <c r="O623" s="12" t="str">
        <f t="shared" si="49"/>
        <v/>
      </c>
      <c r="P623" s="12" t="str">
        <f>IF(C623="Tournament",INDEX('Tournament Log'!$B:$B,E623),IF(C623="Guest","Guest: "&amp;INDEX('Guest Log'!$H:$H,Q623),""))</f>
        <v/>
      </c>
      <c r="Q623" t="str">
        <f>IFERROR(MATCH($A623,'Guest Log'!$L$4:$L$203,0)+3,"")</f>
        <v/>
      </c>
    </row>
    <row r="624" spans="1:17" ht="15" customHeight="1" x14ac:dyDescent="0.2">
      <c r="A624" s="37">
        <f>623</f>
        <v>623</v>
      </c>
      <c r="B624" s="37" t="str">
        <f>IF(C624="","",IF(C624="Match",INDEX('Match Log'!$A:$A,D624),IF(C624="Tournament",INDEX('Tournament Log'!$A:$A,E624),INDEX('Guest Log'!$A:$A,Q624))))</f>
        <v/>
      </c>
      <c r="C624" s="37" t="str">
        <f t="shared" si="45"/>
        <v/>
      </c>
      <c r="D624" s="38" t="str">
        <f>IFERROR(MATCH($A624,'Match Log'!$K$3:$K$501,0)+2,"")</f>
        <v/>
      </c>
      <c r="E624" s="38" t="str">
        <f>IFERROR(MATCH($A624,'Tournament Log'!$O$4:$O$203,0)+3,"")</f>
        <v/>
      </c>
      <c r="F624" s="37" t="str">
        <f>IF(C624="","",IF(C624="Match",INDEX('Match Log'!$B:$B,D624),IF(C624="Tournament",INDEX('Tournament Log'!$C:$C,E624),INDEX('Guest Log'!$B:$B,Q624))))</f>
        <v/>
      </c>
      <c r="G624" s="37" t="str">
        <f>IF(C624="","",IF(C624="Match",INDEX('Match Log'!$C:$C,D624),IF(C624="Tournament",INDEX('Tournament Log'!$B:$B,E624)&amp;" (Phantom)",INDEX('Guest Log'!$H:$H,Q624)&amp;" (Guest)")))</f>
        <v/>
      </c>
      <c r="H624" s="37" t="str">
        <f t="array" ref="H624">IF(C624="","",IFERROR(LOOKUP(2,1/(($F$1:F623=F624)+($G$1:G623=F624)),IF($F$1:F623=F624,$N$1:N623,$O$1:O623)),1000))</f>
        <v/>
      </c>
      <c r="I624" s="37" t="str">
        <f t="array" ref="I624">IF(C624="","",IF(C624="Tournament",INDEX('Tournament Log'!$J:$J,E624),IF(C624="Guest",IF(INDEX('Guest Log'!$I:$I,Q624)="",1000,INDEX('Guest Log'!$I:$I,Q624)),IFERROR(LOOKUP(2,1/(($F$1:F623=G624)+($G$1:G623=G624)),IF($F$1:F623=G624,$N$1:N623,$O$1:O623)),1000))))</f>
        <v/>
      </c>
      <c r="J624" s="37" t="str">
        <f t="shared" si="46"/>
        <v/>
      </c>
      <c r="K624" s="12" t="str">
        <f>IF(C624="","",IF(C624="Match",IF(INDEX('Match Log'!$D:$D,D624)="Win",1,IF(INDEX('Match Log'!$D:$D,D624)="Draw",0.5,0)),IF(C624="Tournament",INDEX('Tournament Log'!$K:$K,E624),IF(INDEX('Guest Log'!$C:$C,Q624)="Win",1,IF(INDEX('Guest Log'!$C:$C,Q624)="Draw",0.5,0)))))</f>
        <v/>
      </c>
      <c r="L624" s="12" t="str">
        <f>IF(C624="","",IF(C624="Match",32,IF(C624="Tournament",MIN(32*INDEX('Tournament Log'!$D:$D,E624),96),32)))</f>
        <v/>
      </c>
      <c r="M624" s="12" t="str">
        <f t="shared" si="47"/>
        <v/>
      </c>
      <c r="N624" s="12" t="str">
        <f t="shared" si="48"/>
        <v/>
      </c>
      <c r="O624" s="12" t="str">
        <f t="shared" si="49"/>
        <v/>
      </c>
      <c r="P624" s="12" t="str">
        <f>IF(C624="Tournament",INDEX('Tournament Log'!$B:$B,E624),IF(C624="Guest","Guest: "&amp;INDEX('Guest Log'!$H:$H,Q624),""))</f>
        <v/>
      </c>
      <c r="Q624" t="str">
        <f>IFERROR(MATCH($A624,'Guest Log'!$L$4:$L$203,0)+3,"")</f>
        <v/>
      </c>
    </row>
    <row r="625" spans="1:17" ht="15" customHeight="1" x14ac:dyDescent="0.2">
      <c r="A625" s="22">
        <f>624</f>
        <v>624</v>
      </c>
      <c r="B625" s="22" t="str">
        <f>IF(C625="","",IF(C625="Match",INDEX('Match Log'!$A:$A,D625),IF(C625="Tournament",INDEX('Tournament Log'!$A:$A,E625),INDEX('Guest Log'!$A:$A,Q625))))</f>
        <v/>
      </c>
      <c r="C625" s="22" t="str">
        <f t="shared" si="45"/>
        <v/>
      </c>
      <c r="D625" s="39" t="str">
        <f>IFERROR(MATCH($A625,'Match Log'!$K$3:$K$501,0)+2,"")</f>
        <v/>
      </c>
      <c r="E625" s="39" t="str">
        <f>IFERROR(MATCH($A625,'Tournament Log'!$O$4:$O$203,0)+3,"")</f>
        <v/>
      </c>
      <c r="F625" s="22" t="str">
        <f>IF(C625="","",IF(C625="Match",INDEX('Match Log'!$B:$B,D625),IF(C625="Tournament",INDEX('Tournament Log'!$C:$C,E625),INDEX('Guest Log'!$B:$B,Q625))))</f>
        <v/>
      </c>
      <c r="G625" s="22" t="str">
        <f>IF(C625="","",IF(C625="Match",INDEX('Match Log'!$C:$C,D625),IF(C625="Tournament",INDEX('Tournament Log'!$B:$B,E625)&amp;" (Phantom)",INDEX('Guest Log'!$H:$H,Q625)&amp;" (Guest)")))</f>
        <v/>
      </c>
      <c r="H625" s="22" t="str">
        <f t="array" ref="H625">IF(C625="","",IFERROR(LOOKUP(2,1/(($F$1:F624=F625)+($G$1:G624=F625)),IF($F$1:F624=F625,$N$1:N624,$O$1:O624)),1000))</f>
        <v/>
      </c>
      <c r="I625" s="22" t="str">
        <f t="array" ref="I625">IF(C625="","",IF(C625="Tournament",INDEX('Tournament Log'!$J:$J,E625),IF(C625="Guest",IF(INDEX('Guest Log'!$I:$I,Q625)="",1000,INDEX('Guest Log'!$I:$I,Q625)),IFERROR(LOOKUP(2,1/(($F$1:F624=G625)+($G$1:G624=G625)),IF($F$1:F624=G625,$N$1:N624,$O$1:O624)),1000))))</f>
        <v/>
      </c>
      <c r="J625" s="22" t="str">
        <f t="shared" si="46"/>
        <v/>
      </c>
      <c r="K625" s="12" t="str">
        <f>IF(C625="","",IF(C625="Match",IF(INDEX('Match Log'!$D:$D,D625)="Win",1,IF(INDEX('Match Log'!$D:$D,D625)="Draw",0.5,0)),IF(C625="Tournament",INDEX('Tournament Log'!$K:$K,E625),IF(INDEX('Guest Log'!$C:$C,Q625)="Win",1,IF(INDEX('Guest Log'!$C:$C,Q625)="Draw",0.5,0)))))</f>
        <v/>
      </c>
      <c r="L625" s="12" t="str">
        <f>IF(C625="","",IF(C625="Match",32,IF(C625="Tournament",MIN(32*INDEX('Tournament Log'!$D:$D,E625),96),32)))</f>
        <v/>
      </c>
      <c r="M625" s="12" t="str">
        <f t="shared" si="47"/>
        <v/>
      </c>
      <c r="N625" s="12" t="str">
        <f t="shared" si="48"/>
        <v/>
      </c>
      <c r="O625" s="12" t="str">
        <f t="shared" si="49"/>
        <v/>
      </c>
      <c r="P625" s="12" t="str">
        <f>IF(C625="Tournament",INDEX('Tournament Log'!$B:$B,E625),IF(C625="Guest","Guest: "&amp;INDEX('Guest Log'!$H:$H,Q625),""))</f>
        <v/>
      </c>
      <c r="Q625" t="str">
        <f>IFERROR(MATCH($A625,'Guest Log'!$L$4:$L$203,0)+3,"")</f>
        <v/>
      </c>
    </row>
    <row r="626" spans="1:17" ht="15" customHeight="1" x14ac:dyDescent="0.2">
      <c r="A626" s="37">
        <f>625</f>
        <v>625</v>
      </c>
      <c r="B626" s="37" t="str">
        <f>IF(C626="","",IF(C626="Match",INDEX('Match Log'!$A:$A,D626),IF(C626="Tournament",INDEX('Tournament Log'!$A:$A,E626),INDEX('Guest Log'!$A:$A,Q626))))</f>
        <v/>
      </c>
      <c r="C626" s="37" t="str">
        <f t="shared" si="45"/>
        <v/>
      </c>
      <c r="D626" s="38" t="str">
        <f>IFERROR(MATCH($A626,'Match Log'!$K$3:$K$501,0)+2,"")</f>
        <v/>
      </c>
      <c r="E626" s="38" t="str">
        <f>IFERROR(MATCH($A626,'Tournament Log'!$O$4:$O$203,0)+3,"")</f>
        <v/>
      </c>
      <c r="F626" s="37" t="str">
        <f>IF(C626="","",IF(C626="Match",INDEX('Match Log'!$B:$B,D626),IF(C626="Tournament",INDEX('Tournament Log'!$C:$C,E626),INDEX('Guest Log'!$B:$B,Q626))))</f>
        <v/>
      </c>
      <c r="G626" s="37" t="str">
        <f>IF(C626="","",IF(C626="Match",INDEX('Match Log'!$C:$C,D626),IF(C626="Tournament",INDEX('Tournament Log'!$B:$B,E626)&amp;" (Phantom)",INDEX('Guest Log'!$H:$H,Q626)&amp;" (Guest)")))</f>
        <v/>
      </c>
      <c r="H626" s="37" t="str">
        <f t="array" ref="H626">IF(C626="","",IFERROR(LOOKUP(2,1/(($F$1:F625=F626)+($G$1:G625=F626)),IF($F$1:F625=F626,$N$1:N625,$O$1:O625)),1000))</f>
        <v/>
      </c>
      <c r="I626" s="37" t="str">
        <f t="array" ref="I626">IF(C626="","",IF(C626="Tournament",INDEX('Tournament Log'!$J:$J,E626),IF(C626="Guest",IF(INDEX('Guest Log'!$I:$I,Q626)="",1000,INDEX('Guest Log'!$I:$I,Q626)),IFERROR(LOOKUP(2,1/(($F$1:F625=G626)+($G$1:G625=G626)),IF($F$1:F625=G626,$N$1:N625,$O$1:O625)),1000))))</f>
        <v/>
      </c>
      <c r="J626" s="37" t="str">
        <f t="shared" si="46"/>
        <v/>
      </c>
      <c r="K626" s="12" t="str">
        <f>IF(C626="","",IF(C626="Match",IF(INDEX('Match Log'!$D:$D,D626)="Win",1,IF(INDEX('Match Log'!$D:$D,D626)="Draw",0.5,0)),IF(C626="Tournament",INDEX('Tournament Log'!$K:$K,E626),IF(INDEX('Guest Log'!$C:$C,Q626)="Win",1,IF(INDEX('Guest Log'!$C:$C,Q626)="Draw",0.5,0)))))</f>
        <v/>
      </c>
      <c r="L626" s="12" t="str">
        <f>IF(C626="","",IF(C626="Match",32,IF(C626="Tournament",MIN(32*INDEX('Tournament Log'!$D:$D,E626),96),32)))</f>
        <v/>
      </c>
      <c r="M626" s="12" t="str">
        <f t="shared" si="47"/>
        <v/>
      </c>
      <c r="N626" s="12" t="str">
        <f t="shared" si="48"/>
        <v/>
      </c>
      <c r="O626" s="12" t="str">
        <f t="shared" si="49"/>
        <v/>
      </c>
      <c r="P626" s="12" t="str">
        <f>IF(C626="Tournament",INDEX('Tournament Log'!$B:$B,E626),IF(C626="Guest","Guest: "&amp;INDEX('Guest Log'!$H:$H,Q626),""))</f>
        <v/>
      </c>
      <c r="Q626" t="str">
        <f>IFERROR(MATCH($A626,'Guest Log'!$L$4:$L$203,0)+3,"")</f>
        <v/>
      </c>
    </row>
    <row r="627" spans="1:17" ht="15" customHeight="1" x14ac:dyDescent="0.2">
      <c r="A627" s="22">
        <f>626</f>
        <v>626</v>
      </c>
      <c r="B627" s="22" t="str">
        <f>IF(C627="","",IF(C627="Match",INDEX('Match Log'!$A:$A,D627),IF(C627="Tournament",INDEX('Tournament Log'!$A:$A,E627),INDEX('Guest Log'!$A:$A,Q627))))</f>
        <v/>
      </c>
      <c r="C627" s="22" t="str">
        <f t="shared" si="45"/>
        <v/>
      </c>
      <c r="D627" s="39" t="str">
        <f>IFERROR(MATCH($A627,'Match Log'!$K$3:$K$501,0)+2,"")</f>
        <v/>
      </c>
      <c r="E627" s="39" t="str">
        <f>IFERROR(MATCH($A627,'Tournament Log'!$O$4:$O$203,0)+3,"")</f>
        <v/>
      </c>
      <c r="F627" s="22" t="str">
        <f>IF(C627="","",IF(C627="Match",INDEX('Match Log'!$B:$B,D627),IF(C627="Tournament",INDEX('Tournament Log'!$C:$C,E627),INDEX('Guest Log'!$B:$B,Q627))))</f>
        <v/>
      </c>
      <c r="G627" s="22" t="str">
        <f>IF(C627="","",IF(C627="Match",INDEX('Match Log'!$C:$C,D627),IF(C627="Tournament",INDEX('Tournament Log'!$B:$B,E627)&amp;" (Phantom)",INDEX('Guest Log'!$H:$H,Q627)&amp;" (Guest)")))</f>
        <v/>
      </c>
      <c r="H627" s="22" t="str">
        <f t="array" ref="H627">IF(C627="","",IFERROR(LOOKUP(2,1/(($F$1:F626=F627)+($G$1:G626=F627)),IF($F$1:F626=F627,$N$1:N626,$O$1:O626)),1000))</f>
        <v/>
      </c>
      <c r="I627" s="22" t="str">
        <f t="array" ref="I627">IF(C627="","",IF(C627="Tournament",INDEX('Tournament Log'!$J:$J,E627),IF(C627="Guest",IF(INDEX('Guest Log'!$I:$I,Q627)="",1000,INDEX('Guest Log'!$I:$I,Q627)),IFERROR(LOOKUP(2,1/(($F$1:F626=G627)+($G$1:G626=G627)),IF($F$1:F626=G627,$N$1:N626,$O$1:O626)),1000))))</f>
        <v/>
      </c>
      <c r="J627" s="22" t="str">
        <f t="shared" si="46"/>
        <v/>
      </c>
      <c r="K627" s="12" t="str">
        <f>IF(C627="","",IF(C627="Match",IF(INDEX('Match Log'!$D:$D,D627)="Win",1,IF(INDEX('Match Log'!$D:$D,D627)="Draw",0.5,0)),IF(C627="Tournament",INDEX('Tournament Log'!$K:$K,E627),IF(INDEX('Guest Log'!$C:$C,Q627)="Win",1,IF(INDEX('Guest Log'!$C:$C,Q627)="Draw",0.5,0)))))</f>
        <v/>
      </c>
      <c r="L627" s="12" t="str">
        <f>IF(C627="","",IF(C627="Match",32,IF(C627="Tournament",MIN(32*INDEX('Tournament Log'!$D:$D,E627),96),32)))</f>
        <v/>
      </c>
      <c r="M627" s="12" t="str">
        <f t="shared" si="47"/>
        <v/>
      </c>
      <c r="N627" s="12" t="str">
        <f t="shared" si="48"/>
        <v/>
      </c>
      <c r="O627" s="12" t="str">
        <f t="shared" si="49"/>
        <v/>
      </c>
      <c r="P627" s="12" t="str">
        <f>IF(C627="Tournament",INDEX('Tournament Log'!$B:$B,E627),IF(C627="Guest","Guest: "&amp;INDEX('Guest Log'!$H:$H,Q627),""))</f>
        <v/>
      </c>
      <c r="Q627" t="str">
        <f>IFERROR(MATCH($A627,'Guest Log'!$L$4:$L$203,0)+3,"")</f>
        <v/>
      </c>
    </row>
    <row r="628" spans="1:17" ht="15" customHeight="1" x14ac:dyDescent="0.2">
      <c r="A628" s="37">
        <f>627</f>
        <v>627</v>
      </c>
      <c r="B628" s="37" t="str">
        <f>IF(C628="","",IF(C628="Match",INDEX('Match Log'!$A:$A,D628),IF(C628="Tournament",INDEX('Tournament Log'!$A:$A,E628),INDEX('Guest Log'!$A:$A,Q628))))</f>
        <v/>
      </c>
      <c r="C628" s="37" t="str">
        <f t="shared" si="45"/>
        <v/>
      </c>
      <c r="D628" s="38" t="str">
        <f>IFERROR(MATCH($A628,'Match Log'!$K$3:$K$501,0)+2,"")</f>
        <v/>
      </c>
      <c r="E628" s="38" t="str">
        <f>IFERROR(MATCH($A628,'Tournament Log'!$O$4:$O$203,0)+3,"")</f>
        <v/>
      </c>
      <c r="F628" s="37" t="str">
        <f>IF(C628="","",IF(C628="Match",INDEX('Match Log'!$B:$B,D628),IF(C628="Tournament",INDEX('Tournament Log'!$C:$C,E628),INDEX('Guest Log'!$B:$B,Q628))))</f>
        <v/>
      </c>
      <c r="G628" s="37" t="str">
        <f>IF(C628="","",IF(C628="Match",INDEX('Match Log'!$C:$C,D628),IF(C628="Tournament",INDEX('Tournament Log'!$B:$B,E628)&amp;" (Phantom)",INDEX('Guest Log'!$H:$H,Q628)&amp;" (Guest)")))</f>
        <v/>
      </c>
      <c r="H628" s="37" t="str">
        <f t="array" ref="H628">IF(C628="","",IFERROR(LOOKUP(2,1/(($F$1:F627=F628)+($G$1:G627=F628)),IF($F$1:F627=F628,$N$1:N627,$O$1:O627)),1000))</f>
        <v/>
      </c>
      <c r="I628" s="37" t="str">
        <f t="array" ref="I628">IF(C628="","",IF(C628="Tournament",INDEX('Tournament Log'!$J:$J,E628),IF(C628="Guest",IF(INDEX('Guest Log'!$I:$I,Q628)="",1000,INDEX('Guest Log'!$I:$I,Q628)),IFERROR(LOOKUP(2,1/(($F$1:F627=G628)+($G$1:G627=G628)),IF($F$1:F627=G628,$N$1:N627,$O$1:O627)),1000))))</f>
        <v/>
      </c>
      <c r="J628" s="37" t="str">
        <f t="shared" si="46"/>
        <v/>
      </c>
      <c r="K628" s="12" t="str">
        <f>IF(C628="","",IF(C628="Match",IF(INDEX('Match Log'!$D:$D,D628)="Win",1,IF(INDEX('Match Log'!$D:$D,D628)="Draw",0.5,0)),IF(C628="Tournament",INDEX('Tournament Log'!$K:$K,E628),IF(INDEX('Guest Log'!$C:$C,Q628)="Win",1,IF(INDEX('Guest Log'!$C:$C,Q628)="Draw",0.5,0)))))</f>
        <v/>
      </c>
      <c r="L628" s="12" t="str">
        <f>IF(C628="","",IF(C628="Match",32,IF(C628="Tournament",MIN(32*INDEX('Tournament Log'!$D:$D,E628),96),32)))</f>
        <v/>
      </c>
      <c r="M628" s="12" t="str">
        <f t="shared" si="47"/>
        <v/>
      </c>
      <c r="N628" s="12" t="str">
        <f t="shared" si="48"/>
        <v/>
      </c>
      <c r="O628" s="12" t="str">
        <f t="shared" si="49"/>
        <v/>
      </c>
      <c r="P628" s="12" t="str">
        <f>IF(C628="Tournament",INDEX('Tournament Log'!$B:$B,E628),IF(C628="Guest","Guest: "&amp;INDEX('Guest Log'!$H:$H,Q628),""))</f>
        <v/>
      </c>
      <c r="Q628" t="str">
        <f>IFERROR(MATCH($A628,'Guest Log'!$L$4:$L$203,0)+3,"")</f>
        <v/>
      </c>
    </row>
    <row r="629" spans="1:17" ht="15" customHeight="1" x14ac:dyDescent="0.2">
      <c r="A629" s="22">
        <f>628</f>
        <v>628</v>
      </c>
      <c r="B629" s="22" t="str">
        <f>IF(C629="","",IF(C629="Match",INDEX('Match Log'!$A:$A,D629),IF(C629="Tournament",INDEX('Tournament Log'!$A:$A,E629),INDEX('Guest Log'!$A:$A,Q629))))</f>
        <v/>
      </c>
      <c r="C629" s="22" t="str">
        <f t="shared" si="45"/>
        <v/>
      </c>
      <c r="D629" s="39" t="str">
        <f>IFERROR(MATCH($A629,'Match Log'!$K$3:$K$501,0)+2,"")</f>
        <v/>
      </c>
      <c r="E629" s="39" t="str">
        <f>IFERROR(MATCH($A629,'Tournament Log'!$O$4:$O$203,0)+3,"")</f>
        <v/>
      </c>
      <c r="F629" s="22" t="str">
        <f>IF(C629="","",IF(C629="Match",INDEX('Match Log'!$B:$B,D629),IF(C629="Tournament",INDEX('Tournament Log'!$C:$C,E629),INDEX('Guest Log'!$B:$B,Q629))))</f>
        <v/>
      </c>
      <c r="G629" s="22" t="str">
        <f>IF(C629="","",IF(C629="Match",INDEX('Match Log'!$C:$C,D629),IF(C629="Tournament",INDEX('Tournament Log'!$B:$B,E629)&amp;" (Phantom)",INDEX('Guest Log'!$H:$H,Q629)&amp;" (Guest)")))</f>
        <v/>
      </c>
      <c r="H629" s="22" t="str">
        <f t="array" ref="H629">IF(C629="","",IFERROR(LOOKUP(2,1/(($F$1:F628=F629)+($G$1:G628=F629)),IF($F$1:F628=F629,$N$1:N628,$O$1:O628)),1000))</f>
        <v/>
      </c>
      <c r="I629" s="22" t="str">
        <f t="array" ref="I629">IF(C629="","",IF(C629="Tournament",INDEX('Tournament Log'!$J:$J,E629),IF(C629="Guest",IF(INDEX('Guest Log'!$I:$I,Q629)="",1000,INDEX('Guest Log'!$I:$I,Q629)),IFERROR(LOOKUP(2,1/(($F$1:F628=G629)+($G$1:G628=G629)),IF($F$1:F628=G629,$N$1:N628,$O$1:O628)),1000))))</f>
        <v/>
      </c>
      <c r="J629" s="22" t="str">
        <f t="shared" si="46"/>
        <v/>
      </c>
      <c r="K629" s="12" t="str">
        <f>IF(C629="","",IF(C629="Match",IF(INDEX('Match Log'!$D:$D,D629)="Win",1,IF(INDEX('Match Log'!$D:$D,D629)="Draw",0.5,0)),IF(C629="Tournament",INDEX('Tournament Log'!$K:$K,E629),IF(INDEX('Guest Log'!$C:$C,Q629)="Win",1,IF(INDEX('Guest Log'!$C:$C,Q629)="Draw",0.5,0)))))</f>
        <v/>
      </c>
      <c r="L629" s="12" t="str">
        <f>IF(C629="","",IF(C629="Match",32,IF(C629="Tournament",MIN(32*INDEX('Tournament Log'!$D:$D,E629),96),32)))</f>
        <v/>
      </c>
      <c r="M629" s="12" t="str">
        <f t="shared" si="47"/>
        <v/>
      </c>
      <c r="N629" s="12" t="str">
        <f t="shared" si="48"/>
        <v/>
      </c>
      <c r="O629" s="12" t="str">
        <f t="shared" si="49"/>
        <v/>
      </c>
      <c r="P629" s="12" t="str">
        <f>IF(C629="Tournament",INDEX('Tournament Log'!$B:$B,E629),IF(C629="Guest","Guest: "&amp;INDEX('Guest Log'!$H:$H,Q629),""))</f>
        <v/>
      </c>
      <c r="Q629" t="str">
        <f>IFERROR(MATCH($A629,'Guest Log'!$L$4:$L$203,0)+3,"")</f>
        <v/>
      </c>
    </row>
    <row r="630" spans="1:17" ht="15" customHeight="1" x14ac:dyDescent="0.2">
      <c r="A630" s="37">
        <f>629</f>
        <v>629</v>
      </c>
      <c r="B630" s="37" t="str">
        <f>IF(C630="","",IF(C630="Match",INDEX('Match Log'!$A:$A,D630),IF(C630="Tournament",INDEX('Tournament Log'!$A:$A,E630),INDEX('Guest Log'!$A:$A,Q630))))</f>
        <v/>
      </c>
      <c r="C630" s="37" t="str">
        <f t="shared" si="45"/>
        <v/>
      </c>
      <c r="D630" s="38" t="str">
        <f>IFERROR(MATCH($A630,'Match Log'!$K$3:$K$501,0)+2,"")</f>
        <v/>
      </c>
      <c r="E630" s="38" t="str">
        <f>IFERROR(MATCH($A630,'Tournament Log'!$O$4:$O$203,0)+3,"")</f>
        <v/>
      </c>
      <c r="F630" s="37" t="str">
        <f>IF(C630="","",IF(C630="Match",INDEX('Match Log'!$B:$B,D630),IF(C630="Tournament",INDEX('Tournament Log'!$C:$C,E630),INDEX('Guest Log'!$B:$B,Q630))))</f>
        <v/>
      </c>
      <c r="G630" s="37" t="str">
        <f>IF(C630="","",IF(C630="Match",INDEX('Match Log'!$C:$C,D630),IF(C630="Tournament",INDEX('Tournament Log'!$B:$B,E630)&amp;" (Phantom)",INDEX('Guest Log'!$H:$H,Q630)&amp;" (Guest)")))</f>
        <v/>
      </c>
      <c r="H630" s="37" t="str">
        <f t="array" ref="H630">IF(C630="","",IFERROR(LOOKUP(2,1/(($F$1:F629=F630)+($G$1:G629=F630)),IF($F$1:F629=F630,$N$1:N629,$O$1:O629)),1000))</f>
        <v/>
      </c>
      <c r="I630" s="37" t="str">
        <f t="array" ref="I630">IF(C630="","",IF(C630="Tournament",INDEX('Tournament Log'!$J:$J,E630),IF(C630="Guest",IF(INDEX('Guest Log'!$I:$I,Q630)="",1000,INDEX('Guest Log'!$I:$I,Q630)),IFERROR(LOOKUP(2,1/(($F$1:F629=G630)+($G$1:G629=G630)),IF($F$1:F629=G630,$N$1:N629,$O$1:O629)),1000))))</f>
        <v/>
      </c>
      <c r="J630" s="37" t="str">
        <f t="shared" si="46"/>
        <v/>
      </c>
      <c r="K630" s="12" t="str">
        <f>IF(C630="","",IF(C630="Match",IF(INDEX('Match Log'!$D:$D,D630)="Win",1,IF(INDEX('Match Log'!$D:$D,D630)="Draw",0.5,0)),IF(C630="Tournament",INDEX('Tournament Log'!$K:$K,E630),IF(INDEX('Guest Log'!$C:$C,Q630)="Win",1,IF(INDEX('Guest Log'!$C:$C,Q630)="Draw",0.5,0)))))</f>
        <v/>
      </c>
      <c r="L630" s="12" t="str">
        <f>IF(C630="","",IF(C630="Match",32,IF(C630="Tournament",MIN(32*INDEX('Tournament Log'!$D:$D,E630),96),32)))</f>
        <v/>
      </c>
      <c r="M630" s="12" t="str">
        <f t="shared" si="47"/>
        <v/>
      </c>
      <c r="N630" s="12" t="str">
        <f t="shared" si="48"/>
        <v/>
      </c>
      <c r="O630" s="12" t="str">
        <f t="shared" si="49"/>
        <v/>
      </c>
      <c r="P630" s="12" t="str">
        <f>IF(C630="Tournament",INDEX('Tournament Log'!$B:$B,E630),IF(C630="Guest","Guest: "&amp;INDEX('Guest Log'!$H:$H,Q630),""))</f>
        <v/>
      </c>
      <c r="Q630" t="str">
        <f>IFERROR(MATCH($A630,'Guest Log'!$L$4:$L$203,0)+3,"")</f>
        <v/>
      </c>
    </row>
    <row r="631" spans="1:17" ht="15" customHeight="1" x14ac:dyDescent="0.2">
      <c r="A631" s="22">
        <f>630</f>
        <v>630</v>
      </c>
      <c r="B631" s="22" t="str">
        <f>IF(C631="","",IF(C631="Match",INDEX('Match Log'!$A:$A,D631),IF(C631="Tournament",INDEX('Tournament Log'!$A:$A,E631),INDEX('Guest Log'!$A:$A,Q631))))</f>
        <v/>
      </c>
      <c r="C631" s="22" t="str">
        <f t="shared" si="45"/>
        <v/>
      </c>
      <c r="D631" s="39" t="str">
        <f>IFERROR(MATCH($A631,'Match Log'!$K$3:$K$501,0)+2,"")</f>
        <v/>
      </c>
      <c r="E631" s="39" t="str">
        <f>IFERROR(MATCH($A631,'Tournament Log'!$O$4:$O$203,0)+3,"")</f>
        <v/>
      </c>
      <c r="F631" s="22" t="str">
        <f>IF(C631="","",IF(C631="Match",INDEX('Match Log'!$B:$B,D631),IF(C631="Tournament",INDEX('Tournament Log'!$C:$C,E631),INDEX('Guest Log'!$B:$B,Q631))))</f>
        <v/>
      </c>
      <c r="G631" s="22" t="str">
        <f>IF(C631="","",IF(C631="Match",INDEX('Match Log'!$C:$C,D631),IF(C631="Tournament",INDEX('Tournament Log'!$B:$B,E631)&amp;" (Phantom)",INDEX('Guest Log'!$H:$H,Q631)&amp;" (Guest)")))</f>
        <v/>
      </c>
      <c r="H631" s="22" t="str">
        <f t="array" ref="H631">IF(C631="","",IFERROR(LOOKUP(2,1/(($F$1:F630=F631)+($G$1:G630=F631)),IF($F$1:F630=F631,$N$1:N630,$O$1:O630)),1000))</f>
        <v/>
      </c>
      <c r="I631" s="22" t="str">
        <f t="array" ref="I631">IF(C631="","",IF(C631="Tournament",INDEX('Tournament Log'!$J:$J,E631),IF(C631="Guest",IF(INDEX('Guest Log'!$I:$I,Q631)="",1000,INDEX('Guest Log'!$I:$I,Q631)),IFERROR(LOOKUP(2,1/(($F$1:F630=G631)+($G$1:G630=G631)),IF($F$1:F630=G631,$N$1:N630,$O$1:O630)),1000))))</f>
        <v/>
      </c>
      <c r="J631" s="22" t="str">
        <f t="shared" si="46"/>
        <v/>
      </c>
      <c r="K631" s="12" t="str">
        <f>IF(C631="","",IF(C631="Match",IF(INDEX('Match Log'!$D:$D,D631)="Win",1,IF(INDEX('Match Log'!$D:$D,D631)="Draw",0.5,0)),IF(C631="Tournament",INDEX('Tournament Log'!$K:$K,E631),IF(INDEX('Guest Log'!$C:$C,Q631)="Win",1,IF(INDEX('Guest Log'!$C:$C,Q631)="Draw",0.5,0)))))</f>
        <v/>
      </c>
      <c r="L631" s="12" t="str">
        <f>IF(C631="","",IF(C631="Match",32,IF(C631="Tournament",MIN(32*INDEX('Tournament Log'!$D:$D,E631),96),32)))</f>
        <v/>
      </c>
      <c r="M631" s="12" t="str">
        <f t="shared" si="47"/>
        <v/>
      </c>
      <c r="N631" s="12" t="str">
        <f t="shared" si="48"/>
        <v/>
      </c>
      <c r="O631" s="12" t="str">
        <f t="shared" si="49"/>
        <v/>
      </c>
      <c r="P631" s="12" t="str">
        <f>IF(C631="Tournament",INDEX('Tournament Log'!$B:$B,E631),IF(C631="Guest","Guest: "&amp;INDEX('Guest Log'!$H:$H,Q631),""))</f>
        <v/>
      </c>
      <c r="Q631" t="str">
        <f>IFERROR(MATCH($A631,'Guest Log'!$L$4:$L$203,0)+3,"")</f>
        <v/>
      </c>
    </row>
    <row r="632" spans="1:17" ht="15" customHeight="1" x14ac:dyDescent="0.2">
      <c r="A632" s="37">
        <f>631</f>
        <v>631</v>
      </c>
      <c r="B632" s="37" t="str">
        <f>IF(C632="","",IF(C632="Match",INDEX('Match Log'!$A:$A,D632),IF(C632="Tournament",INDEX('Tournament Log'!$A:$A,E632),INDEX('Guest Log'!$A:$A,Q632))))</f>
        <v/>
      </c>
      <c r="C632" s="37" t="str">
        <f t="shared" si="45"/>
        <v/>
      </c>
      <c r="D632" s="38" t="str">
        <f>IFERROR(MATCH($A632,'Match Log'!$K$3:$K$501,0)+2,"")</f>
        <v/>
      </c>
      <c r="E632" s="38" t="str">
        <f>IFERROR(MATCH($A632,'Tournament Log'!$O$4:$O$203,0)+3,"")</f>
        <v/>
      </c>
      <c r="F632" s="37" t="str">
        <f>IF(C632="","",IF(C632="Match",INDEX('Match Log'!$B:$B,D632),IF(C632="Tournament",INDEX('Tournament Log'!$C:$C,E632),INDEX('Guest Log'!$B:$B,Q632))))</f>
        <v/>
      </c>
      <c r="G632" s="37" t="str">
        <f>IF(C632="","",IF(C632="Match",INDEX('Match Log'!$C:$C,D632),IF(C632="Tournament",INDEX('Tournament Log'!$B:$B,E632)&amp;" (Phantom)",INDEX('Guest Log'!$H:$H,Q632)&amp;" (Guest)")))</f>
        <v/>
      </c>
      <c r="H632" s="37" t="str">
        <f t="array" ref="H632">IF(C632="","",IFERROR(LOOKUP(2,1/(($F$1:F631=F632)+($G$1:G631=F632)),IF($F$1:F631=F632,$N$1:N631,$O$1:O631)),1000))</f>
        <v/>
      </c>
      <c r="I632" s="37" t="str">
        <f t="array" ref="I632">IF(C632="","",IF(C632="Tournament",INDEX('Tournament Log'!$J:$J,E632),IF(C632="Guest",IF(INDEX('Guest Log'!$I:$I,Q632)="",1000,INDEX('Guest Log'!$I:$I,Q632)),IFERROR(LOOKUP(2,1/(($F$1:F631=G632)+($G$1:G631=G632)),IF($F$1:F631=G632,$N$1:N631,$O$1:O631)),1000))))</f>
        <v/>
      </c>
      <c r="J632" s="37" t="str">
        <f t="shared" si="46"/>
        <v/>
      </c>
      <c r="K632" s="12" t="str">
        <f>IF(C632="","",IF(C632="Match",IF(INDEX('Match Log'!$D:$D,D632)="Win",1,IF(INDEX('Match Log'!$D:$D,D632)="Draw",0.5,0)),IF(C632="Tournament",INDEX('Tournament Log'!$K:$K,E632),IF(INDEX('Guest Log'!$C:$C,Q632)="Win",1,IF(INDEX('Guest Log'!$C:$C,Q632)="Draw",0.5,0)))))</f>
        <v/>
      </c>
      <c r="L632" s="12" t="str">
        <f>IF(C632="","",IF(C632="Match",32,IF(C632="Tournament",MIN(32*INDEX('Tournament Log'!$D:$D,E632),96),32)))</f>
        <v/>
      </c>
      <c r="M632" s="12" t="str">
        <f t="shared" si="47"/>
        <v/>
      </c>
      <c r="N632" s="12" t="str">
        <f t="shared" si="48"/>
        <v/>
      </c>
      <c r="O632" s="12" t="str">
        <f t="shared" si="49"/>
        <v/>
      </c>
      <c r="P632" s="12" t="str">
        <f>IF(C632="Tournament",INDEX('Tournament Log'!$B:$B,E632),IF(C632="Guest","Guest: "&amp;INDEX('Guest Log'!$H:$H,Q632),""))</f>
        <v/>
      </c>
      <c r="Q632" t="str">
        <f>IFERROR(MATCH($A632,'Guest Log'!$L$4:$L$203,0)+3,"")</f>
        <v/>
      </c>
    </row>
    <row r="633" spans="1:17" ht="15" customHeight="1" x14ac:dyDescent="0.2">
      <c r="A633" s="22">
        <f>632</f>
        <v>632</v>
      </c>
      <c r="B633" s="22" t="str">
        <f>IF(C633="","",IF(C633="Match",INDEX('Match Log'!$A:$A,D633),IF(C633="Tournament",INDEX('Tournament Log'!$A:$A,E633),INDEX('Guest Log'!$A:$A,Q633))))</f>
        <v/>
      </c>
      <c r="C633" s="22" t="str">
        <f t="shared" si="45"/>
        <v/>
      </c>
      <c r="D633" s="39" t="str">
        <f>IFERROR(MATCH($A633,'Match Log'!$K$3:$K$501,0)+2,"")</f>
        <v/>
      </c>
      <c r="E633" s="39" t="str">
        <f>IFERROR(MATCH($A633,'Tournament Log'!$O$4:$O$203,0)+3,"")</f>
        <v/>
      </c>
      <c r="F633" s="22" t="str">
        <f>IF(C633="","",IF(C633="Match",INDEX('Match Log'!$B:$B,D633),IF(C633="Tournament",INDEX('Tournament Log'!$C:$C,E633),INDEX('Guest Log'!$B:$B,Q633))))</f>
        <v/>
      </c>
      <c r="G633" s="22" t="str">
        <f>IF(C633="","",IF(C633="Match",INDEX('Match Log'!$C:$C,D633),IF(C633="Tournament",INDEX('Tournament Log'!$B:$B,E633)&amp;" (Phantom)",INDEX('Guest Log'!$H:$H,Q633)&amp;" (Guest)")))</f>
        <v/>
      </c>
      <c r="H633" s="22" t="str">
        <f t="array" ref="H633">IF(C633="","",IFERROR(LOOKUP(2,1/(($F$1:F632=F633)+($G$1:G632=F633)),IF($F$1:F632=F633,$N$1:N632,$O$1:O632)),1000))</f>
        <v/>
      </c>
      <c r="I633" s="22" t="str">
        <f t="array" ref="I633">IF(C633="","",IF(C633="Tournament",INDEX('Tournament Log'!$J:$J,E633),IF(C633="Guest",IF(INDEX('Guest Log'!$I:$I,Q633)="",1000,INDEX('Guest Log'!$I:$I,Q633)),IFERROR(LOOKUP(2,1/(($F$1:F632=G633)+($G$1:G632=G633)),IF($F$1:F632=G633,$N$1:N632,$O$1:O632)),1000))))</f>
        <v/>
      </c>
      <c r="J633" s="22" t="str">
        <f t="shared" si="46"/>
        <v/>
      </c>
      <c r="K633" s="12" t="str">
        <f>IF(C633="","",IF(C633="Match",IF(INDEX('Match Log'!$D:$D,D633)="Win",1,IF(INDEX('Match Log'!$D:$D,D633)="Draw",0.5,0)),IF(C633="Tournament",INDEX('Tournament Log'!$K:$K,E633),IF(INDEX('Guest Log'!$C:$C,Q633)="Win",1,IF(INDEX('Guest Log'!$C:$C,Q633)="Draw",0.5,0)))))</f>
        <v/>
      </c>
      <c r="L633" s="12" t="str">
        <f>IF(C633="","",IF(C633="Match",32,IF(C633="Tournament",MIN(32*INDEX('Tournament Log'!$D:$D,E633),96),32)))</f>
        <v/>
      </c>
      <c r="M633" s="12" t="str">
        <f t="shared" si="47"/>
        <v/>
      </c>
      <c r="N633" s="12" t="str">
        <f t="shared" si="48"/>
        <v/>
      </c>
      <c r="O633" s="12" t="str">
        <f t="shared" si="49"/>
        <v/>
      </c>
      <c r="P633" s="12" t="str">
        <f>IF(C633="Tournament",INDEX('Tournament Log'!$B:$B,E633),IF(C633="Guest","Guest: "&amp;INDEX('Guest Log'!$H:$H,Q633),""))</f>
        <v/>
      </c>
      <c r="Q633" t="str">
        <f>IFERROR(MATCH($A633,'Guest Log'!$L$4:$L$203,0)+3,"")</f>
        <v/>
      </c>
    </row>
    <row r="634" spans="1:17" ht="15" customHeight="1" x14ac:dyDescent="0.2">
      <c r="A634" s="37">
        <f>633</f>
        <v>633</v>
      </c>
      <c r="B634" s="37" t="str">
        <f>IF(C634="","",IF(C634="Match",INDEX('Match Log'!$A:$A,D634),IF(C634="Tournament",INDEX('Tournament Log'!$A:$A,E634),INDEX('Guest Log'!$A:$A,Q634))))</f>
        <v/>
      </c>
      <c r="C634" s="37" t="str">
        <f t="shared" si="45"/>
        <v/>
      </c>
      <c r="D634" s="38" t="str">
        <f>IFERROR(MATCH($A634,'Match Log'!$K$3:$K$501,0)+2,"")</f>
        <v/>
      </c>
      <c r="E634" s="38" t="str">
        <f>IFERROR(MATCH($A634,'Tournament Log'!$O$4:$O$203,0)+3,"")</f>
        <v/>
      </c>
      <c r="F634" s="37" t="str">
        <f>IF(C634="","",IF(C634="Match",INDEX('Match Log'!$B:$B,D634),IF(C634="Tournament",INDEX('Tournament Log'!$C:$C,E634),INDEX('Guest Log'!$B:$B,Q634))))</f>
        <v/>
      </c>
      <c r="G634" s="37" t="str">
        <f>IF(C634="","",IF(C634="Match",INDEX('Match Log'!$C:$C,D634),IF(C634="Tournament",INDEX('Tournament Log'!$B:$B,E634)&amp;" (Phantom)",INDEX('Guest Log'!$H:$H,Q634)&amp;" (Guest)")))</f>
        <v/>
      </c>
      <c r="H634" s="37" t="str">
        <f t="array" ref="H634">IF(C634="","",IFERROR(LOOKUP(2,1/(($F$1:F633=F634)+($G$1:G633=F634)),IF($F$1:F633=F634,$N$1:N633,$O$1:O633)),1000))</f>
        <v/>
      </c>
      <c r="I634" s="37" t="str">
        <f t="array" ref="I634">IF(C634="","",IF(C634="Tournament",INDEX('Tournament Log'!$J:$J,E634),IF(C634="Guest",IF(INDEX('Guest Log'!$I:$I,Q634)="",1000,INDEX('Guest Log'!$I:$I,Q634)),IFERROR(LOOKUP(2,1/(($F$1:F633=G634)+($G$1:G633=G634)),IF($F$1:F633=G634,$N$1:N633,$O$1:O633)),1000))))</f>
        <v/>
      </c>
      <c r="J634" s="37" t="str">
        <f t="shared" si="46"/>
        <v/>
      </c>
      <c r="K634" s="12" t="str">
        <f>IF(C634="","",IF(C634="Match",IF(INDEX('Match Log'!$D:$D,D634)="Win",1,IF(INDEX('Match Log'!$D:$D,D634)="Draw",0.5,0)),IF(C634="Tournament",INDEX('Tournament Log'!$K:$K,E634),IF(INDEX('Guest Log'!$C:$C,Q634)="Win",1,IF(INDEX('Guest Log'!$C:$C,Q634)="Draw",0.5,0)))))</f>
        <v/>
      </c>
      <c r="L634" s="12" t="str">
        <f>IF(C634="","",IF(C634="Match",32,IF(C634="Tournament",MIN(32*INDEX('Tournament Log'!$D:$D,E634),96),32)))</f>
        <v/>
      </c>
      <c r="M634" s="12" t="str">
        <f t="shared" si="47"/>
        <v/>
      </c>
      <c r="N634" s="12" t="str">
        <f t="shared" si="48"/>
        <v/>
      </c>
      <c r="O634" s="12" t="str">
        <f t="shared" si="49"/>
        <v/>
      </c>
      <c r="P634" s="12" t="str">
        <f>IF(C634="Tournament",INDEX('Tournament Log'!$B:$B,E634),IF(C634="Guest","Guest: "&amp;INDEX('Guest Log'!$H:$H,Q634),""))</f>
        <v/>
      </c>
      <c r="Q634" t="str">
        <f>IFERROR(MATCH($A634,'Guest Log'!$L$4:$L$203,0)+3,"")</f>
        <v/>
      </c>
    </row>
    <row r="635" spans="1:17" ht="15" customHeight="1" x14ac:dyDescent="0.2">
      <c r="A635" s="22">
        <f>634</f>
        <v>634</v>
      </c>
      <c r="B635" s="22" t="str">
        <f>IF(C635="","",IF(C635="Match",INDEX('Match Log'!$A:$A,D635),IF(C635="Tournament",INDEX('Tournament Log'!$A:$A,E635),INDEX('Guest Log'!$A:$A,Q635))))</f>
        <v/>
      </c>
      <c r="C635" s="22" t="str">
        <f t="shared" si="45"/>
        <v/>
      </c>
      <c r="D635" s="39" t="str">
        <f>IFERROR(MATCH($A635,'Match Log'!$K$3:$K$501,0)+2,"")</f>
        <v/>
      </c>
      <c r="E635" s="39" t="str">
        <f>IFERROR(MATCH($A635,'Tournament Log'!$O$4:$O$203,0)+3,"")</f>
        <v/>
      </c>
      <c r="F635" s="22" t="str">
        <f>IF(C635="","",IF(C635="Match",INDEX('Match Log'!$B:$B,D635),IF(C635="Tournament",INDEX('Tournament Log'!$C:$C,E635),INDEX('Guest Log'!$B:$B,Q635))))</f>
        <v/>
      </c>
      <c r="G635" s="22" t="str">
        <f>IF(C635="","",IF(C635="Match",INDEX('Match Log'!$C:$C,D635),IF(C635="Tournament",INDEX('Tournament Log'!$B:$B,E635)&amp;" (Phantom)",INDEX('Guest Log'!$H:$H,Q635)&amp;" (Guest)")))</f>
        <v/>
      </c>
      <c r="H635" s="22" t="str">
        <f t="array" ref="H635">IF(C635="","",IFERROR(LOOKUP(2,1/(($F$1:F634=F635)+($G$1:G634=F635)),IF($F$1:F634=F635,$N$1:N634,$O$1:O634)),1000))</f>
        <v/>
      </c>
      <c r="I635" s="22" t="str">
        <f t="array" ref="I635">IF(C635="","",IF(C635="Tournament",INDEX('Tournament Log'!$J:$J,E635),IF(C635="Guest",IF(INDEX('Guest Log'!$I:$I,Q635)="",1000,INDEX('Guest Log'!$I:$I,Q635)),IFERROR(LOOKUP(2,1/(($F$1:F634=G635)+($G$1:G634=G635)),IF($F$1:F634=G635,$N$1:N634,$O$1:O634)),1000))))</f>
        <v/>
      </c>
      <c r="J635" s="22" t="str">
        <f t="shared" si="46"/>
        <v/>
      </c>
      <c r="K635" s="12" t="str">
        <f>IF(C635="","",IF(C635="Match",IF(INDEX('Match Log'!$D:$D,D635)="Win",1,IF(INDEX('Match Log'!$D:$D,D635)="Draw",0.5,0)),IF(C635="Tournament",INDEX('Tournament Log'!$K:$K,E635),IF(INDEX('Guest Log'!$C:$C,Q635)="Win",1,IF(INDEX('Guest Log'!$C:$C,Q635)="Draw",0.5,0)))))</f>
        <v/>
      </c>
      <c r="L635" s="12" t="str">
        <f>IF(C635="","",IF(C635="Match",32,IF(C635="Tournament",MIN(32*INDEX('Tournament Log'!$D:$D,E635),96),32)))</f>
        <v/>
      </c>
      <c r="M635" s="12" t="str">
        <f t="shared" si="47"/>
        <v/>
      </c>
      <c r="N635" s="12" t="str">
        <f t="shared" si="48"/>
        <v/>
      </c>
      <c r="O635" s="12" t="str">
        <f t="shared" si="49"/>
        <v/>
      </c>
      <c r="P635" s="12" t="str">
        <f>IF(C635="Tournament",INDEX('Tournament Log'!$B:$B,E635),IF(C635="Guest","Guest: "&amp;INDEX('Guest Log'!$H:$H,Q635),""))</f>
        <v/>
      </c>
      <c r="Q635" t="str">
        <f>IFERROR(MATCH($A635,'Guest Log'!$L$4:$L$203,0)+3,"")</f>
        <v/>
      </c>
    </row>
    <row r="636" spans="1:17" ht="15" customHeight="1" x14ac:dyDescent="0.2">
      <c r="A636" s="37">
        <f>635</f>
        <v>635</v>
      </c>
      <c r="B636" s="37" t="str">
        <f>IF(C636="","",IF(C636="Match",INDEX('Match Log'!$A:$A,D636),IF(C636="Tournament",INDEX('Tournament Log'!$A:$A,E636),INDEX('Guest Log'!$A:$A,Q636))))</f>
        <v/>
      </c>
      <c r="C636" s="37" t="str">
        <f t="shared" si="45"/>
        <v/>
      </c>
      <c r="D636" s="38" t="str">
        <f>IFERROR(MATCH($A636,'Match Log'!$K$3:$K$501,0)+2,"")</f>
        <v/>
      </c>
      <c r="E636" s="38" t="str">
        <f>IFERROR(MATCH($A636,'Tournament Log'!$O$4:$O$203,0)+3,"")</f>
        <v/>
      </c>
      <c r="F636" s="37" t="str">
        <f>IF(C636="","",IF(C636="Match",INDEX('Match Log'!$B:$B,D636),IF(C636="Tournament",INDEX('Tournament Log'!$C:$C,E636),INDEX('Guest Log'!$B:$B,Q636))))</f>
        <v/>
      </c>
      <c r="G636" s="37" t="str">
        <f>IF(C636="","",IF(C636="Match",INDEX('Match Log'!$C:$C,D636),IF(C636="Tournament",INDEX('Tournament Log'!$B:$B,E636)&amp;" (Phantom)",INDEX('Guest Log'!$H:$H,Q636)&amp;" (Guest)")))</f>
        <v/>
      </c>
      <c r="H636" s="37" t="str">
        <f t="array" ref="H636">IF(C636="","",IFERROR(LOOKUP(2,1/(($F$1:F635=F636)+($G$1:G635=F636)),IF($F$1:F635=F636,$N$1:N635,$O$1:O635)),1000))</f>
        <v/>
      </c>
      <c r="I636" s="37" t="str">
        <f t="array" ref="I636">IF(C636="","",IF(C636="Tournament",INDEX('Tournament Log'!$J:$J,E636),IF(C636="Guest",IF(INDEX('Guest Log'!$I:$I,Q636)="",1000,INDEX('Guest Log'!$I:$I,Q636)),IFERROR(LOOKUP(2,1/(($F$1:F635=G636)+($G$1:G635=G636)),IF($F$1:F635=G636,$N$1:N635,$O$1:O635)),1000))))</f>
        <v/>
      </c>
      <c r="J636" s="37" t="str">
        <f t="shared" si="46"/>
        <v/>
      </c>
      <c r="K636" s="12" t="str">
        <f>IF(C636="","",IF(C636="Match",IF(INDEX('Match Log'!$D:$D,D636)="Win",1,IF(INDEX('Match Log'!$D:$D,D636)="Draw",0.5,0)),IF(C636="Tournament",INDEX('Tournament Log'!$K:$K,E636),IF(INDEX('Guest Log'!$C:$C,Q636)="Win",1,IF(INDEX('Guest Log'!$C:$C,Q636)="Draw",0.5,0)))))</f>
        <v/>
      </c>
      <c r="L636" s="12" t="str">
        <f>IF(C636="","",IF(C636="Match",32,IF(C636="Tournament",MIN(32*INDEX('Tournament Log'!$D:$D,E636),96),32)))</f>
        <v/>
      </c>
      <c r="M636" s="12" t="str">
        <f t="shared" si="47"/>
        <v/>
      </c>
      <c r="N636" s="12" t="str">
        <f t="shared" si="48"/>
        <v/>
      </c>
      <c r="O636" s="12" t="str">
        <f t="shared" si="49"/>
        <v/>
      </c>
      <c r="P636" s="12" t="str">
        <f>IF(C636="Tournament",INDEX('Tournament Log'!$B:$B,E636),IF(C636="Guest","Guest: "&amp;INDEX('Guest Log'!$H:$H,Q636),""))</f>
        <v/>
      </c>
      <c r="Q636" t="str">
        <f>IFERROR(MATCH($A636,'Guest Log'!$L$4:$L$203,0)+3,"")</f>
        <v/>
      </c>
    </row>
    <row r="637" spans="1:17" ht="15" customHeight="1" x14ac:dyDescent="0.2">
      <c r="A637" s="22">
        <f>636</f>
        <v>636</v>
      </c>
      <c r="B637" s="22" t="str">
        <f>IF(C637="","",IF(C637="Match",INDEX('Match Log'!$A:$A,D637),IF(C637="Tournament",INDEX('Tournament Log'!$A:$A,E637),INDEX('Guest Log'!$A:$A,Q637))))</f>
        <v/>
      </c>
      <c r="C637" s="22" t="str">
        <f t="shared" si="45"/>
        <v/>
      </c>
      <c r="D637" s="39" t="str">
        <f>IFERROR(MATCH($A637,'Match Log'!$K$3:$K$501,0)+2,"")</f>
        <v/>
      </c>
      <c r="E637" s="39" t="str">
        <f>IFERROR(MATCH($A637,'Tournament Log'!$O$4:$O$203,0)+3,"")</f>
        <v/>
      </c>
      <c r="F637" s="22" t="str">
        <f>IF(C637="","",IF(C637="Match",INDEX('Match Log'!$B:$B,D637),IF(C637="Tournament",INDEX('Tournament Log'!$C:$C,E637),INDEX('Guest Log'!$B:$B,Q637))))</f>
        <v/>
      </c>
      <c r="G637" s="22" t="str">
        <f>IF(C637="","",IF(C637="Match",INDEX('Match Log'!$C:$C,D637),IF(C637="Tournament",INDEX('Tournament Log'!$B:$B,E637)&amp;" (Phantom)",INDEX('Guest Log'!$H:$H,Q637)&amp;" (Guest)")))</f>
        <v/>
      </c>
      <c r="H637" s="22" t="str">
        <f t="array" ref="H637">IF(C637="","",IFERROR(LOOKUP(2,1/(($F$1:F636=F637)+($G$1:G636=F637)),IF($F$1:F636=F637,$N$1:N636,$O$1:O636)),1000))</f>
        <v/>
      </c>
      <c r="I637" s="22" t="str">
        <f t="array" ref="I637">IF(C637="","",IF(C637="Tournament",INDEX('Tournament Log'!$J:$J,E637),IF(C637="Guest",IF(INDEX('Guest Log'!$I:$I,Q637)="",1000,INDEX('Guest Log'!$I:$I,Q637)),IFERROR(LOOKUP(2,1/(($F$1:F636=G637)+($G$1:G636=G637)),IF($F$1:F636=G637,$N$1:N636,$O$1:O636)),1000))))</f>
        <v/>
      </c>
      <c r="J637" s="22" t="str">
        <f t="shared" si="46"/>
        <v/>
      </c>
      <c r="K637" s="12" t="str">
        <f>IF(C637="","",IF(C637="Match",IF(INDEX('Match Log'!$D:$D,D637)="Win",1,IF(INDEX('Match Log'!$D:$D,D637)="Draw",0.5,0)),IF(C637="Tournament",INDEX('Tournament Log'!$K:$K,E637),IF(INDEX('Guest Log'!$C:$C,Q637)="Win",1,IF(INDEX('Guest Log'!$C:$C,Q637)="Draw",0.5,0)))))</f>
        <v/>
      </c>
      <c r="L637" s="12" t="str">
        <f>IF(C637="","",IF(C637="Match",32,IF(C637="Tournament",MIN(32*INDEX('Tournament Log'!$D:$D,E637),96),32)))</f>
        <v/>
      </c>
      <c r="M637" s="12" t="str">
        <f t="shared" si="47"/>
        <v/>
      </c>
      <c r="N637" s="12" t="str">
        <f t="shared" si="48"/>
        <v/>
      </c>
      <c r="O637" s="12" t="str">
        <f t="shared" si="49"/>
        <v/>
      </c>
      <c r="P637" s="12" t="str">
        <f>IF(C637="Tournament",INDEX('Tournament Log'!$B:$B,E637),IF(C637="Guest","Guest: "&amp;INDEX('Guest Log'!$H:$H,Q637),""))</f>
        <v/>
      </c>
      <c r="Q637" t="str">
        <f>IFERROR(MATCH($A637,'Guest Log'!$L$4:$L$203,0)+3,"")</f>
        <v/>
      </c>
    </row>
    <row r="638" spans="1:17" ht="15" customHeight="1" x14ac:dyDescent="0.2">
      <c r="A638" s="37">
        <f>637</f>
        <v>637</v>
      </c>
      <c r="B638" s="37" t="str">
        <f>IF(C638="","",IF(C638="Match",INDEX('Match Log'!$A:$A,D638),IF(C638="Tournament",INDEX('Tournament Log'!$A:$A,E638),INDEX('Guest Log'!$A:$A,Q638))))</f>
        <v/>
      </c>
      <c r="C638" s="37" t="str">
        <f t="shared" si="45"/>
        <v/>
      </c>
      <c r="D638" s="38" t="str">
        <f>IFERROR(MATCH($A638,'Match Log'!$K$3:$K$501,0)+2,"")</f>
        <v/>
      </c>
      <c r="E638" s="38" t="str">
        <f>IFERROR(MATCH($A638,'Tournament Log'!$O$4:$O$203,0)+3,"")</f>
        <v/>
      </c>
      <c r="F638" s="37" t="str">
        <f>IF(C638="","",IF(C638="Match",INDEX('Match Log'!$B:$B,D638),IF(C638="Tournament",INDEX('Tournament Log'!$C:$C,E638),INDEX('Guest Log'!$B:$B,Q638))))</f>
        <v/>
      </c>
      <c r="G638" s="37" t="str">
        <f>IF(C638="","",IF(C638="Match",INDEX('Match Log'!$C:$C,D638),IF(C638="Tournament",INDEX('Tournament Log'!$B:$B,E638)&amp;" (Phantom)",INDEX('Guest Log'!$H:$H,Q638)&amp;" (Guest)")))</f>
        <v/>
      </c>
      <c r="H638" s="37" t="str">
        <f t="array" ref="H638">IF(C638="","",IFERROR(LOOKUP(2,1/(($F$1:F637=F638)+($G$1:G637=F638)),IF($F$1:F637=F638,$N$1:N637,$O$1:O637)),1000))</f>
        <v/>
      </c>
      <c r="I638" s="37" t="str">
        <f t="array" ref="I638">IF(C638="","",IF(C638="Tournament",INDEX('Tournament Log'!$J:$J,E638),IF(C638="Guest",IF(INDEX('Guest Log'!$I:$I,Q638)="",1000,INDEX('Guest Log'!$I:$I,Q638)),IFERROR(LOOKUP(2,1/(($F$1:F637=G638)+($G$1:G637=G638)),IF($F$1:F637=G638,$N$1:N637,$O$1:O637)),1000))))</f>
        <v/>
      </c>
      <c r="J638" s="37" t="str">
        <f t="shared" si="46"/>
        <v/>
      </c>
      <c r="K638" s="12" t="str">
        <f>IF(C638="","",IF(C638="Match",IF(INDEX('Match Log'!$D:$D,D638)="Win",1,IF(INDEX('Match Log'!$D:$D,D638)="Draw",0.5,0)),IF(C638="Tournament",INDEX('Tournament Log'!$K:$K,E638),IF(INDEX('Guest Log'!$C:$C,Q638)="Win",1,IF(INDEX('Guest Log'!$C:$C,Q638)="Draw",0.5,0)))))</f>
        <v/>
      </c>
      <c r="L638" s="12" t="str">
        <f>IF(C638="","",IF(C638="Match",32,IF(C638="Tournament",MIN(32*INDEX('Tournament Log'!$D:$D,E638),96),32)))</f>
        <v/>
      </c>
      <c r="M638" s="12" t="str">
        <f t="shared" si="47"/>
        <v/>
      </c>
      <c r="N638" s="12" t="str">
        <f t="shared" si="48"/>
        <v/>
      </c>
      <c r="O638" s="12" t="str">
        <f t="shared" si="49"/>
        <v/>
      </c>
      <c r="P638" s="12" t="str">
        <f>IF(C638="Tournament",INDEX('Tournament Log'!$B:$B,E638),IF(C638="Guest","Guest: "&amp;INDEX('Guest Log'!$H:$H,Q638),""))</f>
        <v/>
      </c>
      <c r="Q638" t="str">
        <f>IFERROR(MATCH($A638,'Guest Log'!$L$4:$L$203,0)+3,"")</f>
        <v/>
      </c>
    </row>
    <row r="639" spans="1:17" ht="15" customHeight="1" x14ac:dyDescent="0.2">
      <c r="A639" s="22">
        <f>638</f>
        <v>638</v>
      </c>
      <c r="B639" s="22" t="str">
        <f>IF(C639="","",IF(C639="Match",INDEX('Match Log'!$A:$A,D639),IF(C639="Tournament",INDEX('Tournament Log'!$A:$A,E639),INDEX('Guest Log'!$A:$A,Q639))))</f>
        <v/>
      </c>
      <c r="C639" s="22" t="str">
        <f t="shared" si="45"/>
        <v/>
      </c>
      <c r="D639" s="39" t="str">
        <f>IFERROR(MATCH($A639,'Match Log'!$K$3:$K$501,0)+2,"")</f>
        <v/>
      </c>
      <c r="E639" s="39" t="str">
        <f>IFERROR(MATCH($A639,'Tournament Log'!$O$4:$O$203,0)+3,"")</f>
        <v/>
      </c>
      <c r="F639" s="22" t="str">
        <f>IF(C639="","",IF(C639="Match",INDEX('Match Log'!$B:$B,D639),IF(C639="Tournament",INDEX('Tournament Log'!$C:$C,E639),INDEX('Guest Log'!$B:$B,Q639))))</f>
        <v/>
      </c>
      <c r="G639" s="22" t="str">
        <f>IF(C639="","",IF(C639="Match",INDEX('Match Log'!$C:$C,D639),IF(C639="Tournament",INDEX('Tournament Log'!$B:$B,E639)&amp;" (Phantom)",INDEX('Guest Log'!$H:$H,Q639)&amp;" (Guest)")))</f>
        <v/>
      </c>
      <c r="H639" s="22" t="str">
        <f t="array" ref="H639">IF(C639="","",IFERROR(LOOKUP(2,1/(($F$1:F638=F639)+($G$1:G638=F639)),IF($F$1:F638=F639,$N$1:N638,$O$1:O638)),1000))</f>
        <v/>
      </c>
      <c r="I639" s="22" t="str">
        <f t="array" ref="I639">IF(C639="","",IF(C639="Tournament",INDEX('Tournament Log'!$J:$J,E639),IF(C639="Guest",IF(INDEX('Guest Log'!$I:$I,Q639)="",1000,INDEX('Guest Log'!$I:$I,Q639)),IFERROR(LOOKUP(2,1/(($F$1:F638=G639)+($G$1:G638=G639)),IF($F$1:F638=G639,$N$1:N638,$O$1:O638)),1000))))</f>
        <v/>
      </c>
      <c r="J639" s="22" t="str">
        <f t="shared" si="46"/>
        <v/>
      </c>
      <c r="K639" s="12" t="str">
        <f>IF(C639="","",IF(C639="Match",IF(INDEX('Match Log'!$D:$D,D639)="Win",1,IF(INDEX('Match Log'!$D:$D,D639)="Draw",0.5,0)),IF(C639="Tournament",INDEX('Tournament Log'!$K:$K,E639),IF(INDEX('Guest Log'!$C:$C,Q639)="Win",1,IF(INDEX('Guest Log'!$C:$C,Q639)="Draw",0.5,0)))))</f>
        <v/>
      </c>
      <c r="L639" s="12" t="str">
        <f>IF(C639="","",IF(C639="Match",32,IF(C639="Tournament",MIN(32*INDEX('Tournament Log'!$D:$D,E639),96),32)))</f>
        <v/>
      </c>
      <c r="M639" s="12" t="str">
        <f t="shared" si="47"/>
        <v/>
      </c>
      <c r="N639" s="12" t="str">
        <f t="shared" si="48"/>
        <v/>
      </c>
      <c r="O639" s="12" t="str">
        <f t="shared" si="49"/>
        <v/>
      </c>
      <c r="P639" s="12" t="str">
        <f>IF(C639="Tournament",INDEX('Tournament Log'!$B:$B,E639),IF(C639="Guest","Guest: "&amp;INDEX('Guest Log'!$H:$H,Q639),""))</f>
        <v/>
      </c>
      <c r="Q639" t="str">
        <f>IFERROR(MATCH($A639,'Guest Log'!$L$4:$L$203,0)+3,"")</f>
        <v/>
      </c>
    </row>
    <row r="640" spans="1:17" ht="15" customHeight="1" x14ac:dyDescent="0.2">
      <c r="A640" s="37">
        <f>639</f>
        <v>639</v>
      </c>
      <c r="B640" s="37" t="str">
        <f>IF(C640="","",IF(C640="Match",INDEX('Match Log'!$A:$A,D640),IF(C640="Tournament",INDEX('Tournament Log'!$A:$A,E640),INDEX('Guest Log'!$A:$A,Q640))))</f>
        <v/>
      </c>
      <c r="C640" s="37" t="str">
        <f t="shared" si="45"/>
        <v/>
      </c>
      <c r="D640" s="38" t="str">
        <f>IFERROR(MATCH($A640,'Match Log'!$K$3:$K$501,0)+2,"")</f>
        <v/>
      </c>
      <c r="E640" s="38" t="str">
        <f>IFERROR(MATCH($A640,'Tournament Log'!$O$4:$O$203,0)+3,"")</f>
        <v/>
      </c>
      <c r="F640" s="37" t="str">
        <f>IF(C640="","",IF(C640="Match",INDEX('Match Log'!$B:$B,D640),IF(C640="Tournament",INDEX('Tournament Log'!$C:$C,E640),INDEX('Guest Log'!$B:$B,Q640))))</f>
        <v/>
      </c>
      <c r="G640" s="37" t="str">
        <f>IF(C640="","",IF(C640="Match",INDEX('Match Log'!$C:$C,D640),IF(C640="Tournament",INDEX('Tournament Log'!$B:$B,E640)&amp;" (Phantom)",INDEX('Guest Log'!$H:$H,Q640)&amp;" (Guest)")))</f>
        <v/>
      </c>
      <c r="H640" s="37" t="str">
        <f t="array" ref="H640">IF(C640="","",IFERROR(LOOKUP(2,1/(($F$1:F639=F640)+($G$1:G639=F640)),IF($F$1:F639=F640,$N$1:N639,$O$1:O639)),1000))</f>
        <v/>
      </c>
      <c r="I640" s="37" t="str">
        <f t="array" ref="I640">IF(C640="","",IF(C640="Tournament",INDEX('Tournament Log'!$J:$J,E640),IF(C640="Guest",IF(INDEX('Guest Log'!$I:$I,Q640)="",1000,INDEX('Guest Log'!$I:$I,Q640)),IFERROR(LOOKUP(2,1/(($F$1:F639=G640)+($G$1:G639=G640)),IF($F$1:F639=G640,$N$1:N639,$O$1:O639)),1000))))</f>
        <v/>
      </c>
      <c r="J640" s="37" t="str">
        <f t="shared" si="46"/>
        <v/>
      </c>
      <c r="K640" s="12" t="str">
        <f>IF(C640="","",IF(C640="Match",IF(INDEX('Match Log'!$D:$D,D640)="Win",1,IF(INDEX('Match Log'!$D:$D,D640)="Draw",0.5,0)),IF(C640="Tournament",INDEX('Tournament Log'!$K:$K,E640),IF(INDEX('Guest Log'!$C:$C,Q640)="Win",1,IF(INDEX('Guest Log'!$C:$C,Q640)="Draw",0.5,0)))))</f>
        <v/>
      </c>
      <c r="L640" s="12" t="str">
        <f>IF(C640="","",IF(C640="Match",32,IF(C640="Tournament",MIN(32*INDEX('Tournament Log'!$D:$D,E640),96),32)))</f>
        <v/>
      </c>
      <c r="M640" s="12" t="str">
        <f t="shared" si="47"/>
        <v/>
      </c>
      <c r="N640" s="12" t="str">
        <f t="shared" si="48"/>
        <v/>
      </c>
      <c r="O640" s="12" t="str">
        <f t="shared" si="49"/>
        <v/>
      </c>
      <c r="P640" s="12" t="str">
        <f>IF(C640="Tournament",INDEX('Tournament Log'!$B:$B,E640),IF(C640="Guest","Guest: "&amp;INDEX('Guest Log'!$H:$H,Q640),""))</f>
        <v/>
      </c>
      <c r="Q640" t="str">
        <f>IFERROR(MATCH($A640,'Guest Log'!$L$4:$L$203,0)+3,"")</f>
        <v/>
      </c>
    </row>
    <row r="641" spans="1:17" ht="15" customHeight="1" x14ac:dyDescent="0.2">
      <c r="A641" s="22">
        <f>640</f>
        <v>640</v>
      </c>
      <c r="B641" s="22" t="str">
        <f>IF(C641="","",IF(C641="Match",INDEX('Match Log'!$A:$A,D641),IF(C641="Tournament",INDEX('Tournament Log'!$A:$A,E641),INDEX('Guest Log'!$A:$A,Q641))))</f>
        <v/>
      </c>
      <c r="C641" s="22" t="str">
        <f t="shared" si="45"/>
        <v/>
      </c>
      <c r="D641" s="39" t="str">
        <f>IFERROR(MATCH($A641,'Match Log'!$K$3:$K$501,0)+2,"")</f>
        <v/>
      </c>
      <c r="E641" s="39" t="str">
        <f>IFERROR(MATCH($A641,'Tournament Log'!$O$4:$O$203,0)+3,"")</f>
        <v/>
      </c>
      <c r="F641" s="22" t="str">
        <f>IF(C641="","",IF(C641="Match",INDEX('Match Log'!$B:$B,D641),IF(C641="Tournament",INDEX('Tournament Log'!$C:$C,E641),INDEX('Guest Log'!$B:$B,Q641))))</f>
        <v/>
      </c>
      <c r="G641" s="22" t="str">
        <f>IF(C641="","",IF(C641="Match",INDEX('Match Log'!$C:$C,D641),IF(C641="Tournament",INDEX('Tournament Log'!$B:$B,E641)&amp;" (Phantom)",INDEX('Guest Log'!$H:$H,Q641)&amp;" (Guest)")))</f>
        <v/>
      </c>
      <c r="H641" s="22" t="str">
        <f t="array" ref="H641">IF(C641="","",IFERROR(LOOKUP(2,1/(($F$1:F640=F641)+($G$1:G640=F641)),IF($F$1:F640=F641,$N$1:N640,$O$1:O640)),1000))</f>
        <v/>
      </c>
      <c r="I641" s="22" t="str">
        <f t="array" ref="I641">IF(C641="","",IF(C641="Tournament",INDEX('Tournament Log'!$J:$J,E641),IF(C641="Guest",IF(INDEX('Guest Log'!$I:$I,Q641)="",1000,INDEX('Guest Log'!$I:$I,Q641)),IFERROR(LOOKUP(2,1/(($F$1:F640=G641)+($G$1:G640=G641)),IF($F$1:F640=G641,$N$1:N640,$O$1:O640)),1000))))</f>
        <v/>
      </c>
      <c r="J641" s="22" t="str">
        <f t="shared" si="46"/>
        <v/>
      </c>
      <c r="K641" s="12" t="str">
        <f>IF(C641="","",IF(C641="Match",IF(INDEX('Match Log'!$D:$D,D641)="Win",1,IF(INDEX('Match Log'!$D:$D,D641)="Draw",0.5,0)),IF(C641="Tournament",INDEX('Tournament Log'!$K:$K,E641),IF(INDEX('Guest Log'!$C:$C,Q641)="Win",1,IF(INDEX('Guest Log'!$C:$C,Q641)="Draw",0.5,0)))))</f>
        <v/>
      </c>
      <c r="L641" s="12" t="str">
        <f>IF(C641="","",IF(C641="Match",32,IF(C641="Tournament",MIN(32*INDEX('Tournament Log'!$D:$D,E641),96),32)))</f>
        <v/>
      </c>
      <c r="M641" s="12" t="str">
        <f t="shared" si="47"/>
        <v/>
      </c>
      <c r="N641" s="12" t="str">
        <f t="shared" si="48"/>
        <v/>
      </c>
      <c r="O641" s="12" t="str">
        <f t="shared" si="49"/>
        <v/>
      </c>
      <c r="P641" s="12" t="str">
        <f>IF(C641="Tournament",INDEX('Tournament Log'!$B:$B,E641),IF(C641="Guest","Guest: "&amp;INDEX('Guest Log'!$H:$H,Q641),""))</f>
        <v/>
      </c>
      <c r="Q641" t="str">
        <f>IFERROR(MATCH($A641,'Guest Log'!$L$4:$L$203,0)+3,"")</f>
        <v/>
      </c>
    </row>
    <row r="642" spans="1:17" ht="15" customHeight="1" x14ac:dyDescent="0.2">
      <c r="A642" s="37">
        <f>641</f>
        <v>641</v>
      </c>
      <c r="B642" s="37" t="str">
        <f>IF(C642="","",IF(C642="Match",INDEX('Match Log'!$A:$A,D642),IF(C642="Tournament",INDEX('Tournament Log'!$A:$A,E642),INDEX('Guest Log'!$A:$A,Q642))))</f>
        <v/>
      </c>
      <c r="C642" s="37" t="str">
        <f t="shared" ref="C642:C705" si="50">IF(D642&lt;&gt;"","Match",IF(E642&lt;&gt;"","Tournament",IF(Q642&lt;&gt;"","Guest","")))</f>
        <v/>
      </c>
      <c r="D642" s="38" t="str">
        <f>IFERROR(MATCH($A642,'Match Log'!$K$3:$K$501,0)+2,"")</f>
        <v/>
      </c>
      <c r="E642" s="38" t="str">
        <f>IFERROR(MATCH($A642,'Tournament Log'!$O$4:$O$203,0)+3,"")</f>
        <v/>
      </c>
      <c r="F642" s="37" t="str">
        <f>IF(C642="","",IF(C642="Match",INDEX('Match Log'!$B:$B,D642),IF(C642="Tournament",INDEX('Tournament Log'!$C:$C,E642),INDEX('Guest Log'!$B:$B,Q642))))</f>
        <v/>
      </c>
      <c r="G642" s="37" t="str">
        <f>IF(C642="","",IF(C642="Match",INDEX('Match Log'!$C:$C,D642),IF(C642="Tournament",INDEX('Tournament Log'!$B:$B,E642)&amp;" (Phantom)",INDEX('Guest Log'!$H:$H,Q642)&amp;" (Guest)")))</f>
        <v/>
      </c>
      <c r="H642" s="37" t="str">
        <f t="array" ref="H642">IF(C642="","",IFERROR(LOOKUP(2,1/(($F$1:F641=F642)+($G$1:G641=F642)),IF($F$1:F641=F642,$N$1:N641,$O$1:O641)),1000))</f>
        <v/>
      </c>
      <c r="I642" s="37" t="str">
        <f t="array" ref="I642">IF(C642="","",IF(C642="Tournament",INDEX('Tournament Log'!$J:$J,E642),IF(C642="Guest",IF(INDEX('Guest Log'!$I:$I,Q642)="",1000,INDEX('Guest Log'!$I:$I,Q642)),IFERROR(LOOKUP(2,1/(($F$1:F641=G642)+($G$1:G641=G642)),IF($F$1:F641=G642,$N$1:N641,$O$1:O641)),1000))))</f>
        <v/>
      </c>
      <c r="J642" s="37" t="str">
        <f t="shared" ref="J642:J705" si="51">IF(C642="","",1/(1+10^((I642-H642)/400)))</f>
        <v/>
      </c>
      <c r="K642" s="12" t="str">
        <f>IF(C642="","",IF(C642="Match",IF(INDEX('Match Log'!$D:$D,D642)="Win",1,IF(INDEX('Match Log'!$D:$D,D642)="Draw",0.5,0)),IF(C642="Tournament",INDEX('Tournament Log'!$K:$K,E642),IF(INDEX('Guest Log'!$C:$C,Q642)="Win",1,IF(INDEX('Guest Log'!$C:$C,Q642)="Draw",0.5,0)))))</f>
        <v/>
      </c>
      <c r="L642" s="12" t="str">
        <f>IF(C642="","",IF(C642="Match",32,IF(C642="Tournament",MIN(32*INDEX('Tournament Log'!$D:$D,E642),96),32)))</f>
        <v/>
      </c>
      <c r="M642" s="12" t="str">
        <f t="shared" ref="M642:M705" si="52">IF(C642="","",ROUND(L642*(K642-J642),0))</f>
        <v/>
      </c>
      <c r="N642" s="12" t="str">
        <f t="shared" ref="N642:N705" si="53">IF(C642="","",H642+M642)</f>
        <v/>
      </c>
      <c r="O642" s="12" t="str">
        <f t="shared" ref="O642:O705" si="54">IF(C642="","",IF(C642="Match",I642-M642,""))</f>
        <v/>
      </c>
      <c r="P642" s="12" t="str">
        <f>IF(C642="Tournament",INDEX('Tournament Log'!$B:$B,E642),IF(C642="Guest","Guest: "&amp;INDEX('Guest Log'!$H:$H,Q642),""))</f>
        <v/>
      </c>
      <c r="Q642" t="str">
        <f>IFERROR(MATCH($A642,'Guest Log'!$L$4:$L$203,0)+3,"")</f>
        <v/>
      </c>
    </row>
    <row r="643" spans="1:17" ht="15" customHeight="1" x14ac:dyDescent="0.2">
      <c r="A643" s="22">
        <f>642</f>
        <v>642</v>
      </c>
      <c r="B643" s="22" t="str">
        <f>IF(C643="","",IF(C643="Match",INDEX('Match Log'!$A:$A,D643),IF(C643="Tournament",INDEX('Tournament Log'!$A:$A,E643),INDEX('Guest Log'!$A:$A,Q643))))</f>
        <v/>
      </c>
      <c r="C643" s="22" t="str">
        <f t="shared" si="50"/>
        <v/>
      </c>
      <c r="D643" s="39" t="str">
        <f>IFERROR(MATCH($A643,'Match Log'!$K$3:$K$501,0)+2,"")</f>
        <v/>
      </c>
      <c r="E643" s="39" t="str">
        <f>IFERROR(MATCH($A643,'Tournament Log'!$O$4:$O$203,0)+3,"")</f>
        <v/>
      </c>
      <c r="F643" s="22" t="str">
        <f>IF(C643="","",IF(C643="Match",INDEX('Match Log'!$B:$B,D643),IF(C643="Tournament",INDEX('Tournament Log'!$C:$C,E643),INDEX('Guest Log'!$B:$B,Q643))))</f>
        <v/>
      </c>
      <c r="G643" s="22" t="str">
        <f>IF(C643="","",IF(C643="Match",INDEX('Match Log'!$C:$C,D643),IF(C643="Tournament",INDEX('Tournament Log'!$B:$B,E643)&amp;" (Phantom)",INDEX('Guest Log'!$H:$H,Q643)&amp;" (Guest)")))</f>
        <v/>
      </c>
      <c r="H643" s="22" t="str">
        <f t="array" ref="H643">IF(C643="","",IFERROR(LOOKUP(2,1/(($F$1:F642=F643)+($G$1:G642=F643)),IF($F$1:F642=F643,$N$1:N642,$O$1:O642)),1000))</f>
        <v/>
      </c>
      <c r="I643" s="22" t="str">
        <f t="array" ref="I643">IF(C643="","",IF(C643="Tournament",INDEX('Tournament Log'!$J:$J,E643),IF(C643="Guest",IF(INDEX('Guest Log'!$I:$I,Q643)="",1000,INDEX('Guest Log'!$I:$I,Q643)),IFERROR(LOOKUP(2,1/(($F$1:F642=G643)+($G$1:G642=G643)),IF($F$1:F642=G643,$N$1:N642,$O$1:O642)),1000))))</f>
        <v/>
      </c>
      <c r="J643" s="22" t="str">
        <f t="shared" si="51"/>
        <v/>
      </c>
      <c r="K643" s="12" t="str">
        <f>IF(C643="","",IF(C643="Match",IF(INDEX('Match Log'!$D:$D,D643)="Win",1,IF(INDEX('Match Log'!$D:$D,D643)="Draw",0.5,0)),IF(C643="Tournament",INDEX('Tournament Log'!$K:$K,E643),IF(INDEX('Guest Log'!$C:$C,Q643)="Win",1,IF(INDEX('Guest Log'!$C:$C,Q643)="Draw",0.5,0)))))</f>
        <v/>
      </c>
      <c r="L643" s="12" t="str">
        <f>IF(C643="","",IF(C643="Match",32,IF(C643="Tournament",MIN(32*INDEX('Tournament Log'!$D:$D,E643),96),32)))</f>
        <v/>
      </c>
      <c r="M643" s="12" t="str">
        <f t="shared" si="52"/>
        <v/>
      </c>
      <c r="N643" s="12" t="str">
        <f t="shared" si="53"/>
        <v/>
      </c>
      <c r="O643" s="12" t="str">
        <f t="shared" si="54"/>
        <v/>
      </c>
      <c r="P643" s="12" t="str">
        <f>IF(C643="Tournament",INDEX('Tournament Log'!$B:$B,E643),IF(C643="Guest","Guest: "&amp;INDEX('Guest Log'!$H:$H,Q643),""))</f>
        <v/>
      </c>
      <c r="Q643" t="str">
        <f>IFERROR(MATCH($A643,'Guest Log'!$L$4:$L$203,0)+3,"")</f>
        <v/>
      </c>
    </row>
    <row r="644" spans="1:17" ht="15" customHeight="1" x14ac:dyDescent="0.2">
      <c r="A644" s="37">
        <f>643</f>
        <v>643</v>
      </c>
      <c r="B644" s="37" t="str">
        <f>IF(C644="","",IF(C644="Match",INDEX('Match Log'!$A:$A,D644),IF(C644="Tournament",INDEX('Tournament Log'!$A:$A,E644),INDEX('Guest Log'!$A:$A,Q644))))</f>
        <v/>
      </c>
      <c r="C644" s="37" t="str">
        <f t="shared" si="50"/>
        <v/>
      </c>
      <c r="D644" s="38" t="str">
        <f>IFERROR(MATCH($A644,'Match Log'!$K$3:$K$501,0)+2,"")</f>
        <v/>
      </c>
      <c r="E644" s="38" t="str">
        <f>IFERROR(MATCH($A644,'Tournament Log'!$O$4:$O$203,0)+3,"")</f>
        <v/>
      </c>
      <c r="F644" s="37" t="str">
        <f>IF(C644="","",IF(C644="Match",INDEX('Match Log'!$B:$B,D644),IF(C644="Tournament",INDEX('Tournament Log'!$C:$C,E644),INDEX('Guest Log'!$B:$B,Q644))))</f>
        <v/>
      </c>
      <c r="G644" s="37" t="str">
        <f>IF(C644="","",IF(C644="Match",INDEX('Match Log'!$C:$C,D644),IF(C644="Tournament",INDEX('Tournament Log'!$B:$B,E644)&amp;" (Phantom)",INDEX('Guest Log'!$H:$H,Q644)&amp;" (Guest)")))</f>
        <v/>
      </c>
      <c r="H644" s="37" t="str">
        <f t="array" ref="H644">IF(C644="","",IFERROR(LOOKUP(2,1/(($F$1:F643=F644)+($G$1:G643=F644)),IF($F$1:F643=F644,$N$1:N643,$O$1:O643)),1000))</f>
        <v/>
      </c>
      <c r="I644" s="37" t="str">
        <f t="array" ref="I644">IF(C644="","",IF(C644="Tournament",INDEX('Tournament Log'!$J:$J,E644),IF(C644="Guest",IF(INDEX('Guest Log'!$I:$I,Q644)="",1000,INDEX('Guest Log'!$I:$I,Q644)),IFERROR(LOOKUP(2,1/(($F$1:F643=G644)+($G$1:G643=G644)),IF($F$1:F643=G644,$N$1:N643,$O$1:O643)),1000))))</f>
        <v/>
      </c>
      <c r="J644" s="37" t="str">
        <f t="shared" si="51"/>
        <v/>
      </c>
      <c r="K644" s="12" t="str">
        <f>IF(C644="","",IF(C644="Match",IF(INDEX('Match Log'!$D:$D,D644)="Win",1,IF(INDEX('Match Log'!$D:$D,D644)="Draw",0.5,0)),IF(C644="Tournament",INDEX('Tournament Log'!$K:$K,E644),IF(INDEX('Guest Log'!$C:$C,Q644)="Win",1,IF(INDEX('Guest Log'!$C:$C,Q644)="Draw",0.5,0)))))</f>
        <v/>
      </c>
      <c r="L644" s="12" t="str">
        <f>IF(C644="","",IF(C644="Match",32,IF(C644="Tournament",MIN(32*INDEX('Tournament Log'!$D:$D,E644),96),32)))</f>
        <v/>
      </c>
      <c r="M644" s="12" t="str">
        <f t="shared" si="52"/>
        <v/>
      </c>
      <c r="N644" s="12" t="str">
        <f t="shared" si="53"/>
        <v/>
      </c>
      <c r="O644" s="12" t="str">
        <f t="shared" si="54"/>
        <v/>
      </c>
      <c r="P644" s="12" t="str">
        <f>IF(C644="Tournament",INDEX('Tournament Log'!$B:$B,E644),IF(C644="Guest","Guest: "&amp;INDEX('Guest Log'!$H:$H,Q644),""))</f>
        <v/>
      </c>
      <c r="Q644" t="str">
        <f>IFERROR(MATCH($A644,'Guest Log'!$L$4:$L$203,0)+3,"")</f>
        <v/>
      </c>
    </row>
    <row r="645" spans="1:17" ht="15" customHeight="1" x14ac:dyDescent="0.2">
      <c r="A645" s="22">
        <f>644</f>
        <v>644</v>
      </c>
      <c r="B645" s="22" t="str">
        <f>IF(C645="","",IF(C645="Match",INDEX('Match Log'!$A:$A,D645),IF(C645="Tournament",INDEX('Tournament Log'!$A:$A,E645),INDEX('Guest Log'!$A:$A,Q645))))</f>
        <v/>
      </c>
      <c r="C645" s="22" t="str">
        <f t="shared" si="50"/>
        <v/>
      </c>
      <c r="D645" s="39" t="str">
        <f>IFERROR(MATCH($A645,'Match Log'!$K$3:$K$501,0)+2,"")</f>
        <v/>
      </c>
      <c r="E645" s="39" t="str">
        <f>IFERROR(MATCH($A645,'Tournament Log'!$O$4:$O$203,0)+3,"")</f>
        <v/>
      </c>
      <c r="F645" s="22" t="str">
        <f>IF(C645="","",IF(C645="Match",INDEX('Match Log'!$B:$B,D645),IF(C645="Tournament",INDEX('Tournament Log'!$C:$C,E645),INDEX('Guest Log'!$B:$B,Q645))))</f>
        <v/>
      </c>
      <c r="G645" s="22" t="str">
        <f>IF(C645="","",IF(C645="Match",INDEX('Match Log'!$C:$C,D645),IF(C645="Tournament",INDEX('Tournament Log'!$B:$B,E645)&amp;" (Phantom)",INDEX('Guest Log'!$H:$H,Q645)&amp;" (Guest)")))</f>
        <v/>
      </c>
      <c r="H645" s="22" t="str">
        <f t="array" ref="H645">IF(C645="","",IFERROR(LOOKUP(2,1/(($F$1:F644=F645)+($G$1:G644=F645)),IF($F$1:F644=F645,$N$1:N644,$O$1:O644)),1000))</f>
        <v/>
      </c>
      <c r="I645" s="22" t="str">
        <f t="array" ref="I645">IF(C645="","",IF(C645="Tournament",INDEX('Tournament Log'!$J:$J,E645),IF(C645="Guest",IF(INDEX('Guest Log'!$I:$I,Q645)="",1000,INDEX('Guest Log'!$I:$I,Q645)),IFERROR(LOOKUP(2,1/(($F$1:F644=G645)+($G$1:G644=G645)),IF($F$1:F644=G645,$N$1:N644,$O$1:O644)),1000))))</f>
        <v/>
      </c>
      <c r="J645" s="22" t="str">
        <f t="shared" si="51"/>
        <v/>
      </c>
      <c r="K645" s="12" t="str">
        <f>IF(C645="","",IF(C645="Match",IF(INDEX('Match Log'!$D:$D,D645)="Win",1,IF(INDEX('Match Log'!$D:$D,D645)="Draw",0.5,0)),IF(C645="Tournament",INDEX('Tournament Log'!$K:$K,E645),IF(INDEX('Guest Log'!$C:$C,Q645)="Win",1,IF(INDEX('Guest Log'!$C:$C,Q645)="Draw",0.5,0)))))</f>
        <v/>
      </c>
      <c r="L645" s="12" t="str">
        <f>IF(C645="","",IF(C645="Match",32,IF(C645="Tournament",MIN(32*INDEX('Tournament Log'!$D:$D,E645),96),32)))</f>
        <v/>
      </c>
      <c r="M645" s="12" t="str">
        <f t="shared" si="52"/>
        <v/>
      </c>
      <c r="N645" s="12" t="str">
        <f t="shared" si="53"/>
        <v/>
      </c>
      <c r="O645" s="12" t="str">
        <f t="shared" si="54"/>
        <v/>
      </c>
      <c r="P645" s="12" t="str">
        <f>IF(C645="Tournament",INDEX('Tournament Log'!$B:$B,E645),IF(C645="Guest","Guest: "&amp;INDEX('Guest Log'!$H:$H,Q645),""))</f>
        <v/>
      </c>
      <c r="Q645" t="str">
        <f>IFERROR(MATCH($A645,'Guest Log'!$L$4:$L$203,0)+3,"")</f>
        <v/>
      </c>
    </row>
    <row r="646" spans="1:17" ht="15" customHeight="1" x14ac:dyDescent="0.2">
      <c r="A646" s="37">
        <f>645</f>
        <v>645</v>
      </c>
      <c r="B646" s="37" t="str">
        <f>IF(C646="","",IF(C646="Match",INDEX('Match Log'!$A:$A,D646),IF(C646="Tournament",INDEX('Tournament Log'!$A:$A,E646),INDEX('Guest Log'!$A:$A,Q646))))</f>
        <v/>
      </c>
      <c r="C646" s="37" t="str">
        <f t="shared" si="50"/>
        <v/>
      </c>
      <c r="D646" s="38" t="str">
        <f>IFERROR(MATCH($A646,'Match Log'!$K$3:$K$501,0)+2,"")</f>
        <v/>
      </c>
      <c r="E646" s="38" t="str">
        <f>IFERROR(MATCH($A646,'Tournament Log'!$O$4:$O$203,0)+3,"")</f>
        <v/>
      </c>
      <c r="F646" s="37" t="str">
        <f>IF(C646="","",IF(C646="Match",INDEX('Match Log'!$B:$B,D646),IF(C646="Tournament",INDEX('Tournament Log'!$C:$C,E646),INDEX('Guest Log'!$B:$B,Q646))))</f>
        <v/>
      </c>
      <c r="G646" s="37" t="str">
        <f>IF(C646="","",IF(C646="Match",INDEX('Match Log'!$C:$C,D646),IF(C646="Tournament",INDEX('Tournament Log'!$B:$B,E646)&amp;" (Phantom)",INDEX('Guest Log'!$H:$H,Q646)&amp;" (Guest)")))</f>
        <v/>
      </c>
      <c r="H646" s="37" t="str">
        <f t="array" ref="H646">IF(C646="","",IFERROR(LOOKUP(2,1/(($F$1:F645=F646)+($G$1:G645=F646)),IF($F$1:F645=F646,$N$1:N645,$O$1:O645)),1000))</f>
        <v/>
      </c>
      <c r="I646" s="37" t="str">
        <f t="array" ref="I646">IF(C646="","",IF(C646="Tournament",INDEX('Tournament Log'!$J:$J,E646),IF(C646="Guest",IF(INDEX('Guest Log'!$I:$I,Q646)="",1000,INDEX('Guest Log'!$I:$I,Q646)),IFERROR(LOOKUP(2,1/(($F$1:F645=G646)+($G$1:G645=G646)),IF($F$1:F645=G646,$N$1:N645,$O$1:O645)),1000))))</f>
        <v/>
      </c>
      <c r="J646" s="37" t="str">
        <f t="shared" si="51"/>
        <v/>
      </c>
      <c r="K646" s="12" t="str">
        <f>IF(C646="","",IF(C646="Match",IF(INDEX('Match Log'!$D:$D,D646)="Win",1,IF(INDEX('Match Log'!$D:$D,D646)="Draw",0.5,0)),IF(C646="Tournament",INDEX('Tournament Log'!$K:$K,E646),IF(INDEX('Guest Log'!$C:$C,Q646)="Win",1,IF(INDEX('Guest Log'!$C:$C,Q646)="Draw",0.5,0)))))</f>
        <v/>
      </c>
      <c r="L646" s="12" t="str">
        <f>IF(C646="","",IF(C646="Match",32,IF(C646="Tournament",MIN(32*INDEX('Tournament Log'!$D:$D,E646),96),32)))</f>
        <v/>
      </c>
      <c r="M646" s="12" t="str">
        <f t="shared" si="52"/>
        <v/>
      </c>
      <c r="N646" s="12" t="str">
        <f t="shared" si="53"/>
        <v/>
      </c>
      <c r="O646" s="12" t="str">
        <f t="shared" si="54"/>
        <v/>
      </c>
      <c r="P646" s="12" t="str">
        <f>IF(C646="Tournament",INDEX('Tournament Log'!$B:$B,E646),IF(C646="Guest","Guest: "&amp;INDEX('Guest Log'!$H:$H,Q646),""))</f>
        <v/>
      </c>
      <c r="Q646" t="str">
        <f>IFERROR(MATCH($A646,'Guest Log'!$L$4:$L$203,0)+3,"")</f>
        <v/>
      </c>
    </row>
    <row r="647" spans="1:17" ht="15" customHeight="1" x14ac:dyDescent="0.2">
      <c r="A647" s="22">
        <f>646</f>
        <v>646</v>
      </c>
      <c r="B647" s="22" t="str">
        <f>IF(C647="","",IF(C647="Match",INDEX('Match Log'!$A:$A,D647),IF(C647="Tournament",INDEX('Tournament Log'!$A:$A,E647),INDEX('Guest Log'!$A:$A,Q647))))</f>
        <v/>
      </c>
      <c r="C647" s="22" t="str">
        <f t="shared" si="50"/>
        <v/>
      </c>
      <c r="D647" s="39" t="str">
        <f>IFERROR(MATCH($A647,'Match Log'!$K$3:$K$501,0)+2,"")</f>
        <v/>
      </c>
      <c r="E647" s="39" t="str">
        <f>IFERROR(MATCH($A647,'Tournament Log'!$O$4:$O$203,0)+3,"")</f>
        <v/>
      </c>
      <c r="F647" s="22" t="str">
        <f>IF(C647="","",IF(C647="Match",INDEX('Match Log'!$B:$B,D647),IF(C647="Tournament",INDEX('Tournament Log'!$C:$C,E647),INDEX('Guest Log'!$B:$B,Q647))))</f>
        <v/>
      </c>
      <c r="G647" s="22" t="str">
        <f>IF(C647="","",IF(C647="Match",INDEX('Match Log'!$C:$C,D647),IF(C647="Tournament",INDEX('Tournament Log'!$B:$B,E647)&amp;" (Phantom)",INDEX('Guest Log'!$H:$H,Q647)&amp;" (Guest)")))</f>
        <v/>
      </c>
      <c r="H647" s="22" t="str">
        <f t="array" ref="H647">IF(C647="","",IFERROR(LOOKUP(2,1/(($F$1:F646=F647)+($G$1:G646=F647)),IF($F$1:F646=F647,$N$1:N646,$O$1:O646)),1000))</f>
        <v/>
      </c>
      <c r="I647" s="22" t="str">
        <f t="array" ref="I647">IF(C647="","",IF(C647="Tournament",INDEX('Tournament Log'!$J:$J,E647),IF(C647="Guest",IF(INDEX('Guest Log'!$I:$I,Q647)="",1000,INDEX('Guest Log'!$I:$I,Q647)),IFERROR(LOOKUP(2,1/(($F$1:F646=G647)+($G$1:G646=G647)),IF($F$1:F646=G647,$N$1:N646,$O$1:O646)),1000))))</f>
        <v/>
      </c>
      <c r="J647" s="22" t="str">
        <f t="shared" si="51"/>
        <v/>
      </c>
      <c r="K647" s="12" t="str">
        <f>IF(C647="","",IF(C647="Match",IF(INDEX('Match Log'!$D:$D,D647)="Win",1,IF(INDEX('Match Log'!$D:$D,D647)="Draw",0.5,0)),IF(C647="Tournament",INDEX('Tournament Log'!$K:$K,E647),IF(INDEX('Guest Log'!$C:$C,Q647)="Win",1,IF(INDEX('Guest Log'!$C:$C,Q647)="Draw",0.5,0)))))</f>
        <v/>
      </c>
      <c r="L647" s="12" t="str">
        <f>IF(C647="","",IF(C647="Match",32,IF(C647="Tournament",MIN(32*INDEX('Tournament Log'!$D:$D,E647),96),32)))</f>
        <v/>
      </c>
      <c r="M647" s="12" t="str">
        <f t="shared" si="52"/>
        <v/>
      </c>
      <c r="N647" s="12" t="str">
        <f t="shared" si="53"/>
        <v/>
      </c>
      <c r="O647" s="12" t="str">
        <f t="shared" si="54"/>
        <v/>
      </c>
      <c r="P647" s="12" t="str">
        <f>IF(C647="Tournament",INDEX('Tournament Log'!$B:$B,E647),IF(C647="Guest","Guest: "&amp;INDEX('Guest Log'!$H:$H,Q647),""))</f>
        <v/>
      </c>
      <c r="Q647" t="str">
        <f>IFERROR(MATCH($A647,'Guest Log'!$L$4:$L$203,0)+3,"")</f>
        <v/>
      </c>
    </row>
    <row r="648" spans="1:17" ht="15" customHeight="1" x14ac:dyDescent="0.2">
      <c r="A648" s="37">
        <f>647</f>
        <v>647</v>
      </c>
      <c r="B648" s="37" t="str">
        <f>IF(C648="","",IF(C648="Match",INDEX('Match Log'!$A:$A,D648),IF(C648="Tournament",INDEX('Tournament Log'!$A:$A,E648),INDEX('Guest Log'!$A:$A,Q648))))</f>
        <v/>
      </c>
      <c r="C648" s="37" t="str">
        <f t="shared" si="50"/>
        <v/>
      </c>
      <c r="D648" s="38" t="str">
        <f>IFERROR(MATCH($A648,'Match Log'!$K$3:$K$501,0)+2,"")</f>
        <v/>
      </c>
      <c r="E648" s="38" t="str">
        <f>IFERROR(MATCH($A648,'Tournament Log'!$O$4:$O$203,0)+3,"")</f>
        <v/>
      </c>
      <c r="F648" s="37" t="str">
        <f>IF(C648="","",IF(C648="Match",INDEX('Match Log'!$B:$B,D648),IF(C648="Tournament",INDEX('Tournament Log'!$C:$C,E648),INDEX('Guest Log'!$B:$B,Q648))))</f>
        <v/>
      </c>
      <c r="G648" s="37" t="str">
        <f>IF(C648="","",IF(C648="Match",INDEX('Match Log'!$C:$C,D648),IF(C648="Tournament",INDEX('Tournament Log'!$B:$B,E648)&amp;" (Phantom)",INDEX('Guest Log'!$H:$H,Q648)&amp;" (Guest)")))</f>
        <v/>
      </c>
      <c r="H648" s="37" t="str">
        <f t="array" ref="H648">IF(C648="","",IFERROR(LOOKUP(2,1/(($F$1:F647=F648)+($G$1:G647=F648)),IF($F$1:F647=F648,$N$1:N647,$O$1:O647)),1000))</f>
        <v/>
      </c>
      <c r="I648" s="37" t="str">
        <f t="array" ref="I648">IF(C648="","",IF(C648="Tournament",INDEX('Tournament Log'!$J:$J,E648),IF(C648="Guest",IF(INDEX('Guest Log'!$I:$I,Q648)="",1000,INDEX('Guest Log'!$I:$I,Q648)),IFERROR(LOOKUP(2,1/(($F$1:F647=G648)+($G$1:G647=G648)),IF($F$1:F647=G648,$N$1:N647,$O$1:O647)),1000))))</f>
        <v/>
      </c>
      <c r="J648" s="37" t="str">
        <f t="shared" si="51"/>
        <v/>
      </c>
      <c r="K648" s="12" t="str">
        <f>IF(C648="","",IF(C648="Match",IF(INDEX('Match Log'!$D:$D,D648)="Win",1,IF(INDEX('Match Log'!$D:$D,D648)="Draw",0.5,0)),IF(C648="Tournament",INDEX('Tournament Log'!$K:$K,E648),IF(INDEX('Guest Log'!$C:$C,Q648)="Win",1,IF(INDEX('Guest Log'!$C:$C,Q648)="Draw",0.5,0)))))</f>
        <v/>
      </c>
      <c r="L648" s="12" t="str">
        <f>IF(C648="","",IF(C648="Match",32,IF(C648="Tournament",MIN(32*INDEX('Tournament Log'!$D:$D,E648),96),32)))</f>
        <v/>
      </c>
      <c r="M648" s="12" t="str">
        <f t="shared" si="52"/>
        <v/>
      </c>
      <c r="N648" s="12" t="str">
        <f t="shared" si="53"/>
        <v/>
      </c>
      <c r="O648" s="12" t="str">
        <f t="shared" si="54"/>
        <v/>
      </c>
      <c r="P648" s="12" t="str">
        <f>IF(C648="Tournament",INDEX('Tournament Log'!$B:$B,E648),IF(C648="Guest","Guest: "&amp;INDEX('Guest Log'!$H:$H,Q648),""))</f>
        <v/>
      </c>
      <c r="Q648" t="str">
        <f>IFERROR(MATCH($A648,'Guest Log'!$L$4:$L$203,0)+3,"")</f>
        <v/>
      </c>
    </row>
    <row r="649" spans="1:17" ht="15" customHeight="1" x14ac:dyDescent="0.2">
      <c r="A649" s="22">
        <f>648</f>
        <v>648</v>
      </c>
      <c r="B649" s="22" t="str">
        <f>IF(C649="","",IF(C649="Match",INDEX('Match Log'!$A:$A,D649),IF(C649="Tournament",INDEX('Tournament Log'!$A:$A,E649),INDEX('Guest Log'!$A:$A,Q649))))</f>
        <v/>
      </c>
      <c r="C649" s="22" t="str">
        <f t="shared" si="50"/>
        <v/>
      </c>
      <c r="D649" s="39" t="str">
        <f>IFERROR(MATCH($A649,'Match Log'!$K$3:$K$501,0)+2,"")</f>
        <v/>
      </c>
      <c r="E649" s="39" t="str">
        <f>IFERROR(MATCH($A649,'Tournament Log'!$O$4:$O$203,0)+3,"")</f>
        <v/>
      </c>
      <c r="F649" s="22" t="str">
        <f>IF(C649="","",IF(C649="Match",INDEX('Match Log'!$B:$B,D649),IF(C649="Tournament",INDEX('Tournament Log'!$C:$C,E649),INDEX('Guest Log'!$B:$B,Q649))))</f>
        <v/>
      </c>
      <c r="G649" s="22" t="str">
        <f>IF(C649="","",IF(C649="Match",INDEX('Match Log'!$C:$C,D649),IF(C649="Tournament",INDEX('Tournament Log'!$B:$B,E649)&amp;" (Phantom)",INDEX('Guest Log'!$H:$H,Q649)&amp;" (Guest)")))</f>
        <v/>
      </c>
      <c r="H649" s="22" t="str">
        <f t="array" ref="H649">IF(C649="","",IFERROR(LOOKUP(2,1/(($F$1:F648=F649)+($G$1:G648=F649)),IF($F$1:F648=F649,$N$1:N648,$O$1:O648)),1000))</f>
        <v/>
      </c>
      <c r="I649" s="22" t="str">
        <f t="array" ref="I649">IF(C649="","",IF(C649="Tournament",INDEX('Tournament Log'!$J:$J,E649),IF(C649="Guest",IF(INDEX('Guest Log'!$I:$I,Q649)="",1000,INDEX('Guest Log'!$I:$I,Q649)),IFERROR(LOOKUP(2,1/(($F$1:F648=G649)+($G$1:G648=G649)),IF($F$1:F648=G649,$N$1:N648,$O$1:O648)),1000))))</f>
        <v/>
      </c>
      <c r="J649" s="22" t="str">
        <f t="shared" si="51"/>
        <v/>
      </c>
      <c r="K649" s="12" t="str">
        <f>IF(C649="","",IF(C649="Match",IF(INDEX('Match Log'!$D:$D,D649)="Win",1,IF(INDEX('Match Log'!$D:$D,D649)="Draw",0.5,0)),IF(C649="Tournament",INDEX('Tournament Log'!$K:$K,E649),IF(INDEX('Guest Log'!$C:$C,Q649)="Win",1,IF(INDEX('Guest Log'!$C:$C,Q649)="Draw",0.5,0)))))</f>
        <v/>
      </c>
      <c r="L649" s="12" t="str">
        <f>IF(C649="","",IF(C649="Match",32,IF(C649="Tournament",MIN(32*INDEX('Tournament Log'!$D:$D,E649),96),32)))</f>
        <v/>
      </c>
      <c r="M649" s="12" t="str">
        <f t="shared" si="52"/>
        <v/>
      </c>
      <c r="N649" s="12" t="str">
        <f t="shared" si="53"/>
        <v/>
      </c>
      <c r="O649" s="12" t="str">
        <f t="shared" si="54"/>
        <v/>
      </c>
      <c r="P649" s="12" t="str">
        <f>IF(C649="Tournament",INDEX('Tournament Log'!$B:$B,E649),IF(C649="Guest","Guest: "&amp;INDEX('Guest Log'!$H:$H,Q649),""))</f>
        <v/>
      </c>
      <c r="Q649" t="str">
        <f>IFERROR(MATCH($A649,'Guest Log'!$L$4:$L$203,0)+3,"")</f>
        <v/>
      </c>
    </row>
    <row r="650" spans="1:17" ht="15" customHeight="1" x14ac:dyDescent="0.2">
      <c r="A650" s="37">
        <f>649</f>
        <v>649</v>
      </c>
      <c r="B650" s="37" t="str">
        <f>IF(C650="","",IF(C650="Match",INDEX('Match Log'!$A:$A,D650),IF(C650="Tournament",INDEX('Tournament Log'!$A:$A,E650),INDEX('Guest Log'!$A:$A,Q650))))</f>
        <v/>
      </c>
      <c r="C650" s="37" t="str">
        <f t="shared" si="50"/>
        <v/>
      </c>
      <c r="D650" s="38" t="str">
        <f>IFERROR(MATCH($A650,'Match Log'!$K$3:$K$501,0)+2,"")</f>
        <v/>
      </c>
      <c r="E650" s="38" t="str">
        <f>IFERROR(MATCH($A650,'Tournament Log'!$O$4:$O$203,0)+3,"")</f>
        <v/>
      </c>
      <c r="F650" s="37" t="str">
        <f>IF(C650="","",IF(C650="Match",INDEX('Match Log'!$B:$B,D650),IF(C650="Tournament",INDEX('Tournament Log'!$C:$C,E650),INDEX('Guest Log'!$B:$B,Q650))))</f>
        <v/>
      </c>
      <c r="G650" s="37" t="str">
        <f>IF(C650="","",IF(C650="Match",INDEX('Match Log'!$C:$C,D650),IF(C650="Tournament",INDEX('Tournament Log'!$B:$B,E650)&amp;" (Phantom)",INDEX('Guest Log'!$H:$H,Q650)&amp;" (Guest)")))</f>
        <v/>
      </c>
      <c r="H650" s="37" t="str">
        <f t="array" ref="H650">IF(C650="","",IFERROR(LOOKUP(2,1/(($F$1:F649=F650)+($G$1:G649=F650)),IF($F$1:F649=F650,$N$1:N649,$O$1:O649)),1000))</f>
        <v/>
      </c>
      <c r="I650" s="37" t="str">
        <f t="array" ref="I650">IF(C650="","",IF(C650="Tournament",INDEX('Tournament Log'!$J:$J,E650),IF(C650="Guest",IF(INDEX('Guest Log'!$I:$I,Q650)="",1000,INDEX('Guest Log'!$I:$I,Q650)),IFERROR(LOOKUP(2,1/(($F$1:F649=G650)+($G$1:G649=G650)),IF($F$1:F649=G650,$N$1:N649,$O$1:O649)),1000))))</f>
        <v/>
      </c>
      <c r="J650" s="37" t="str">
        <f t="shared" si="51"/>
        <v/>
      </c>
      <c r="K650" s="12" t="str">
        <f>IF(C650="","",IF(C650="Match",IF(INDEX('Match Log'!$D:$D,D650)="Win",1,IF(INDEX('Match Log'!$D:$D,D650)="Draw",0.5,0)),IF(C650="Tournament",INDEX('Tournament Log'!$K:$K,E650),IF(INDEX('Guest Log'!$C:$C,Q650)="Win",1,IF(INDEX('Guest Log'!$C:$C,Q650)="Draw",0.5,0)))))</f>
        <v/>
      </c>
      <c r="L650" s="12" t="str">
        <f>IF(C650="","",IF(C650="Match",32,IF(C650="Tournament",MIN(32*INDEX('Tournament Log'!$D:$D,E650),96),32)))</f>
        <v/>
      </c>
      <c r="M650" s="12" t="str">
        <f t="shared" si="52"/>
        <v/>
      </c>
      <c r="N650" s="12" t="str">
        <f t="shared" si="53"/>
        <v/>
      </c>
      <c r="O650" s="12" t="str">
        <f t="shared" si="54"/>
        <v/>
      </c>
      <c r="P650" s="12" t="str">
        <f>IF(C650="Tournament",INDEX('Tournament Log'!$B:$B,E650),IF(C650="Guest","Guest: "&amp;INDEX('Guest Log'!$H:$H,Q650),""))</f>
        <v/>
      </c>
      <c r="Q650" t="str">
        <f>IFERROR(MATCH($A650,'Guest Log'!$L$4:$L$203,0)+3,"")</f>
        <v/>
      </c>
    </row>
    <row r="651" spans="1:17" ht="15" customHeight="1" x14ac:dyDescent="0.2">
      <c r="A651" s="22">
        <f>650</f>
        <v>650</v>
      </c>
      <c r="B651" s="22" t="str">
        <f>IF(C651="","",IF(C651="Match",INDEX('Match Log'!$A:$A,D651),IF(C651="Tournament",INDEX('Tournament Log'!$A:$A,E651),INDEX('Guest Log'!$A:$A,Q651))))</f>
        <v/>
      </c>
      <c r="C651" s="22" t="str">
        <f t="shared" si="50"/>
        <v/>
      </c>
      <c r="D651" s="39" t="str">
        <f>IFERROR(MATCH($A651,'Match Log'!$K$3:$K$501,0)+2,"")</f>
        <v/>
      </c>
      <c r="E651" s="39" t="str">
        <f>IFERROR(MATCH($A651,'Tournament Log'!$O$4:$O$203,0)+3,"")</f>
        <v/>
      </c>
      <c r="F651" s="22" t="str">
        <f>IF(C651="","",IF(C651="Match",INDEX('Match Log'!$B:$B,D651),IF(C651="Tournament",INDEX('Tournament Log'!$C:$C,E651),INDEX('Guest Log'!$B:$B,Q651))))</f>
        <v/>
      </c>
      <c r="G651" s="22" t="str">
        <f>IF(C651="","",IF(C651="Match",INDEX('Match Log'!$C:$C,D651),IF(C651="Tournament",INDEX('Tournament Log'!$B:$B,E651)&amp;" (Phantom)",INDEX('Guest Log'!$H:$H,Q651)&amp;" (Guest)")))</f>
        <v/>
      </c>
      <c r="H651" s="22" t="str">
        <f t="array" ref="H651">IF(C651="","",IFERROR(LOOKUP(2,1/(($F$1:F650=F651)+($G$1:G650=F651)),IF($F$1:F650=F651,$N$1:N650,$O$1:O650)),1000))</f>
        <v/>
      </c>
      <c r="I651" s="22" t="str">
        <f t="array" ref="I651">IF(C651="","",IF(C651="Tournament",INDEX('Tournament Log'!$J:$J,E651),IF(C651="Guest",IF(INDEX('Guest Log'!$I:$I,Q651)="",1000,INDEX('Guest Log'!$I:$I,Q651)),IFERROR(LOOKUP(2,1/(($F$1:F650=G651)+($G$1:G650=G651)),IF($F$1:F650=G651,$N$1:N650,$O$1:O650)),1000))))</f>
        <v/>
      </c>
      <c r="J651" s="22" t="str">
        <f t="shared" si="51"/>
        <v/>
      </c>
      <c r="K651" s="12" t="str">
        <f>IF(C651="","",IF(C651="Match",IF(INDEX('Match Log'!$D:$D,D651)="Win",1,IF(INDEX('Match Log'!$D:$D,D651)="Draw",0.5,0)),IF(C651="Tournament",INDEX('Tournament Log'!$K:$K,E651),IF(INDEX('Guest Log'!$C:$C,Q651)="Win",1,IF(INDEX('Guest Log'!$C:$C,Q651)="Draw",0.5,0)))))</f>
        <v/>
      </c>
      <c r="L651" s="12" t="str">
        <f>IF(C651="","",IF(C651="Match",32,IF(C651="Tournament",MIN(32*INDEX('Tournament Log'!$D:$D,E651),96),32)))</f>
        <v/>
      </c>
      <c r="M651" s="12" t="str">
        <f t="shared" si="52"/>
        <v/>
      </c>
      <c r="N651" s="12" t="str">
        <f t="shared" si="53"/>
        <v/>
      </c>
      <c r="O651" s="12" t="str">
        <f t="shared" si="54"/>
        <v/>
      </c>
      <c r="P651" s="12" t="str">
        <f>IF(C651="Tournament",INDEX('Tournament Log'!$B:$B,E651),IF(C651="Guest","Guest: "&amp;INDEX('Guest Log'!$H:$H,Q651),""))</f>
        <v/>
      </c>
      <c r="Q651" t="str">
        <f>IFERROR(MATCH($A651,'Guest Log'!$L$4:$L$203,0)+3,"")</f>
        <v/>
      </c>
    </row>
    <row r="652" spans="1:17" ht="15" customHeight="1" x14ac:dyDescent="0.2">
      <c r="A652" s="37">
        <f>651</f>
        <v>651</v>
      </c>
      <c r="B652" s="37" t="str">
        <f>IF(C652="","",IF(C652="Match",INDEX('Match Log'!$A:$A,D652),IF(C652="Tournament",INDEX('Tournament Log'!$A:$A,E652),INDEX('Guest Log'!$A:$A,Q652))))</f>
        <v/>
      </c>
      <c r="C652" s="37" t="str">
        <f t="shared" si="50"/>
        <v/>
      </c>
      <c r="D652" s="38" t="str">
        <f>IFERROR(MATCH($A652,'Match Log'!$K$3:$K$501,0)+2,"")</f>
        <v/>
      </c>
      <c r="E652" s="38" t="str">
        <f>IFERROR(MATCH($A652,'Tournament Log'!$O$4:$O$203,0)+3,"")</f>
        <v/>
      </c>
      <c r="F652" s="37" t="str">
        <f>IF(C652="","",IF(C652="Match",INDEX('Match Log'!$B:$B,D652),IF(C652="Tournament",INDEX('Tournament Log'!$C:$C,E652),INDEX('Guest Log'!$B:$B,Q652))))</f>
        <v/>
      </c>
      <c r="G652" s="37" t="str">
        <f>IF(C652="","",IF(C652="Match",INDEX('Match Log'!$C:$C,D652),IF(C652="Tournament",INDEX('Tournament Log'!$B:$B,E652)&amp;" (Phantom)",INDEX('Guest Log'!$H:$H,Q652)&amp;" (Guest)")))</f>
        <v/>
      </c>
      <c r="H652" s="37" t="str">
        <f t="array" ref="H652">IF(C652="","",IFERROR(LOOKUP(2,1/(($F$1:F651=F652)+($G$1:G651=F652)),IF($F$1:F651=F652,$N$1:N651,$O$1:O651)),1000))</f>
        <v/>
      </c>
      <c r="I652" s="37" t="str">
        <f t="array" ref="I652">IF(C652="","",IF(C652="Tournament",INDEX('Tournament Log'!$J:$J,E652),IF(C652="Guest",IF(INDEX('Guest Log'!$I:$I,Q652)="",1000,INDEX('Guest Log'!$I:$I,Q652)),IFERROR(LOOKUP(2,1/(($F$1:F651=G652)+($G$1:G651=G652)),IF($F$1:F651=G652,$N$1:N651,$O$1:O651)),1000))))</f>
        <v/>
      </c>
      <c r="J652" s="37" t="str">
        <f t="shared" si="51"/>
        <v/>
      </c>
      <c r="K652" s="12" t="str">
        <f>IF(C652="","",IF(C652="Match",IF(INDEX('Match Log'!$D:$D,D652)="Win",1,IF(INDEX('Match Log'!$D:$D,D652)="Draw",0.5,0)),IF(C652="Tournament",INDEX('Tournament Log'!$K:$K,E652),IF(INDEX('Guest Log'!$C:$C,Q652)="Win",1,IF(INDEX('Guest Log'!$C:$C,Q652)="Draw",0.5,0)))))</f>
        <v/>
      </c>
      <c r="L652" s="12" t="str">
        <f>IF(C652="","",IF(C652="Match",32,IF(C652="Tournament",MIN(32*INDEX('Tournament Log'!$D:$D,E652),96),32)))</f>
        <v/>
      </c>
      <c r="M652" s="12" t="str">
        <f t="shared" si="52"/>
        <v/>
      </c>
      <c r="N652" s="12" t="str">
        <f t="shared" si="53"/>
        <v/>
      </c>
      <c r="O652" s="12" t="str">
        <f t="shared" si="54"/>
        <v/>
      </c>
      <c r="P652" s="12" t="str">
        <f>IF(C652="Tournament",INDEX('Tournament Log'!$B:$B,E652),IF(C652="Guest","Guest: "&amp;INDEX('Guest Log'!$H:$H,Q652),""))</f>
        <v/>
      </c>
      <c r="Q652" t="str">
        <f>IFERROR(MATCH($A652,'Guest Log'!$L$4:$L$203,0)+3,"")</f>
        <v/>
      </c>
    </row>
    <row r="653" spans="1:17" ht="15" customHeight="1" x14ac:dyDescent="0.2">
      <c r="A653" s="22">
        <f>652</f>
        <v>652</v>
      </c>
      <c r="B653" s="22" t="str">
        <f>IF(C653="","",IF(C653="Match",INDEX('Match Log'!$A:$A,D653),IF(C653="Tournament",INDEX('Tournament Log'!$A:$A,E653),INDEX('Guest Log'!$A:$A,Q653))))</f>
        <v/>
      </c>
      <c r="C653" s="22" t="str">
        <f t="shared" si="50"/>
        <v/>
      </c>
      <c r="D653" s="39" t="str">
        <f>IFERROR(MATCH($A653,'Match Log'!$K$3:$K$501,0)+2,"")</f>
        <v/>
      </c>
      <c r="E653" s="39" t="str">
        <f>IFERROR(MATCH($A653,'Tournament Log'!$O$4:$O$203,0)+3,"")</f>
        <v/>
      </c>
      <c r="F653" s="22" t="str">
        <f>IF(C653="","",IF(C653="Match",INDEX('Match Log'!$B:$B,D653),IF(C653="Tournament",INDEX('Tournament Log'!$C:$C,E653),INDEX('Guest Log'!$B:$B,Q653))))</f>
        <v/>
      </c>
      <c r="G653" s="22" t="str">
        <f>IF(C653="","",IF(C653="Match",INDEX('Match Log'!$C:$C,D653),IF(C653="Tournament",INDEX('Tournament Log'!$B:$B,E653)&amp;" (Phantom)",INDEX('Guest Log'!$H:$H,Q653)&amp;" (Guest)")))</f>
        <v/>
      </c>
      <c r="H653" s="22" t="str">
        <f t="array" ref="H653">IF(C653="","",IFERROR(LOOKUP(2,1/(($F$1:F652=F653)+($G$1:G652=F653)),IF($F$1:F652=F653,$N$1:N652,$O$1:O652)),1000))</f>
        <v/>
      </c>
      <c r="I653" s="22" t="str">
        <f t="array" ref="I653">IF(C653="","",IF(C653="Tournament",INDEX('Tournament Log'!$J:$J,E653),IF(C653="Guest",IF(INDEX('Guest Log'!$I:$I,Q653)="",1000,INDEX('Guest Log'!$I:$I,Q653)),IFERROR(LOOKUP(2,1/(($F$1:F652=G653)+($G$1:G652=G653)),IF($F$1:F652=G653,$N$1:N652,$O$1:O652)),1000))))</f>
        <v/>
      </c>
      <c r="J653" s="22" t="str">
        <f t="shared" si="51"/>
        <v/>
      </c>
      <c r="K653" s="12" t="str">
        <f>IF(C653="","",IF(C653="Match",IF(INDEX('Match Log'!$D:$D,D653)="Win",1,IF(INDEX('Match Log'!$D:$D,D653)="Draw",0.5,0)),IF(C653="Tournament",INDEX('Tournament Log'!$K:$K,E653),IF(INDEX('Guest Log'!$C:$C,Q653)="Win",1,IF(INDEX('Guest Log'!$C:$C,Q653)="Draw",0.5,0)))))</f>
        <v/>
      </c>
      <c r="L653" s="12" t="str">
        <f>IF(C653="","",IF(C653="Match",32,IF(C653="Tournament",MIN(32*INDEX('Tournament Log'!$D:$D,E653),96),32)))</f>
        <v/>
      </c>
      <c r="M653" s="12" t="str">
        <f t="shared" si="52"/>
        <v/>
      </c>
      <c r="N653" s="12" t="str">
        <f t="shared" si="53"/>
        <v/>
      </c>
      <c r="O653" s="12" t="str">
        <f t="shared" si="54"/>
        <v/>
      </c>
      <c r="P653" s="12" t="str">
        <f>IF(C653="Tournament",INDEX('Tournament Log'!$B:$B,E653),IF(C653="Guest","Guest: "&amp;INDEX('Guest Log'!$H:$H,Q653),""))</f>
        <v/>
      </c>
      <c r="Q653" t="str">
        <f>IFERROR(MATCH($A653,'Guest Log'!$L$4:$L$203,0)+3,"")</f>
        <v/>
      </c>
    </row>
    <row r="654" spans="1:17" ht="15" customHeight="1" x14ac:dyDescent="0.2">
      <c r="A654" s="37">
        <f>653</f>
        <v>653</v>
      </c>
      <c r="B654" s="37" t="str">
        <f>IF(C654="","",IF(C654="Match",INDEX('Match Log'!$A:$A,D654),IF(C654="Tournament",INDEX('Tournament Log'!$A:$A,E654),INDEX('Guest Log'!$A:$A,Q654))))</f>
        <v/>
      </c>
      <c r="C654" s="37" t="str">
        <f t="shared" si="50"/>
        <v/>
      </c>
      <c r="D654" s="38" t="str">
        <f>IFERROR(MATCH($A654,'Match Log'!$K$3:$K$501,0)+2,"")</f>
        <v/>
      </c>
      <c r="E654" s="38" t="str">
        <f>IFERROR(MATCH($A654,'Tournament Log'!$O$4:$O$203,0)+3,"")</f>
        <v/>
      </c>
      <c r="F654" s="37" t="str">
        <f>IF(C654="","",IF(C654="Match",INDEX('Match Log'!$B:$B,D654),IF(C654="Tournament",INDEX('Tournament Log'!$C:$C,E654),INDEX('Guest Log'!$B:$B,Q654))))</f>
        <v/>
      </c>
      <c r="G654" s="37" t="str">
        <f>IF(C654="","",IF(C654="Match",INDEX('Match Log'!$C:$C,D654),IF(C654="Tournament",INDEX('Tournament Log'!$B:$B,E654)&amp;" (Phantom)",INDEX('Guest Log'!$H:$H,Q654)&amp;" (Guest)")))</f>
        <v/>
      </c>
      <c r="H654" s="37" t="str">
        <f t="array" ref="H654">IF(C654="","",IFERROR(LOOKUP(2,1/(($F$1:F653=F654)+($G$1:G653=F654)),IF($F$1:F653=F654,$N$1:N653,$O$1:O653)),1000))</f>
        <v/>
      </c>
      <c r="I654" s="37" t="str">
        <f t="array" ref="I654">IF(C654="","",IF(C654="Tournament",INDEX('Tournament Log'!$J:$J,E654),IF(C654="Guest",IF(INDEX('Guest Log'!$I:$I,Q654)="",1000,INDEX('Guest Log'!$I:$I,Q654)),IFERROR(LOOKUP(2,1/(($F$1:F653=G654)+($G$1:G653=G654)),IF($F$1:F653=G654,$N$1:N653,$O$1:O653)),1000))))</f>
        <v/>
      </c>
      <c r="J654" s="37" t="str">
        <f t="shared" si="51"/>
        <v/>
      </c>
      <c r="K654" s="12" t="str">
        <f>IF(C654="","",IF(C654="Match",IF(INDEX('Match Log'!$D:$D,D654)="Win",1,IF(INDEX('Match Log'!$D:$D,D654)="Draw",0.5,0)),IF(C654="Tournament",INDEX('Tournament Log'!$K:$K,E654),IF(INDEX('Guest Log'!$C:$C,Q654)="Win",1,IF(INDEX('Guest Log'!$C:$C,Q654)="Draw",0.5,0)))))</f>
        <v/>
      </c>
      <c r="L654" s="12" t="str">
        <f>IF(C654="","",IF(C654="Match",32,IF(C654="Tournament",MIN(32*INDEX('Tournament Log'!$D:$D,E654),96),32)))</f>
        <v/>
      </c>
      <c r="M654" s="12" t="str">
        <f t="shared" si="52"/>
        <v/>
      </c>
      <c r="N654" s="12" t="str">
        <f t="shared" si="53"/>
        <v/>
      </c>
      <c r="O654" s="12" t="str">
        <f t="shared" si="54"/>
        <v/>
      </c>
      <c r="P654" s="12" t="str">
        <f>IF(C654="Tournament",INDEX('Tournament Log'!$B:$B,E654),IF(C654="Guest","Guest: "&amp;INDEX('Guest Log'!$H:$H,Q654),""))</f>
        <v/>
      </c>
      <c r="Q654" t="str">
        <f>IFERROR(MATCH($A654,'Guest Log'!$L$4:$L$203,0)+3,"")</f>
        <v/>
      </c>
    </row>
    <row r="655" spans="1:17" ht="15" customHeight="1" x14ac:dyDescent="0.2">
      <c r="A655" s="22">
        <f>654</f>
        <v>654</v>
      </c>
      <c r="B655" s="22" t="str">
        <f>IF(C655="","",IF(C655="Match",INDEX('Match Log'!$A:$A,D655),IF(C655="Tournament",INDEX('Tournament Log'!$A:$A,E655),INDEX('Guest Log'!$A:$A,Q655))))</f>
        <v/>
      </c>
      <c r="C655" s="22" t="str">
        <f t="shared" si="50"/>
        <v/>
      </c>
      <c r="D655" s="39" t="str">
        <f>IFERROR(MATCH($A655,'Match Log'!$K$3:$K$501,0)+2,"")</f>
        <v/>
      </c>
      <c r="E655" s="39" t="str">
        <f>IFERROR(MATCH($A655,'Tournament Log'!$O$4:$O$203,0)+3,"")</f>
        <v/>
      </c>
      <c r="F655" s="22" t="str">
        <f>IF(C655="","",IF(C655="Match",INDEX('Match Log'!$B:$B,D655),IF(C655="Tournament",INDEX('Tournament Log'!$C:$C,E655),INDEX('Guest Log'!$B:$B,Q655))))</f>
        <v/>
      </c>
      <c r="G655" s="22" t="str">
        <f>IF(C655="","",IF(C655="Match",INDEX('Match Log'!$C:$C,D655),IF(C655="Tournament",INDEX('Tournament Log'!$B:$B,E655)&amp;" (Phantom)",INDEX('Guest Log'!$H:$H,Q655)&amp;" (Guest)")))</f>
        <v/>
      </c>
      <c r="H655" s="22" t="str">
        <f t="array" ref="H655">IF(C655="","",IFERROR(LOOKUP(2,1/(($F$1:F654=F655)+($G$1:G654=F655)),IF($F$1:F654=F655,$N$1:N654,$O$1:O654)),1000))</f>
        <v/>
      </c>
      <c r="I655" s="22" t="str">
        <f t="array" ref="I655">IF(C655="","",IF(C655="Tournament",INDEX('Tournament Log'!$J:$J,E655),IF(C655="Guest",IF(INDEX('Guest Log'!$I:$I,Q655)="",1000,INDEX('Guest Log'!$I:$I,Q655)),IFERROR(LOOKUP(2,1/(($F$1:F654=G655)+($G$1:G654=G655)),IF($F$1:F654=G655,$N$1:N654,$O$1:O654)),1000))))</f>
        <v/>
      </c>
      <c r="J655" s="22" t="str">
        <f t="shared" si="51"/>
        <v/>
      </c>
      <c r="K655" s="12" t="str">
        <f>IF(C655="","",IF(C655="Match",IF(INDEX('Match Log'!$D:$D,D655)="Win",1,IF(INDEX('Match Log'!$D:$D,D655)="Draw",0.5,0)),IF(C655="Tournament",INDEX('Tournament Log'!$K:$K,E655),IF(INDEX('Guest Log'!$C:$C,Q655)="Win",1,IF(INDEX('Guest Log'!$C:$C,Q655)="Draw",0.5,0)))))</f>
        <v/>
      </c>
      <c r="L655" s="12" t="str">
        <f>IF(C655="","",IF(C655="Match",32,IF(C655="Tournament",MIN(32*INDEX('Tournament Log'!$D:$D,E655),96),32)))</f>
        <v/>
      </c>
      <c r="M655" s="12" t="str">
        <f t="shared" si="52"/>
        <v/>
      </c>
      <c r="N655" s="12" t="str">
        <f t="shared" si="53"/>
        <v/>
      </c>
      <c r="O655" s="12" t="str">
        <f t="shared" si="54"/>
        <v/>
      </c>
      <c r="P655" s="12" t="str">
        <f>IF(C655="Tournament",INDEX('Tournament Log'!$B:$B,E655),IF(C655="Guest","Guest: "&amp;INDEX('Guest Log'!$H:$H,Q655),""))</f>
        <v/>
      </c>
      <c r="Q655" t="str">
        <f>IFERROR(MATCH($A655,'Guest Log'!$L$4:$L$203,0)+3,"")</f>
        <v/>
      </c>
    </row>
    <row r="656" spans="1:17" ht="15" customHeight="1" x14ac:dyDescent="0.2">
      <c r="A656" s="37">
        <f>655</f>
        <v>655</v>
      </c>
      <c r="B656" s="37" t="str">
        <f>IF(C656="","",IF(C656="Match",INDEX('Match Log'!$A:$A,D656),IF(C656="Tournament",INDEX('Tournament Log'!$A:$A,E656),INDEX('Guest Log'!$A:$A,Q656))))</f>
        <v/>
      </c>
      <c r="C656" s="37" t="str">
        <f t="shared" si="50"/>
        <v/>
      </c>
      <c r="D656" s="38" t="str">
        <f>IFERROR(MATCH($A656,'Match Log'!$K$3:$K$501,0)+2,"")</f>
        <v/>
      </c>
      <c r="E656" s="38" t="str">
        <f>IFERROR(MATCH($A656,'Tournament Log'!$O$4:$O$203,0)+3,"")</f>
        <v/>
      </c>
      <c r="F656" s="37" t="str">
        <f>IF(C656="","",IF(C656="Match",INDEX('Match Log'!$B:$B,D656),IF(C656="Tournament",INDEX('Tournament Log'!$C:$C,E656),INDEX('Guest Log'!$B:$B,Q656))))</f>
        <v/>
      </c>
      <c r="G656" s="37" t="str">
        <f>IF(C656="","",IF(C656="Match",INDEX('Match Log'!$C:$C,D656),IF(C656="Tournament",INDEX('Tournament Log'!$B:$B,E656)&amp;" (Phantom)",INDEX('Guest Log'!$H:$H,Q656)&amp;" (Guest)")))</f>
        <v/>
      </c>
      <c r="H656" s="37" t="str">
        <f t="array" ref="H656">IF(C656="","",IFERROR(LOOKUP(2,1/(($F$1:F655=F656)+($G$1:G655=F656)),IF($F$1:F655=F656,$N$1:N655,$O$1:O655)),1000))</f>
        <v/>
      </c>
      <c r="I656" s="37" t="str">
        <f t="array" ref="I656">IF(C656="","",IF(C656="Tournament",INDEX('Tournament Log'!$J:$J,E656),IF(C656="Guest",IF(INDEX('Guest Log'!$I:$I,Q656)="",1000,INDEX('Guest Log'!$I:$I,Q656)),IFERROR(LOOKUP(2,1/(($F$1:F655=G656)+($G$1:G655=G656)),IF($F$1:F655=G656,$N$1:N655,$O$1:O655)),1000))))</f>
        <v/>
      </c>
      <c r="J656" s="37" t="str">
        <f t="shared" si="51"/>
        <v/>
      </c>
      <c r="K656" s="12" t="str">
        <f>IF(C656="","",IF(C656="Match",IF(INDEX('Match Log'!$D:$D,D656)="Win",1,IF(INDEX('Match Log'!$D:$D,D656)="Draw",0.5,0)),IF(C656="Tournament",INDEX('Tournament Log'!$K:$K,E656),IF(INDEX('Guest Log'!$C:$C,Q656)="Win",1,IF(INDEX('Guest Log'!$C:$C,Q656)="Draw",0.5,0)))))</f>
        <v/>
      </c>
      <c r="L656" s="12" t="str">
        <f>IF(C656="","",IF(C656="Match",32,IF(C656="Tournament",MIN(32*INDEX('Tournament Log'!$D:$D,E656),96),32)))</f>
        <v/>
      </c>
      <c r="M656" s="12" t="str">
        <f t="shared" si="52"/>
        <v/>
      </c>
      <c r="N656" s="12" t="str">
        <f t="shared" si="53"/>
        <v/>
      </c>
      <c r="O656" s="12" t="str">
        <f t="shared" si="54"/>
        <v/>
      </c>
      <c r="P656" s="12" t="str">
        <f>IF(C656="Tournament",INDEX('Tournament Log'!$B:$B,E656),IF(C656="Guest","Guest: "&amp;INDEX('Guest Log'!$H:$H,Q656),""))</f>
        <v/>
      </c>
      <c r="Q656" t="str">
        <f>IFERROR(MATCH($A656,'Guest Log'!$L$4:$L$203,0)+3,"")</f>
        <v/>
      </c>
    </row>
    <row r="657" spans="1:17" ht="15" customHeight="1" x14ac:dyDescent="0.2">
      <c r="A657" s="22">
        <f>656</f>
        <v>656</v>
      </c>
      <c r="B657" s="22" t="str">
        <f>IF(C657="","",IF(C657="Match",INDEX('Match Log'!$A:$A,D657),IF(C657="Tournament",INDEX('Tournament Log'!$A:$A,E657),INDEX('Guest Log'!$A:$A,Q657))))</f>
        <v/>
      </c>
      <c r="C657" s="22" t="str">
        <f t="shared" si="50"/>
        <v/>
      </c>
      <c r="D657" s="39" t="str">
        <f>IFERROR(MATCH($A657,'Match Log'!$K$3:$K$501,0)+2,"")</f>
        <v/>
      </c>
      <c r="E657" s="39" t="str">
        <f>IFERROR(MATCH($A657,'Tournament Log'!$O$4:$O$203,0)+3,"")</f>
        <v/>
      </c>
      <c r="F657" s="22" t="str">
        <f>IF(C657="","",IF(C657="Match",INDEX('Match Log'!$B:$B,D657),IF(C657="Tournament",INDEX('Tournament Log'!$C:$C,E657),INDEX('Guest Log'!$B:$B,Q657))))</f>
        <v/>
      </c>
      <c r="G657" s="22" t="str">
        <f>IF(C657="","",IF(C657="Match",INDEX('Match Log'!$C:$C,D657),IF(C657="Tournament",INDEX('Tournament Log'!$B:$B,E657)&amp;" (Phantom)",INDEX('Guest Log'!$H:$H,Q657)&amp;" (Guest)")))</f>
        <v/>
      </c>
      <c r="H657" s="22" t="str">
        <f t="array" ref="H657">IF(C657="","",IFERROR(LOOKUP(2,1/(($F$1:F656=F657)+($G$1:G656=F657)),IF($F$1:F656=F657,$N$1:N656,$O$1:O656)),1000))</f>
        <v/>
      </c>
      <c r="I657" s="22" t="str">
        <f t="array" ref="I657">IF(C657="","",IF(C657="Tournament",INDEX('Tournament Log'!$J:$J,E657),IF(C657="Guest",IF(INDEX('Guest Log'!$I:$I,Q657)="",1000,INDEX('Guest Log'!$I:$I,Q657)),IFERROR(LOOKUP(2,1/(($F$1:F656=G657)+($G$1:G656=G657)),IF($F$1:F656=G657,$N$1:N656,$O$1:O656)),1000))))</f>
        <v/>
      </c>
      <c r="J657" s="22" t="str">
        <f t="shared" si="51"/>
        <v/>
      </c>
      <c r="K657" s="12" t="str">
        <f>IF(C657="","",IF(C657="Match",IF(INDEX('Match Log'!$D:$D,D657)="Win",1,IF(INDEX('Match Log'!$D:$D,D657)="Draw",0.5,0)),IF(C657="Tournament",INDEX('Tournament Log'!$K:$K,E657),IF(INDEX('Guest Log'!$C:$C,Q657)="Win",1,IF(INDEX('Guest Log'!$C:$C,Q657)="Draw",0.5,0)))))</f>
        <v/>
      </c>
      <c r="L657" s="12" t="str">
        <f>IF(C657="","",IF(C657="Match",32,IF(C657="Tournament",MIN(32*INDEX('Tournament Log'!$D:$D,E657),96),32)))</f>
        <v/>
      </c>
      <c r="M657" s="12" t="str">
        <f t="shared" si="52"/>
        <v/>
      </c>
      <c r="N657" s="12" t="str">
        <f t="shared" si="53"/>
        <v/>
      </c>
      <c r="O657" s="12" t="str">
        <f t="shared" si="54"/>
        <v/>
      </c>
      <c r="P657" s="12" t="str">
        <f>IF(C657="Tournament",INDEX('Tournament Log'!$B:$B,E657),IF(C657="Guest","Guest: "&amp;INDEX('Guest Log'!$H:$H,Q657),""))</f>
        <v/>
      </c>
      <c r="Q657" t="str">
        <f>IFERROR(MATCH($A657,'Guest Log'!$L$4:$L$203,0)+3,"")</f>
        <v/>
      </c>
    </row>
    <row r="658" spans="1:17" ht="15" customHeight="1" x14ac:dyDescent="0.2">
      <c r="A658" s="37">
        <f>657</f>
        <v>657</v>
      </c>
      <c r="B658" s="37" t="str">
        <f>IF(C658="","",IF(C658="Match",INDEX('Match Log'!$A:$A,D658),IF(C658="Tournament",INDEX('Tournament Log'!$A:$A,E658),INDEX('Guest Log'!$A:$A,Q658))))</f>
        <v/>
      </c>
      <c r="C658" s="37" t="str">
        <f t="shared" si="50"/>
        <v/>
      </c>
      <c r="D658" s="38" t="str">
        <f>IFERROR(MATCH($A658,'Match Log'!$K$3:$K$501,0)+2,"")</f>
        <v/>
      </c>
      <c r="E658" s="38" t="str">
        <f>IFERROR(MATCH($A658,'Tournament Log'!$O$4:$O$203,0)+3,"")</f>
        <v/>
      </c>
      <c r="F658" s="37" t="str">
        <f>IF(C658="","",IF(C658="Match",INDEX('Match Log'!$B:$B,D658),IF(C658="Tournament",INDEX('Tournament Log'!$C:$C,E658),INDEX('Guest Log'!$B:$B,Q658))))</f>
        <v/>
      </c>
      <c r="G658" s="37" t="str">
        <f>IF(C658="","",IF(C658="Match",INDEX('Match Log'!$C:$C,D658),IF(C658="Tournament",INDEX('Tournament Log'!$B:$B,E658)&amp;" (Phantom)",INDEX('Guest Log'!$H:$H,Q658)&amp;" (Guest)")))</f>
        <v/>
      </c>
      <c r="H658" s="37" t="str">
        <f t="array" ref="H658">IF(C658="","",IFERROR(LOOKUP(2,1/(($F$1:F657=F658)+($G$1:G657=F658)),IF($F$1:F657=F658,$N$1:N657,$O$1:O657)),1000))</f>
        <v/>
      </c>
      <c r="I658" s="37" t="str">
        <f t="array" ref="I658">IF(C658="","",IF(C658="Tournament",INDEX('Tournament Log'!$J:$J,E658),IF(C658="Guest",IF(INDEX('Guest Log'!$I:$I,Q658)="",1000,INDEX('Guest Log'!$I:$I,Q658)),IFERROR(LOOKUP(2,1/(($F$1:F657=G658)+($G$1:G657=G658)),IF($F$1:F657=G658,$N$1:N657,$O$1:O657)),1000))))</f>
        <v/>
      </c>
      <c r="J658" s="37" t="str">
        <f t="shared" si="51"/>
        <v/>
      </c>
      <c r="K658" s="12" t="str">
        <f>IF(C658="","",IF(C658="Match",IF(INDEX('Match Log'!$D:$D,D658)="Win",1,IF(INDEX('Match Log'!$D:$D,D658)="Draw",0.5,0)),IF(C658="Tournament",INDEX('Tournament Log'!$K:$K,E658),IF(INDEX('Guest Log'!$C:$C,Q658)="Win",1,IF(INDEX('Guest Log'!$C:$C,Q658)="Draw",0.5,0)))))</f>
        <v/>
      </c>
      <c r="L658" s="12" t="str">
        <f>IF(C658="","",IF(C658="Match",32,IF(C658="Tournament",MIN(32*INDEX('Tournament Log'!$D:$D,E658),96),32)))</f>
        <v/>
      </c>
      <c r="M658" s="12" t="str">
        <f t="shared" si="52"/>
        <v/>
      </c>
      <c r="N658" s="12" t="str">
        <f t="shared" si="53"/>
        <v/>
      </c>
      <c r="O658" s="12" t="str">
        <f t="shared" si="54"/>
        <v/>
      </c>
      <c r="P658" s="12" t="str">
        <f>IF(C658="Tournament",INDEX('Tournament Log'!$B:$B,E658),IF(C658="Guest","Guest: "&amp;INDEX('Guest Log'!$H:$H,Q658),""))</f>
        <v/>
      </c>
      <c r="Q658" t="str">
        <f>IFERROR(MATCH($A658,'Guest Log'!$L$4:$L$203,0)+3,"")</f>
        <v/>
      </c>
    </row>
    <row r="659" spans="1:17" ht="15" customHeight="1" x14ac:dyDescent="0.2">
      <c r="A659" s="22">
        <f>658</f>
        <v>658</v>
      </c>
      <c r="B659" s="22" t="str">
        <f>IF(C659="","",IF(C659="Match",INDEX('Match Log'!$A:$A,D659),IF(C659="Tournament",INDEX('Tournament Log'!$A:$A,E659),INDEX('Guest Log'!$A:$A,Q659))))</f>
        <v/>
      </c>
      <c r="C659" s="22" t="str">
        <f t="shared" si="50"/>
        <v/>
      </c>
      <c r="D659" s="39" t="str">
        <f>IFERROR(MATCH($A659,'Match Log'!$K$3:$K$501,0)+2,"")</f>
        <v/>
      </c>
      <c r="E659" s="39" t="str">
        <f>IFERROR(MATCH($A659,'Tournament Log'!$O$4:$O$203,0)+3,"")</f>
        <v/>
      </c>
      <c r="F659" s="22" t="str">
        <f>IF(C659="","",IF(C659="Match",INDEX('Match Log'!$B:$B,D659),IF(C659="Tournament",INDEX('Tournament Log'!$C:$C,E659),INDEX('Guest Log'!$B:$B,Q659))))</f>
        <v/>
      </c>
      <c r="G659" s="22" t="str">
        <f>IF(C659="","",IF(C659="Match",INDEX('Match Log'!$C:$C,D659),IF(C659="Tournament",INDEX('Tournament Log'!$B:$B,E659)&amp;" (Phantom)",INDEX('Guest Log'!$H:$H,Q659)&amp;" (Guest)")))</f>
        <v/>
      </c>
      <c r="H659" s="22" t="str">
        <f t="array" ref="H659">IF(C659="","",IFERROR(LOOKUP(2,1/(($F$1:F658=F659)+($G$1:G658=F659)),IF($F$1:F658=F659,$N$1:N658,$O$1:O658)),1000))</f>
        <v/>
      </c>
      <c r="I659" s="22" t="str">
        <f t="array" ref="I659">IF(C659="","",IF(C659="Tournament",INDEX('Tournament Log'!$J:$J,E659),IF(C659="Guest",IF(INDEX('Guest Log'!$I:$I,Q659)="",1000,INDEX('Guest Log'!$I:$I,Q659)),IFERROR(LOOKUP(2,1/(($F$1:F658=G659)+($G$1:G658=G659)),IF($F$1:F658=G659,$N$1:N658,$O$1:O658)),1000))))</f>
        <v/>
      </c>
      <c r="J659" s="22" t="str">
        <f t="shared" si="51"/>
        <v/>
      </c>
      <c r="K659" s="12" t="str">
        <f>IF(C659="","",IF(C659="Match",IF(INDEX('Match Log'!$D:$D,D659)="Win",1,IF(INDEX('Match Log'!$D:$D,D659)="Draw",0.5,0)),IF(C659="Tournament",INDEX('Tournament Log'!$K:$K,E659),IF(INDEX('Guest Log'!$C:$C,Q659)="Win",1,IF(INDEX('Guest Log'!$C:$C,Q659)="Draw",0.5,0)))))</f>
        <v/>
      </c>
      <c r="L659" s="12" t="str">
        <f>IF(C659="","",IF(C659="Match",32,IF(C659="Tournament",MIN(32*INDEX('Tournament Log'!$D:$D,E659),96),32)))</f>
        <v/>
      </c>
      <c r="M659" s="12" t="str">
        <f t="shared" si="52"/>
        <v/>
      </c>
      <c r="N659" s="12" t="str">
        <f t="shared" si="53"/>
        <v/>
      </c>
      <c r="O659" s="12" t="str">
        <f t="shared" si="54"/>
        <v/>
      </c>
      <c r="P659" s="12" t="str">
        <f>IF(C659="Tournament",INDEX('Tournament Log'!$B:$B,E659),IF(C659="Guest","Guest: "&amp;INDEX('Guest Log'!$H:$H,Q659),""))</f>
        <v/>
      </c>
      <c r="Q659" t="str">
        <f>IFERROR(MATCH($A659,'Guest Log'!$L$4:$L$203,0)+3,"")</f>
        <v/>
      </c>
    </row>
    <row r="660" spans="1:17" ht="15" customHeight="1" x14ac:dyDescent="0.2">
      <c r="A660" s="37">
        <f>659</f>
        <v>659</v>
      </c>
      <c r="B660" s="37" t="str">
        <f>IF(C660="","",IF(C660="Match",INDEX('Match Log'!$A:$A,D660),IF(C660="Tournament",INDEX('Tournament Log'!$A:$A,E660),INDEX('Guest Log'!$A:$A,Q660))))</f>
        <v/>
      </c>
      <c r="C660" s="37" t="str">
        <f t="shared" si="50"/>
        <v/>
      </c>
      <c r="D660" s="38" t="str">
        <f>IFERROR(MATCH($A660,'Match Log'!$K$3:$K$501,0)+2,"")</f>
        <v/>
      </c>
      <c r="E660" s="38" t="str">
        <f>IFERROR(MATCH($A660,'Tournament Log'!$O$4:$O$203,0)+3,"")</f>
        <v/>
      </c>
      <c r="F660" s="37" t="str">
        <f>IF(C660="","",IF(C660="Match",INDEX('Match Log'!$B:$B,D660),IF(C660="Tournament",INDEX('Tournament Log'!$C:$C,E660),INDEX('Guest Log'!$B:$B,Q660))))</f>
        <v/>
      </c>
      <c r="G660" s="37" t="str">
        <f>IF(C660="","",IF(C660="Match",INDEX('Match Log'!$C:$C,D660),IF(C660="Tournament",INDEX('Tournament Log'!$B:$B,E660)&amp;" (Phantom)",INDEX('Guest Log'!$H:$H,Q660)&amp;" (Guest)")))</f>
        <v/>
      </c>
      <c r="H660" s="37" t="str">
        <f t="array" ref="H660">IF(C660="","",IFERROR(LOOKUP(2,1/(($F$1:F659=F660)+($G$1:G659=F660)),IF($F$1:F659=F660,$N$1:N659,$O$1:O659)),1000))</f>
        <v/>
      </c>
      <c r="I660" s="37" t="str">
        <f t="array" ref="I660">IF(C660="","",IF(C660="Tournament",INDEX('Tournament Log'!$J:$J,E660),IF(C660="Guest",IF(INDEX('Guest Log'!$I:$I,Q660)="",1000,INDEX('Guest Log'!$I:$I,Q660)),IFERROR(LOOKUP(2,1/(($F$1:F659=G660)+($G$1:G659=G660)),IF($F$1:F659=G660,$N$1:N659,$O$1:O659)),1000))))</f>
        <v/>
      </c>
      <c r="J660" s="37" t="str">
        <f t="shared" si="51"/>
        <v/>
      </c>
      <c r="K660" s="12" t="str">
        <f>IF(C660="","",IF(C660="Match",IF(INDEX('Match Log'!$D:$D,D660)="Win",1,IF(INDEX('Match Log'!$D:$D,D660)="Draw",0.5,0)),IF(C660="Tournament",INDEX('Tournament Log'!$K:$K,E660),IF(INDEX('Guest Log'!$C:$C,Q660)="Win",1,IF(INDEX('Guest Log'!$C:$C,Q660)="Draw",0.5,0)))))</f>
        <v/>
      </c>
      <c r="L660" s="12" t="str">
        <f>IF(C660="","",IF(C660="Match",32,IF(C660="Tournament",MIN(32*INDEX('Tournament Log'!$D:$D,E660),96),32)))</f>
        <v/>
      </c>
      <c r="M660" s="12" t="str">
        <f t="shared" si="52"/>
        <v/>
      </c>
      <c r="N660" s="12" t="str">
        <f t="shared" si="53"/>
        <v/>
      </c>
      <c r="O660" s="12" t="str">
        <f t="shared" si="54"/>
        <v/>
      </c>
      <c r="P660" s="12" t="str">
        <f>IF(C660="Tournament",INDEX('Tournament Log'!$B:$B,E660),IF(C660="Guest","Guest: "&amp;INDEX('Guest Log'!$H:$H,Q660),""))</f>
        <v/>
      </c>
      <c r="Q660" t="str">
        <f>IFERROR(MATCH($A660,'Guest Log'!$L$4:$L$203,0)+3,"")</f>
        <v/>
      </c>
    </row>
    <row r="661" spans="1:17" ht="15" customHeight="1" x14ac:dyDescent="0.2">
      <c r="A661" s="22">
        <f>660</f>
        <v>660</v>
      </c>
      <c r="B661" s="22" t="str">
        <f>IF(C661="","",IF(C661="Match",INDEX('Match Log'!$A:$A,D661),IF(C661="Tournament",INDEX('Tournament Log'!$A:$A,E661),INDEX('Guest Log'!$A:$A,Q661))))</f>
        <v/>
      </c>
      <c r="C661" s="22" t="str">
        <f t="shared" si="50"/>
        <v/>
      </c>
      <c r="D661" s="39" t="str">
        <f>IFERROR(MATCH($A661,'Match Log'!$K$3:$K$501,0)+2,"")</f>
        <v/>
      </c>
      <c r="E661" s="39" t="str">
        <f>IFERROR(MATCH($A661,'Tournament Log'!$O$4:$O$203,0)+3,"")</f>
        <v/>
      </c>
      <c r="F661" s="22" t="str">
        <f>IF(C661="","",IF(C661="Match",INDEX('Match Log'!$B:$B,D661),IF(C661="Tournament",INDEX('Tournament Log'!$C:$C,E661),INDEX('Guest Log'!$B:$B,Q661))))</f>
        <v/>
      </c>
      <c r="G661" s="22" t="str">
        <f>IF(C661="","",IF(C661="Match",INDEX('Match Log'!$C:$C,D661),IF(C661="Tournament",INDEX('Tournament Log'!$B:$B,E661)&amp;" (Phantom)",INDEX('Guest Log'!$H:$H,Q661)&amp;" (Guest)")))</f>
        <v/>
      </c>
      <c r="H661" s="22" t="str">
        <f t="array" ref="H661">IF(C661="","",IFERROR(LOOKUP(2,1/(($F$1:F660=F661)+($G$1:G660=F661)),IF($F$1:F660=F661,$N$1:N660,$O$1:O660)),1000))</f>
        <v/>
      </c>
      <c r="I661" s="22" t="str">
        <f t="array" ref="I661">IF(C661="","",IF(C661="Tournament",INDEX('Tournament Log'!$J:$J,E661),IF(C661="Guest",IF(INDEX('Guest Log'!$I:$I,Q661)="",1000,INDEX('Guest Log'!$I:$I,Q661)),IFERROR(LOOKUP(2,1/(($F$1:F660=G661)+($G$1:G660=G661)),IF($F$1:F660=G661,$N$1:N660,$O$1:O660)),1000))))</f>
        <v/>
      </c>
      <c r="J661" s="22" t="str">
        <f t="shared" si="51"/>
        <v/>
      </c>
      <c r="K661" s="12" t="str">
        <f>IF(C661="","",IF(C661="Match",IF(INDEX('Match Log'!$D:$D,D661)="Win",1,IF(INDEX('Match Log'!$D:$D,D661)="Draw",0.5,0)),IF(C661="Tournament",INDEX('Tournament Log'!$K:$K,E661),IF(INDEX('Guest Log'!$C:$C,Q661)="Win",1,IF(INDEX('Guest Log'!$C:$C,Q661)="Draw",0.5,0)))))</f>
        <v/>
      </c>
      <c r="L661" s="12" t="str">
        <f>IF(C661="","",IF(C661="Match",32,IF(C661="Tournament",MIN(32*INDEX('Tournament Log'!$D:$D,E661),96),32)))</f>
        <v/>
      </c>
      <c r="M661" s="12" t="str">
        <f t="shared" si="52"/>
        <v/>
      </c>
      <c r="N661" s="12" t="str">
        <f t="shared" si="53"/>
        <v/>
      </c>
      <c r="O661" s="12" t="str">
        <f t="shared" si="54"/>
        <v/>
      </c>
      <c r="P661" s="12" t="str">
        <f>IF(C661="Tournament",INDEX('Tournament Log'!$B:$B,E661),IF(C661="Guest","Guest: "&amp;INDEX('Guest Log'!$H:$H,Q661),""))</f>
        <v/>
      </c>
      <c r="Q661" t="str">
        <f>IFERROR(MATCH($A661,'Guest Log'!$L$4:$L$203,0)+3,"")</f>
        <v/>
      </c>
    </row>
    <row r="662" spans="1:17" ht="15" customHeight="1" x14ac:dyDescent="0.2">
      <c r="A662" s="37">
        <f>661</f>
        <v>661</v>
      </c>
      <c r="B662" s="37" t="str">
        <f>IF(C662="","",IF(C662="Match",INDEX('Match Log'!$A:$A,D662),IF(C662="Tournament",INDEX('Tournament Log'!$A:$A,E662),INDEX('Guest Log'!$A:$A,Q662))))</f>
        <v/>
      </c>
      <c r="C662" s="37" t="str">
        <f t="shared" si="50"/>
        <v/>
      </c>
      <c r="D662" s="38" t="str">
        <f>IFERROR(MATCH($A662,'Match Log'!$K$3:$K$501,0)+2,"")</f>
        <v/>
      </c>
      <c r="E662" s="38" t="str">
        <f>IFERROR(MATCH($A662,'Tournament Log'!$O$4:$O$203,0)+3,"")</f>
        <v/>
      </c>
      <c r="F662" s="37" t="str">
        <f>IF(C662="","",IF(C662="Match",INDEX('Match Log'!$B:$B,D662),IF(C662="Tournament",INDEX('Tournament Log'!$C:$C,E662),INDEX('Guest Log'!$B:$B,Q662))))</f>
        <v/>
      </c>
      <c r="G662" s="37" t="str">
        <f>IF(C662="","",IF(C662="Match",INDEX('Match Log'!$C:$C,D662),IF(C662="Tournament",INDEX('Tournament Log'!$B:$B,E662)&amp;" (Phantom)",INDEX('Guest Log'!$H:$H,Q662)&amp;" (Guest)")))</f>
        <v/>
      </c>
      <c r="H662" s="37" t="str">
        <f t="array" ref="H662">IF(C662="","",IFERROR(LOOKUP(2,1/(($F$1:F661=F662)+($G$1:G661=F662)),IF($F$1:F661=F662,$N$1:N661,$O$1:O661)),1000))</f>
        <v/>
      </c>
      <c r="I662" s="37" t="str">
        <f t="array" ref="I662">IF(C662="","",IF(C662="Tournament",INDEX('Tournament Log'!$J:$J,E662),IF(C662="Guest",IF(INDEX('Guest Log'!$I:$I,Q662)="",1000,INDEX('Guest Log'!$I:$I,Q662)),IFERROR(LOOKUP(2,1/(($F$1:F661=G662)+($G$1:G661=G662)),IF($F$1:F661=G662,$N$1:N661,$O$1:O661)),1000))))</f>
        <v/>
      </c>
      <c r="J662" s="37" t="str">
        <f t="shared" si="51"/>
        <v/>
      </c>
      <c r="K662" s="12" t="str">
        <f>IF(C662="","",IF(C662="Match",IF(INDEX('Match Log'!$D:$D,D662)="Win",1,IF(INDEX('Match Log'!$D:$D,D662)="Draw",0.5,0)),IF(C662="Tournament",INDEX('Tournament Log'!$K:$K,E662),IF(INDEX('Guest Log'!$C:$C,Q662)="Win",1,IF(INDEX('Guest Log'!$C:$C,Q662)="Draw",0.5,0)))))</f>
        <v/>
      </c>
      <c r="L662" s="12" t="str">
        <f>IF(C662="","",IF(C662="Match",32,IF(C662="Tournament",MIN(32*INDEX('Tournament Log'!$D:$D,E662),96),32)))</f>
        <v/>
      </c>
      <c r="M662" s="12" t="str">
        <f t="shared" si="52"/>
        <v/>
      </c>
      <c r="N662" s="12" t="str">
        <f t="shared" si="53"/>
        <v/>
      </c>
      <c r="O662" s="12" t="str">
        <f t="shared" si="54"/>
        <v/>
      </c>
      <c r="P662" s="12" t="str">
        <f>IF(C662="Tournament",INDEX('Tournament Log'!$B:$B,E662),IF(C662="Guest","Guest: "&amp;INDEX('Guest Log'!$H:$H,Q662),""))</f>
        <v/>
      </c>
      <c r="Q662" t="str">
        <f>IFERROR(MATCH($A662,'Guest Log'!$L$4:$L$203,0)+3,"")</f>
        <v/>
      </c>
    </row>
    <row r="663" spans="1:17" ht="15" customHeight="1" x14ac:dyDescent="0.2">
      <c r="A663" s="22">
        <f>662</f>
        <v>662</v>
      </c>
      <c r="B663" s="22" t="str">
        <f>IF(C663="","",IF(C663="Match",INDEX('Match Log'!$A:$A,D663),IF(C663="Tournament",INDEX('Tournament Log'!$A:$A,E663),INDEX('Guest Log'!$A:$A,Q663))))</f>
        <v/>
      </c>
      <c r="C663" s="22" t="str">
        <f t="shared" si="50"/>
        <v/>
      </c>
      <c r="D663" s="39" t="str">
        <f>IFERROR(MATCH($A663,'Match Log'!$K$3:$K$501,0)+2,"")</f>
        <v/>
      </c>
      <c r="E663" s="39" t="str">
        <f>IFERROR(MATCH($A663,'Tournament Log'!$O$4:$O$203,0)+3,"")</f>
        <v/>
      </c>
      <c r="F663" s="22" t="str">
        <f>IF(C663="","",IF(C663="Match",INDEX('Match Log'!$B:$B,D663),IF(C663="Tournament",INDEX('Tournament Log'!$C:$C,E663),INDEX('Guest Log'!$B:$B,Q663))))</f>
        <v/>
      </c>
      <c r="G663" s="22" t="str">
        <f>IF(C663="","",IF(C663="Match",INDEX('Match Log'!$C:$C,D663),IF(C663="Tournament",INDEX('Tournament Log'!$B:$B,E663)&amp;" (Phantom)",INDEX('Guest Log'!$H:$H,Q663)&amp;" (Guest)")))</f>
        <v/>
      </c>
      <c r="H663" s="22" t="str">
        <f t="array" ref="H663">IF(C663="","",IFERROR(LOOKUP(2,1/(($F$1:F662=F663)+($G$1:G662=F663)),IF($F$1:F662=F663,$N$1:N662,$O$1:O662)),1000))</f>
        <v/>
      </c>
      <c r="I663" s="22" t="str">
        <f t="array" ref="I663">IF(C663="","",IF(C663="Tournament",INDEX('Tournament Log'!$J:$J,E663),IF(C663="Guest",IF(INDEX('Guest Log'!$I:$I,Q663)="",1000,INDEX('Guest Log'!$I:$I,Q663)),IFERROR(LOOKUP(2,1/(($F$1:F662=G663)+($G$1:G662=G663)),IF($F$1:F662=G663,$N$1:N662,$O$1:O662)),1000))))</f>
        <v/>
      </c>
      <c r="J663" s="22" t="str">
        <f t="shared" si="51"/>
        <v/>
      </c>
      <c r="K663" s="12" t="str">
        <f>IF(C663="","",IF(C663="Match",IF(INDEX('Match Log'!$D:$D,D663)="Win",1,IF(INDEX('Match Log'!$D:$D,D663)="Draw",0.5,0)),IF(C663="Tournament",INDEX('Tournament Log'!$K:$K,E663),IF(INDEX('Guest Log'!$C:$C,Q663)="Win",1,IF(INDEX('Guest Log'!$C:$C,Q663)="Draw",0.5,0)))))</f>
        <v/>
      </c>
      <c r="L663" s="12" t="str">
        <f>IF(C663="","",IF(C663="Match",32,IF(C663="Tournament",MIN(32*INDEX('Tournament Log'!$D:$D,E663),96),32)))</f>
        <v/>
      </c>
      <c r="M663" s="12" t="str">
        <f t="shared" si="52"/>
        <v/>
      </c>
      <c r="N663" s="12" t="str">
        <f t="shared" si="53"/>
        <v/>
      </c>
      <c r="O663" s="12" t="str">
        <f t="shared" si="54"/>
        <v/>
      </c>
      <c r="P663" s="12" t="str">
        <f>IF(C663="Tournament",INDEX('Tournament Log'!$B:$B,E663),IF(C663="Guest","Guest: "&amp;INDEX('Guest Log'!$H:$H,Q663),""))</f>
        <v/>
      </c>
      <c r="Q663" t="str">
        <f>IFERROR(MATCH($A663,'Guest Log'!$L$4:$L$203,0)+3,"")</f>
        <v/>
      </c>
    </row>
    <row r="664" spans="1:17" ht="15" customHeight="1" x14ac:dyDescent="0.2">
      <c r="A664" s="37">
        <f>663</f>
        <v>663</v>
      </c>
      <c r="B664" s="37" t="str">
        <f>IF(C664="","",IF(C664="Match",INDEX('Match Log'!$A:$A,D664),IF(C664="Tournament",INDEX('Tournament Log'!$A:$A,E664),INDEX('Guest Log'!$A:$A,Q664))))</f>
        <v/>
      </c>
      <c r="C664" s="37" t="str">
        <f t="shared" si="50"/>
        <v/>
      </c>
      <c r="D664" s="38" t="str">
        <f>IFERROR(MATCH($A664,'Match Log'!$K$3:$K$501,0)+2,"")</f>
        <v/>
      </c>
      <c r="E664" s="38" t="str">
        <f>IFERROR(MATCH($A664,'Tournament Log'!$O$4:$O$203,0)+3,"")</f>
        <v/>
      </c>
      <c r="F664" s="37" t="str">
        <f>IF(C664="","",IF(C664="Match",INDEX('Match Log'!$B:$B,D664),IF(C664="Tournament",INDEX('Tournament Log'!$C:$C,E664),INDEX('Guest Log'!$B:$B,Q664))))</f>
        <v/>
      </c>
      <c r="G664" s="37" t="str">
        <f>IF(C664="","",IF(C664="Match",INDEX('Match Log'!$C:$C,D664),IF(C664="Tournament",INDEX('Tournament Log'!$B:$B,E664)&amp;" (Phantom)",INDEX('Guest Log'!$H:$H,Q664)&amp;" (Guest)")))</f>
        <v/>
      </c>
      <c r="H664" s="37" t="str">
        <f t="array" ref="H664">IF(C664="","",IFERROR(LOOKUP(2,1/(($F$1:F663=F664)+($G$1:G663=F664)),IF($F$1:F663=F664,$N$1:N663,$O$1:O663)),1000))</f>
        <v/>
      </c>
      <c r="I664" s="37" t="str">
        <f t="array" ref="I664">IF(C664="","",IF(C664="Tournament",INDEX('Tournament Log'!$J:$J,E664),IF(C664="Guest",IF(INDEX('Guest Log'!$I:$I,Q664)="",1000,INDEX('Guest Log'!$I:$I,Q664)),IFERROR(LOOKUP(2,1/(($F$1:F663=G664)+($G$1:G663=G664)),IF($F$1:F663=G664,$N$1:N663,$O$1:O663)),1000))))</f>
        <v/>
      </c>
      <c r="J664" s="37" t="str">
        <f t="shared" si="51"/>
        <v/>
      </c>
      <c r="K664" s="12" t="str">
        <f>IF(C664="","",IF(C664="Match",IF(INDEX('Match Log'!$D:$D,D664)="Win",1,IF(INDEX('Match Log'!$D:$D,D664)="Draw",0.5,0)),IF(C664="Tournament",INDEX('Tournament Log'!$K:$K,E664),IF(INDEX('Guest Log'!$C:$C,Q664)="Win",1,IF(INDEX('Guest Log'!$C:$C,Q664)="Draw",0.5,0)))))</f>
        <v/>
      </c>
      <c r="L664" s="12" t="str">
        <f>IF(C664="","",IF(C664="Match",32,IF(C664="Tournament",MIN(32*INDEX('Tournament Log'!$D:$D,E664),96),32)))</f>
        <v/>
      </c>
      <c r="M664" s="12" t="str">
        <f t="shared" si="52"/>
        <v/>
      </c>
      <c r="N664" s="12" t="str">
        <f t="shared" si="53"/>
        <v/>
      </c>
      <c r="O664" s="12" t="str">
        <f t="shared" si="54"/>
        <v/>
      </c>
      <c r="P664" s="12" t="str">
        <f>IF(C664="Tournament",INDEX('Tournament Log'!$B:$B,E664),IF(C664="Guest","Guest: "&amp;INDEX('Guest Log'!$H:$H,Q664),""))</f>
        <v/>
      </c>
      <c r="Q664" t="str">
        <f>IFERROR(MATCH($A664,'Guest Log'!$L$4:$L$203,0)+3,"")</f>
        <v/>
      </c>
    </row>
    <row r="665" spans="1:17" ht="15" customHeight="1" x14ac:dyDescent="0.2">
      <c r="A665" s="22">
        <f>664</f>
        <v>664</v>
      </c>
      <c r="B665" s="22" t="str">
        <f>IF(C665="","",IF(C665="Match",INDEX('Match Log'!$A:$A,D665),IF(C665="Tournament",INDEX('Tournament Log'!$A:$A,E665),INDEX('Guest Log'!$A:$A,Q665))))</f>
        <v/>
      </c>
      <c r="C665" s="22" t="str">
        <f t="shared" si="50"/>
        <v/>
      </c>
      <c r="D665" s="39" t="str">
        <f>IFERROR(MATCH($A665,'Match Log'!$K$3:$K$501,0)+2,"")</f>
        <v/>
      </c>
      <c r="E665" s="39" t="str">
        <f>IFERROR(MATCH($A665,'Tournament Log'!$O$4:$O$203,0)+3,"")</f>
        <v/>
      </c>
      <c r="F665" s="22" t="str">
        <f>IF(C665="","",IF(C665="Match",INDEX('Match Log'!$B:$B,D665),IF(C665="Tournament",INDEX('Tournament Log'!$C:$C,E665),INDEX('Guest Log'!$B:$B,Q665))))</f>
        <v/>
      </c>
      <c r="G665" s="22" t="str">
        <f>IF(C665="","",IF(C665="Match",INDEX('Match Log'!$C:$C,D665),IF(C665="Tournament",INDEX('Tournament Log'!$B:$B,E665)&amp;" (Phantom)",INDEX('Guest Log'!$H:$H,Q665)&amp;" (Guest)")))</f>
        <v/>
      </c>
      <c r="H665" s="22" t="str">
        <f t="array" ref="H665">IF(C665="","",IFERROR(LOOKUP(2,1/(($F$1:F664=F665)+($G$1:G664=F665)),IF($F$1:F664=F665,$N$1:N664,$O$1:O664)),1000))</f>
        <v/>
      </c>
      <c r="I665" s="22" t="str">
        <f t="array" ref="I665">IF(C665="","",IF(C665="Tournament",INDEX('Tournament Log'!$J:$J,E665),IF(C665="Guest",IF(INDEX('Guest Log'!$I:$I,Q665)="",1000,INDEX('Guest Log'!$I:$I,Q665)),IFERROR(LOOKUP(2,1/(($F$1:F664=G665)+($G$1:G664=G665)),IF($F$1:F664=G665,$N$1:N664,$O$1:O664)),1000))))</f>
        <v/>
      </c>
      <c r="J665" s="22" t="str">
        <f t="shared" si="51"/>
        <v/>
      </c>
      <c r="K665" s="12" t="str">
        <f>IF(C665="","",IF(C665="Match",IF(INDEX('Match Log'!$D:$D,D665)="Win",1,IF(INDEX('Match Log'!$D:$D,D665)="Draw",0.5,0)),IF(C665="Tournament",INDEX('Tournament Log'!$K:$K,E665),IF(INDEX('Guest Log'!$C:$C,Q665)="Win",1,IF(INDEX('Guest Log'!$C:$C,Q665)="Draw",0.5,0)))))</f>
        <v/>
      </c>
      <c r="L665" s="12" t="str">
        <f>IF(C665="","",IF(C665="Match",32,IF(C665="Tournament",MIN(32*INDEX('Tournament Log'!$D:$D,E665),96),32)))</f>
        <v/>
      </c>
      <c r="M665" s="12" t="str">
        <f t="shared" si="52"/>
        <v/>
      </c>
      <c r="N665" s="12" t="str">
        <f t="shared" si="53"/>
        <v/>
      </c>
      <c r="O665" s="12" t="str">
        <f t="shared" si="54"/>
        <v/>
      </c>
      <c r="P665" s="12" t="str">
        <f>IF(C665="Tournament",INDEX('Tournament Log'!$B:$B,E665),IF(C665="Guest","Guest: "&amp;INDEX('Guest Log'!$H:$H,Q665),""))</f>
        <v/>
      </c>
      <c r="Q665" t="str">
        <f>IFERROR(MATCH($A665,'Guest Log'!$L$4:$L$203,0)+3,"")</f>
        <v/>
      </c>
    </row>
    <row r="666" spans="1:17" ht="15" customHeight="1" x14ac:dyDescent="0.2">
      <c r="A666" s="37">
        <f>665</f>
        <v>665</v>
      </c>
      <c r="B666" s="37" t="str">
        <f>IF(C666="","",IF(C666="Match",INDEX('Match Log'!$A:$A,D666),IF(C666="Tournament",INDEX('Tournament Log'!$A:$A,E666),INDEX('Guest Log'!$A:$A,Q666))))</f>
        <v/>
      </c>
      <c r="C666" s="37" t="str">
        <f t="shared" si="50"/>
        <v/>
      </c>
      <c r="D666" s="38" t="str">
        <f>IFERROR(MATCH($A666,'Match Log'!$K$3:$K$501,0)+2,"")</f>
        <v/>
      </c>
      <c r="E666" s="38" t="str">
        <f>IFERROR(MATCH($A666,'Tournament Log'!$O$4:$O$203,0)+3,"")</f>
        <v/>
      </c>
      <c r="F666" s="37" t="str">
        <f>IF(C666="","",IF(C666="Match",INDEX('Match Log'!$B:$B,D666),IF(C666="Tournament",INDEX('Tournament Log'!$C:$C,E666),INDEX('Guest Log'!$B:$B,Q666))))</f>
        <v/>
      </c>
      <c r="G666" s="37" t="str">
        <f>IF(C666="","",IF(C666="Match",INDEX('Match Log'!$C:$C,D666),IF(C666="Tournament",INDEX('Tournament Log'!$B:$B,E666)&amp;" (Phantom)",INDEX('Guest Log'!$H:$H,Q666)&amp;" (Guest)")))</f>
        <v/>
      </c>
      <c r="H666" s="37" t="str">
        <f t="array" ref="H666">IF(C666="","",IFERROR(LOOKUP(2,1/(($F$1:F665=F666)+($G$1:G665=F666)),IF($F$1:F665=F666,$N$1:N665,$O$1:O665)),1000))</f>
        <v/>
      </c>
      <c r="I666" s="37" t="str">
        <f t="array" ref="I666">IF(C666="","",IF(C666="Tournament",INDEX('Tournament Log'!$J:$J,E666),IF(C666="Guest",IF(INDEX('Guest Log'!$I:$I,Q666)="",1000,INDEX('Guest Log'!$I:$I,Q666)),IFERROR(LOOKUP(2,1/(($F$1:F665=G666)+($G$1:G665=G666)),IF($F$1:F665=G666,$N$1:N665,$O$1:O665)),1000))))</f>
        <v/>
      </c>
      <c r="J666" s="37" t="str">
        <f t="shared" si="51"/>
        <v/>
      </c>
      <c r="K666" s="12" t="str">
        <f>IF(C666="","",IF(C666="Match",IF(INDEX('Match Log'!$D:$D,D666)="Win",1,IF(INDEX('Match Log'!$D:$D,D666)="Draw",0.5,0)),IF(C666="Tournament",INDEX('Tournament Log'!$K:$K,E666),IF(INDEX('Guest Log'!$C:$C,Q666)="Win",1,IF(INDEX('Guest Log'!$C:$C,Q666)="Draw",0.5,0)))))</f>
        <v/>
      </c>
      <c r="L666" s="12" t="str">
        <f>IF(C666="","",IF(C666="Match",32,IF(C666="Tournament",MIN(32*INDEX('Tournament Log'!$D:$D,E666),96),32)))</f>
        <v/>
      </c>
      <c r="M666" s="12" t="str">
        <f t="shared" si="52"/>
        <v/>
      </c>
      <c r="N666" s="12" t="str">
        <f t="shared" si="53"/>
        <v/>
      </c>
      <c r="O666" s="12" t="str">
        <f t="shared" si="54"/>
        <v/>
      </c>
      <c r="P666" s="12" t="str">
        <f>IF(C666="Tournament",INDEX('Tournament Log'!$B:$B,E666),IF(C666="Guest","Guest: "&amp;INDEX('Guest Log'!$H:$H,Q666),""))</f>
        <v/>
      </c>
      <c r="Q666" t="str">
        <f>IFERROR(MATCH($A666,'Guest Log'!$L$4:$L$203,0)+3,"")</f>
        <v/>
      </c>
    </row>
    <row r="667" spans="1:17" ht="15" customHeight="1" x14ac:dyDescent="0.2">
      <c r="A667" s="22">
        <f>666</f>
        <v>666</v>
      </c>
      <c r="B667" s="22" t="str">
        <f>IF(C667="","",IF(C667="Match",INDEX('Match Log'!$A:$A,D667),IF(C667="Tournament",INDEX('Tournament Log'!$A:$A,E667),INDEX('Guest Log'!$A:$A,Q667))))</f>
        <v/>
      </c>
      <c r="C667" s="22" t="str">
        <f t="shared" si="50"/>
        <v/>
      </c>
      <c r="D667" s="39" t="str">
        <f>IFERROR(MATCH($A667,'Match Log'!$K$3:$K$501,0)+2,"")</f>
        <v/>
      </c>
      <c r="E667" s="39" t="str">
        <f>IFERROR(MATCH($A667,'Tournament Log'!$O$4:$O$203,0)+3,"")</f>
        <v/>
      </c>
      <c r="F667" s="22" t="str">
        <f>IF(C667="","",IF(C667="Match",INDEX('Match Log'!$B:$B,D667),IF(C667="Tournament",INDEX('Tournament Log'!$C:$C,E667),INDEX('Guest Log'!$B:$B,Q667))))</f>
        <v/>
      </c>
      <c r="G667" s="22" t="str">
        <f>IF(C667="","",IF(C667="Match",INDEX('Match Log'!$C:$C,D667),IF(C667="Tournament",INDEX('Tournament Log'!$B:$B,E667)&amp;" (Phantom)",INDEX('Guest Log'!$H:$H,Q667)&amp;" (Guest)")))</f>
        <v/>
      </c>
      <c r="H667" s="22" t="str">
        <f t="array" ref="H667">IF(C667="","",IFERROR(LOOKUP(2,1/(($F$1:F666=F667)+($G$1:G666=F667)),IF($F$1:F666=F667,$N$1:N666,$O$1:O666)),1000))</f>
        <v/>
      </c>
      <c r="I667" s="22" t="str">
        <f t="array" ref="I667">IF(C667="","",IF(C667="Tournament",INDEX('Tournament Log'!$J:$J,E667),IF(C667="Guest",IF(INDEX('Guest Log'!$I:$I,Q667)="",1000,INDEX('Guest Log'!$I:$I,Q667)),IFERROR(LOOKUP(2,1/(($F$1:F666=G667)+($G$1:G666=G667)),IF($F$1:F666=G667,$N$1:N666,$O$1:O666)),1000))))</f>
        <v/>
      </c>
      <c r="J667" s="22" t="str">
        <f t="shared" si="51"/>
        <v/>
      </c>
      <c r="K667" s="12" t="str">
        <f>IF(C667="","",IF(C667="Match",IF(INDEX('Match Log'!$D:$D,D667)="Win",1,IF(INDEX('Match Log'!$D:$D,D667)="Draw",0.5,0)),IF(C667="Tournament",INDEX('Tournament Log'!$K:$K,E667),IF(INDEX('Guest Log'!$C:$C,Q667)="Win",1,IF(INDEX('Guest Log'!$C:$C,Q667)="Draw",0.5,0)))))</f>
        <v/>
      </c>
      <c r="L667" s="12" t="str">
        <f>IF(C667="","",IF(C667="Match",32,IF(C667="Tournament",MIN(32*INDEX('Tournament Log'!$D:$D,E667),96),32)))</f>
        <v/>
      </c>
      <c r="M667" s="12" t="str">
        <f t="shared" si="52"/>
        <v/>
      </c>
      <c r="N667" s="12" t="str">
        <f t="shared" si="53"/>
        <v/>
      </c>
      <c r="O667" s="12" t="str">
        <f t="shared" si="54"/>
        <v/>
      </c>
      <c r="P667" s="12" t="str">
        <f>IF(C667="Tournament",INDEX('Tournament Log'!$B:$B,E667),IF(C667="Guest","Guest: "&amp;INDEX('Guest Log'!$H:$H,Q667),""))</f>
        <v/>
      </c>
      <c r="Q667" t="str">
        <f>IFERROR(MATCH($A667,'Guest Log'!$L$4:$L$203,0)+3,"")</f>
        <v/>
      </c>
    </row>
    <row r="668" spans="1:17" ht="15" customHeight="1" x14ac:dyDescent="0.2">
      <c r="A668" s="37">
        <f>667</f>
        <v>667</v>
      </c>
      <c r="B668" s="37" t="str">
        <f>IF(C668="","",IF(C668="Match",INDEX('Match Log'!$A:$A,D668),IF(C668="Tournament",INDEX('Tournament Log'!$A:$A,E668),INDEX('Guest Log'!$A:$A,Q668))))</f>
        <v/>
      </c>
      <c r="C668" s="37" t="str">
        <f t="shared" si="50"/>
        <v/>
      </c>
      <c r="D668" s="38" t="str">
        <f>IFERROR(MATCH($A668,'Match Log'!$K$3:$K$501,0)+2,"")</f>
        <v/>
      </c>
      <c r="E668" s="38" t="str">
        <f>IFERROR(MATCH($A668,'Tournament Log'!$O$4:$O$203,0)+3,"")</f>
        <v/>
      </c>
      <c r="F668" s="37" t="str">
        <f>IF(C668="","",IF(C668="Match",INDEX('Match Log'!$B:$B,D668),IF(C668="Tournament",INDEX('Tournament Log'!$C:$C,E668),INDEX('Guest Log'!$B:$B,Q668))))</f>
        <v/>
      </c>
      <c r="G668" s="37" t="str">
        <f>IF(C668="","",IF(C668="Match",INDEX('Match Log'!$C:$C,D668),IF(C668="Tournament",INDEX('Tournament Log'!$B:$B,E668)&amp;" (Phantom)",INDEX('Guest Log'!$H:$H,Q668)&amp;" (Guest)")))</f>
        <v/>
      </c>
      <c r="H668" s="37" t="str">
        <f t="array" ref="H668">IF(C668="","",IFERROR(LOOKUP(2,1/(($F$1:F667=F668)+($G$1:G667=F668)),IF($F$1:F667=F668,$N$1:N667,$O$1:O667)),1000))</f>
        <v/>
      </c>
      <c r="I668" s="37" t="str">
        <f t="array" ref="I668">IF(C668="","",IF(C668="Tournament",INDEX('Tournament Log'!$J:$J,E668),IF(C668="Guest",IF(INDEX('Guest Log'!$I:$I,Q668)="",1000,INDEX('Guest Log'!$I:$I,Q668)),IFERROR(LOOKUP(2,1/(($F$1:F667=G668)+($G$1:G667=G668)),IF($F$1:F667=G668,$N$1:N667,$O$1:O667)),1000))))</f>
        <v/>
      </c>
      <c r="J668" s="37" t="str">
        <f t="shared" si="51"/>
        <v/>
      </c>
      <c r="K668" s="12" t="str">
        <f>IF(C668="","",IF(C668="Match",IF(INDEX('Match Log'!$D:$D,D668)="Win",1,IF(INDEX('Match Log'!$D:$D,D668)="Draw",0.5,0)),IF(C668="Tournament",INDEX('Tournament Log'!$K:$K,E668),IF(INDEX('Guest Log'!$C:$C,Q668)="Win",1,IF(INDEX('Guest Log'!$C:$C,Q668)="Draw",0.5,0)))))</f>
        <v/>
      </c>
      <c r="L668" s="12" t="str">
        <f>IF(C668="","",IF(C668="Match",32,IF(C668="Tournament",MIN(32*INDEX('Tournament Log'!$D:$D,E668),96),32)))</f>
        <v/>
      </c>
      <c r="M668" s="12" t="str">
        <f t="shared" si="52"/>
        <v/>
      </c>
      <c r="N668" s="12" t="str">
        <f t="shared" si="53"/>
        <v/>
      </c>
      <c r="O668" s="12" t="str">
        <f t="shared" si="54"/>
        <v/>
      </c>
      <c r="P668" s="12" t="str">
        <f>IF(C668="Tournament",INDEX('Tournament Log'!$B:$B,E668),IF(C668="Guest","Guest: "&amp;INDEX('Guest Log'!$H:$H,Q668),""))</f>
        <v/>
      </c>
      <c r="Q668" t="str">
        <f>IFERROR(MATCH($A668,'Guest Log'!$L$4:$L$203,0)+3,"")</f>
        <v/>
      </c>
    </row>
    <row r="669" spans="1:17" ht="15" customHeight="1" x14ac:dyDescent="0.2">
      <c r="A669" s="22">
        <f>668</f>
        <v>668</v>
      </c>
      <c r="B669" s="22" t="str">
        <f>IF(C669="","",IF(C669="Match",INDEX('Match Log'!$A:$A,D669),IF(C669="Tournament",INDEX('Tournament Log'!$A:$A,E669),INDEX('Guest Log'!$A:$A,Q669))))</f>
        <v/>
      </c>
      <c r="C669" s="22" t="str">
        <f t="shared" si="50"/>
        <v/>
      </c>
      <c r="D669" s="39" t="str">
        <f>IFERROR(MATCH($A669,'Match Log'!$K$3:$K$501,0)+2,"")</f>
        <v/>
      </c>
      <c r="E669" s="39" t="str">
        <f>IFERROR(MATCH($A669,'Tournament Log'!$O$4:$O$203,0)+3,"")</f>
        <v/>
      </c>
      <c r="F669" s="22" t="str">
        <f>IF(C669="","",IF(C669="Match",INDEX('Match Log'!$B:$B,D669),IF(C669="Tournament",INDEX('Tournament Log'!$C:$C,E669),INDEX('Guest Log'!$B:$B,Q669))))</f>
        <v/>
      </c>
      <c r="G669" s="22" t="str">
        <f>IF(C669="","",IF(C669="Match",INDEX('Match Log'!$C:$C,D669),IF(C669="Tournament",INDEX('Tournament Log'!$B:$B,E669)&amp;" (Phantom)",INDEX('Guest Log'!$H:$H,Q669)&amp;" (Guest)")))</f>
        <v/>
      </c>
      <c r="H669" s="22" t="str">
        <f t="array" ref="H669">IF(C669="","",IFERROR(LOOKUP(2,1/(($F$1:F668=F669)+($G$1:G668=F669)),IF($F$1:F668=F669,$N$1:N668,$O$1:O668)),1000))</f>
        <v/>
      </c>
      <c r="I669" s="22" t="str">
        <f t="array" ref="I669">IF(C669="","",IF(C669="Tournament",INDEX('Tournament Log'!$J:$J,E669),IF(C669="Guest",IF(INDEX('Guest Log'!$I:$I,Q669)="",1000,INDEX('Guest Log'!$I:$I,Q669)),IFERROR(LOOKUP(2,1/(($F$1:F668=G669)+($G$1:G668=G669)),IF($F$1:F668=G669,$N$1:N668,$O$1:O668)),1000))))</f>
        <v/>
      </c>
      <c r="J669" s="22" t="str">
        <f t="shared" si="51"/>
        <v/>
      </c>
      <c r="K669" s="12" t="str">
        <f>IF(C669="","",IF(C669="Match",IF(INDEX('Match Log'!$D:$D,D669)="Win",1,IF(INDEX('Match Log'!$D:$D,D669)="Draw",0.5,0)),IF(C669="Tournament",INDEX('Tournament Log'!$K:$K,E669),IF(INDEX('Guest Log'!$C:$C,Q669)="Win",1,IF(INDEX('Guest Log'!$C:$C,Q669)="Draw",0.5,0)))))</f>
        <v/>
      </c>
      <c r="L669" s="12" t="str">
        <f>IF(C669="","",IF(C669="Match",32,IF(C669="Tournament",MIN(32*INDEX('Tournament Log'!$D:$D,E669),96),32)))</f>
        <v/>
      </c>
      <c r="M669" s="12" t="str">
        <f t="shared" si="52"/>
        <v/>
      </c>
      <c r="N669" s="12" t="str">
        <f t="shared" si="53"/>
        <v/>
      </c>
      <c r="O669" s="12" t="str">
        <f t="shared" si="54"/>
        <v/>
      </c>
      <c r="P669" s="12" t="str">
        <f>IF(C669="Tournament",INDEX('Tournament Log'!$B:$B,E669),IF(C669="Guest","Guest: "&amp;INDEX('Guest Log'!$H:$H,Q669),""))</f>
        <v/>
      </c>
      <c r="Q669" t="str">
        <f>IFERROR(MATCH($A669,'Guest Log'!$L$4:$L$203,0)+3,"")</f>
        <v/>
      </c>
    </row>
    <row r="670" spans="1:17" ht="15" customHeight="1" x14ac:dyDescent="0.2">
      <c r="A670" s="37">
        <f>669</f>
        <v>669</v>
      </c>
      <c r="B670" s="37" t="str">
        <f>IF(C670="","",IF(C670="Match",INDEX('Match Log'!$A:$A,D670),IF(C670="Tournament",INDEX('Tournament Log'!$A:$A,E670),INDEX('Guest Log'!$A:$A,Q670))))</f>
        <v/>
      </c>
      <c r="C670" s="37" t="str">
        <f t="shared" si="50"/>
        <v/>
      </c>
      <c r="D670" s="38" t="str">
        <f>IFERROR(MATCH($A670,'Match Log'!$K$3:$K$501,0)+2,"")</f>
        <v/>
      </c>
      <c r="E670" s="38" t="str">
        <f>IFERROR(MATCH($A670,'Tournament Log'!$O$4:$O$203,0)+3,"")</f>
        <v/>
      </c>
      <c r="F670" s="37" t="str">
        <f>IF(C670="","",IF(C670="Match",INDEX('Match Log'!$B:$B,D670),IF(C670="Tournament",INDEX('Tournament Log'!$C:$C,E670),INDEX('Guest Log'!$B:$B,Q670))))</f>
        <v/>
      </c>
      <c r="G670" s="37" t="str">
        <f>IF(C670="","",IF(C670="Match",INDEX('Match Log'!$C:$C,D670),IF(C670="Tournament",INDEX('Tournament Log'!$B:$B,E670)&amp;" (Phantom)",INDEX('Guest Log'!$H:$H,Q670)&amp;" (Guest)")))</f>
        <v/>
      </c>
      <c r="H670" s="37" t="str">
        <f t="array" ref="H670">IF(C670="","",IFERROR(LOOKUP(2,1/(($F$1:F669=F670)+($G$1:G669=F670)),IF($F$1:F669=F670,$N$1:N669,$O$1:O669)),1000))</f>
        <v/>
      </c>
      <c r="I670" s="37" t="str">
        <f t="array" ref="I670">IF(C670="","",IF(C670="Tournament",INDEX('Tournament Log'!$J:$J,E670),IF(C670="Guest",IF(INDEX('Guest Log'!$I:$I,Q670)="",1000,INDEX('Guest Log'!$I:$I,Q670)),IFERROR(LOOKUP(2,1/(($F$1:F669=G670)+($G$1:G669=G670)),IF($F$1:F669=G670,$N$1:N669,$O$1:O669)),1000))))</f>
        <v/>
      </c>
      <c r="J670" s="37" t="str">
        <f t="shared" si="51"/>
        <v/>
      </c>
      <c r="K670" s="12" t="str">
        <f>IF(C670="","",IF(C670="Match",IF(INDEX('Match Log'!$D:$D,D670)="Win",1,IF(INDEX('Match Log'!$D:$D,D670)="Draw",0.5,0)),IF(C670="Tournament",INDEX('Tournament Log'!$K:$K,E670),IF(INDEX('Guest Log'!$C:$C,Q670)="Win",1,IF(INDEX('Guest Log'!$C:$C,Q670)="Draw",0.5,0)))))</f>
        <v/>
      </c>
      <c r="L670" s="12" t="str">
        <f>IF(C670="","",IF(C670="Match",32,IF(C670="Tournament",MIN(32*INDEX('Tournament Log'!$D:$D,E670),96),32)))</f>
        <v/>
      </c>
      <c r="M670" s="12" t="str">
        <f t="shared" si="52"/>
        <v/>
      </c>
      <c r="N670" s="12" t="str">
        <f t="shared" si="53"/>
        <v/>
      </c>
      <c r="O670" s="12" t="str">
        <f t="shared" si="54"/>
        <v/>
      </c>
      <c r="P670" s="12" t="str">
        <f>IF(C670="Tournament",INDEX('Tournament Log'!$B:$B,E670),IF(C670="Guest","Guest: "&amp;INDEX('Guest Log'!$H:$H,Q670),""))</f>
        <v/>
      </c>
      <c r="Q670" t="str">
        <f>IFERROR(MATCH($A670,'Guest Log'!$L$4:$L$203,0)+3,"")</f>
        <v/>
      </c>
    </row>
    <row r="671" spans="1:17" ht="15" customHeight="1" x14ac:dyDescent="0.2">
      <c r="A671" s="22">
        <f>670</f>
        <v>670</v>
      </c>
      <c r="B671" s="22" t="str">
        <f>IF(C671="","",IF(C671="Match",INDEX('Match Log'!$A:$A,D671),IF(C671="Tournament",INDEX('Tournament Log'!$A:$A,E671),INDEX('Guest Log'!$A:$A,Q671))))</f>
        <v/>
      </c>
      <c r="C671" s="22" t="str">
        <f t="shared" si="50"/>
        <v/>
      </c>
      <c r="D671" s="39" t="str">
        <f>IFERROR(MATCH($A671,'Match Log'!$K$3:$K$501,0)+2,"")</f>
        <v/>
      </c>
      <c r="E671" s="39" t="str">
        <f>IFERROR(MATCH($A671,'Tournament Log'!$O$4:$O$203,0)+3,"")</f>
        <v/>
      </c>
      <c r="F671" s="22" t="str">
        <f>IF(C671="","",IF(C671="Match",INDEX('Match Log'!$B:$B,D671),IF(C671="Tournament",INDEX('Tournament Log'!$C:$C,E671),INDEX('Guest Log'!$B:$B,Q671))))</f>
        <v/>
      </c>
      <c r="G671" s="22" t="str">
        <f>IF(C671="","",IF(C671="Match",INDEX('Match Log'!$C:$C,D671),IF(C671="Tournament",INDEX('Tournament Log'!$B:$B,E671)&amp;" (Phantom)",INDEX('Guest Log'!$H:$H,Q671)&amp;" (Guest)")))</f>
        <v/>
      </c>
      <c r="H671" s="22" t="str">
        <f t="array" ref="H671">IF(C671="","",IFERROR(LOOKUP(2,1/(($F$1:F670=F671)+($G$1:G670=F671)),IF($F$1:F670=F671,$N$1:N670,$O$1:O670)),1000))</f>
        <v/>
      </c>
      <c r="I671" s="22" t="str">
        <f t="array" ref="I671">IF(C671="","",IF(C671="Tournament",INDEX('Tournament Log'!$J:$J,E671),IF(C671="Guest",IF(INDEX('Guest Log'!$I:$I,Q671)="",1000,INDEX('Guest Log'!$I:$I,Q671)),IFERROR(LOOKUP(2,1/(($F$1:F670=G671)+($G$1:G670=G671)),IF($F$1:F670=G671,$N$1:N670,$O$1:O670)),1000))))</f>
        <v/>
      </c>
      <c r="J671" s="22" t="str">
        <f t="shared" si="51"/>
        <v/>
      </c>
      <c r="K671" s="12" t="str">
        <f>IF(C671="","",IF(C671="Match",IF(INDEX('Match Log'!$D:$D,D671)="Win",1,IF(INDEX('Match Log'!$D:$D,D671)="Draw",0.5,0)),IF(C671="Tournament",INDEX('Tournament Log'!$K:$K,E671),IF(INDEX('Guest Log'!$C:$C,Q671)="Win",1,IF(INDEX('Guest Log'!$C:$C,Q671)="Draw",0.5,0)))))</f>
        <v/>
      </c>
      <c r="L671" s="12" t="str">
        <f>IF(C671="","",IF(C671="Match",32,IF(C671="Tournament",MIN(32*INDEX('Tournament Log'!$D:$D,E671),96),32)))</f>
        <v/>
      </c>
      <c r="M671" s="12" t="str">
        <f t="shared" si="52"/>
        <v/>
      </c>
      <c r="N671" s="12" t="str">
        <f t="shared" si="53"/>
        <v/>
      </c>
      <c r="O671" s="12" t="str">
        <f t="shared" si="54"/>
        <v/>
      </c>
      <c r="P671" s="12" t="str">
        <f>IF(C671="Tournament",INDEX('Tournament Log'!$B:$B,E671),IF(C671="Guest","Guest: "&amp;INDEX('Guest Log'!$H:$H,Q671),""))</f>
        <v/>
      </c>
      <c r="Q671" t="str">
        <f>IFERROR(MATCH($A671,'Guest Log'!$L$4:$L$203,0)+3,"")</f>
        <v/>
      </c>
    </row>
    <row r="672" spans="1:17" ht="15" customHeight="1" x14ac:dyDescent="0.2">
      <c r="A672" s="37">
        <f>671</f>
        <v>671</v>
      </c>
      <c r="B672" s="37" t="str">
        <f>IF(C672="","",IF(C672="Match",INDEX('Match Log'!$A:$A,D672),IF(C672="Tournament",INDEX('Tournament Log'!$A:$A,E672),INDEX('Guest Log'!$A:$A,Q672))))</f>
        <v/>
      </c>
      <c r="C672" s="37" t="str">
        <f t="shared" si="50"/>
        <v/>
      </c>
      <c r="D672" s="38" t="str">
        <f>IFERROR(MATCH($A672,'Match Log'!$K$3:$K$501,0)+2,"")</f>
        <v/>
      </c>
      <c r="E672" s="38" t="str">
        <f>IFERROR(MATCH($A672,'Tournament Log'!$O$4:$O$203,0)+3,"")</f>
        <v/>
      </c>
      <c r="F672" s="37" t="str">
        <f>IF(C672="","",IF(C672="Match",INDEX('Match Log'!$B:$B,D672),IF(C672="Tournament",INDEX('Tournament Log'!$C:$C,E672),INDEX('Guest Log'!$B:$B,Q672))))</f>
        <v/>
      </c>
      <c r="G672" s="37" t="str">
        <f>IF(C672="","",IF(C672="Match",INDEX('Match Log'!$C:$C,D672),IF(C672="Tournament",INDEX('Tournament Log'!$B:$B,E672)&amp;" (Phantom)",INDEX('Guest Log'!$H:$H,Q672)&amp;" (Guest)")))</f>
        <v/>
      </c>
      <c r="H672" s="37" t="str">
        <f t="array" ref="H672">IF(C672="","",IFERROR(LOOKUP(2,1/(($F$1:F671=F672)+($G$1:G671=F672)),IF($F$1:F671=F672,$N$1:N671,$O$1:O671)),1000))</f>
        <v/>
      </c>
      <c r="I672" s="37" t="str">
        <f t="array" ref="I672">IF(C672="","",IF(C672="Tournament",INDEX('Tournament Log'!$J:$J,E672),IF(C672="Guest",IF(INDEX('Guest Log'!$I:$I,Q672)="",1000,INDEX('Guest Log'!$I:$I,Q672)),IFERROR(LOOKUP(2,1/(($F$1:F671=G672)+($G$1:G671=G672)),IF($F$1:F671=G672,$N$1:N671,$O$1:O671)),1000))))</f>
        <v/>
      </c>
      <c r="J672" s="37" t="str">
        <f t="shared" si="51"/>
        <v/>
      </c>
      <c r="K672" s="12" t="str">
        <f>IF(C672="","",IF(C672="Match",IF(INDEX('Match Log'!$D:$D,D672)="Win",1,IF(INDEX('Match Log'!$D:$D,D672)="Draw",0.5,0)),IF(C672="Tournament",INDEX('Tournament Log'!$K:$K,E672),IF(INDEX('Guest Log'!$C:$C,Q672)="Win",1,IF(INDEX('Guest Log'!$C:$C,Q672)="Draw",0.5,0)))))</f>
        <v/>
      </c>
      <c r="L672" s="12" t="str">
        <f>IF(C672="","",IF(C672="Match",32,IF(C672="Tournament",MIN(32*INDEX('Tournament Log'!$D:$D,E672),96),32)))</f>
        <v/>
      </c>
      <c r="M672" s="12" t="str">
        <f t="shared" si="52"/>
        <v/>
      </c>
      <c r="N672" s="12" t="str">
        <f t="shared" si="53"/>
        <v/>
      </c>
      <c r="O672" s="12" t="str">
        <f t="shared" si="54"/>
        <v/>
      </c>
      <c r="P672" s="12" t="str">
        <f>IF(C672="Tournament",INDEX('Tournament Log'!$B:$B,E672),IF(C672="Guest","Guest: "&amp;INDEX('Guest Log'!$H:$H,Q672),""))</f>
        <v/>
      </c>
      <c r="Q672" t="str">
        <f>IFERROR(MATCH($A672,'Guest Log'!$L$4:$L$203,0)+3,"")</f>
        <v/>
      </c>
    </row>
    <row r="673" spans="1:17" ht="15" customHeight="1" x14ac:dyDescent="0.2">
      <c r="A673" s="22">
        <f>672</f>
        <v>672</v>
      </c>
      <c r="B673" s="22" t="str">
        <f>IF(C673="","",IF(C673="Match",INDEX('Match Log'!$A:$A,D673),IF(C673="Tournament",INDEX('Tournament Log'!$A:$A,E673),INDEX('Guest Log'!$A:$A,Q673))))</f>
        <v/>
      </c>
      <c r="C673" s="22" t="str">
        <f t="shared" si="50"/>
        <v/>
      </c>
      <c r="D673" s="39" t="str">
        <f>IFERROR(MATCH($A673,'Match Log'!$K$3:$K$501,0)+2,"")</f>
        <v/>
      </c>
      <c r="E673" s="39" t="str">
        <f>IFERROR(MATCH($A673,'Tournament Log'!$O$4:$O$203,0)+3,"")</f>
        <v/>
      </c>
      <c r="F673" s="22" t="str">
        <f>IF(C673="","",IF(C673="Match",INDEX('Match Log'!$B:$B,D673),IF(C673="Tournament",INDEX('Tournament Log'!$C:$C,E673),INDEX('Guest Log'!$B:$B,Q673))))</f>
        <v/>
      </c>
      <c r="G673" s="22" t="str">
        <f>IF(C673="","",IF(C673="Match",INDEX('Match Log'!$C:$C,D673),IF(C673="Tournament",INDEX('Tournament Log'!$B:$B,E673)&amp;" (Phantom)",INDEX('Guest Log'!$H:$H,Q673)&amp;" (Guest)")))</f>
        <v/>
      </c>
      <c r="H673" s="22" t="str">
        <f t="array" ref="H673">IF(C673="","",IFERROR(LOOKUP(2,1/(($F$1:F672=F673)+($G$1:G672=F673)),IF($F$1:F672=F673,$N$1:N672,$O$1:O672)),1000))</f>
        <v/>
      </c>
      <c r="I673" s="22" t="str">
        <f t="array" ref="I673">IF(C673="","",IF(C673="Tournament",INDEX('Tournament Log'!$J:$J,E673),IF(C673="Guest",IF(INDEX('Guest Log'!$I:$I,Q673)="",1000,INDEX('Guest Log'!$I:$I,Q673)),IFERROR(LOOKUP(2,1/(($F$1:F672=G673)+($G$1:G672=G673)),IF($F$1:F672=G673,$N$1:N672,$O$1:O672)),1000))))</f>
        <v/>
      </c>
      <c r="J673" s="22" t="str">
        <f t="shared" si="51"/>
        <v/>
      </c>
      <c r="K673" s="12" t="str">
        <f>IF(C673="","",IF(C673="Match",IF(INDEX('Match Log'!$D:$D,D673)="Win",1,IF(INDEX('Match Log'!$D:$D,D673)="Draw",0.5,0)),IF(C673="Tournament",INDEX('Tournament Log'!$K:$K,E673),IF(INDEX('Guest Log'!$C:$C,Q673)="Win",1,IF(INDEX('Guest Log'!$C:$C,Q673)="Draw",0.5,0)))))</f>
        <v/>
      </c>
      <c r="L673" s="12" t="str">
        <f>IF(C673="","",IF(C673="Match",32,IF(C673="Tournament",MIN(32*INDEX('Tournament Log'!$D:$D,E673),96),32)))</f>
        <v/>
      </c>
      <c r="M673" s="12" t="str">
        <f t="shared" si="52"/>
        <v/>
      </c>
      <c r="N673" s="12" t="str">
        <f t="shared" si="53"/>
        <v/>
      </c>
      <c r="O673" s="12" t="str">
        <f t="shared" si="54"/>
        <v/>
      </c>
      <c r="P673" s="12" t="str">
        <f>IF(C673="Tournament",INDEX('Tournament Log'!$B:$B,E673),IF(C673="Guest","Guest: "&amp;INDEX('Guest Log'!$H:$H,Q673),""))</f>
        <v/>
      </c>
      <c r="Q673" t="str">
        <f>IFERROR(MATCH($A673,'Guest Log'!$L$4:$L$203,0)+3,"")</f>
        <v/>
      </c>
    </row>
    <row r="674" spans="1:17" ht="15" customHeight="1" x14ac:dyDescent="0.2">
      <c r="A674" s="37">
        <f>673</f>
        <v>673</v>
      </c>
      <c r="B674" s="37" t="str">
        <f>IF(C674="","",IF(C674="Match",INDEX('Match Log'!$A:$A,D674),IF(C674="Tournament",INDEX('Tournament Log'!$A:$A,E674),INDEX('Guest Log'!$A:$A,Q674))))</f>
        <v/>
      </c>
      <c r="C674" s="37" t="str">
        <f t="shared" si="50"/>
        <v/>
      </c>
      <c r="D674" s="38" t="str">
        <f>IFERROR(MATCH($A674,'Match Log'!$K$3:$K$501,0)+2,"")</f>
        <v/>
      </c>
      <c r="E674" s="38" t="str">
        <f>IFERROR(MATCH($A674,'Tournament Log'!$O$4:$O$203,0)+3,"")</f>
        <v/>
      </c>
      <c r="F674" s="37" t="str">
        <f>IF(C674="","",IF(C674="Match",INDEX('Match Log'!$B:$B,D674),IF(C674="Tournament",INDEX('Tournament Log'!$C:$C,E674),INDEX('Guest Log'!$B:$B,Q674))))</f>
        <v/>
      </c>
      <c r="G674" s="37" t="str">
        <f>IF(C674="","",IF(C674="Match",INDEX('Match Log'!$C:$C,D674),IF(C674="Tournament",INDEX('Tournament Log'!$B:$B,E674)&amp;" (Phantom)",INDEX('Guest Log'!$H:$H,Q674)&amp;" (Guest)")))</f>
        <v/>
      </c>
      <c r="H674" s="37" t="str">
        <f t="array" ref="H674">IF(C674="","",IFERROR(LOOKUP(2,1/(($F$1:F673=F674)+($G$1:G673=F674)),IF($F$1:F673=F674,$N$1:N673,$O$1:O673)),1000))</f>
        <v/>
      </c>
      <c r="I674" s="37" t="str">
        <f t="array" ref="I674">IF(C674="","",IF(C674="Tournament",INDEX('Tournament Log'!$J:$J,E674),IF(C674="Guest",IF(INDEX('Guest Log'!$I:$I,Q674)="",1000,INDEX('Guest Log'!$I:$I,Q674)),IFERROR(LOOKUP(2,1/(($F$1:F673=G674)+($G$1:G673=G674)),IF($F$1:F673=G674,$N$1:N673,$O$1:O673)),1000))))</f>
        <v/>
      </c>
      <c r="J674" s="37" t="str">
        <f t="shared" si="51"/>
        <v/>
      </c>
      <c r="K674" s="12" t="str">
        <f>IF(C674="","",IF(C674="Match",IF(INDEX('Match Log'!$D:$D,D674)="Win",1,IF(INDEX('Match Log'!$D:$D,D674)="Draw",0.5,0)),IF(C674="Tournament",INDEX('Tournament Log'!$K:$K,E674),IF(INDEX('Guest Log'!$C:$C,Q674)="Win",1,IF(INDEX('Guest Log'!$C:$C,Q674)="Draw",0.5,0)))))</f>
        <v/>
      </c>
      <c r="L674" s="12" t="str">
        <f>IF(C674="","",IF(C674="Match",32,IF(C674="Tournament",MIN(32*INDEX('Tournament Log'!$D:$D,E674),96),32)))</f>
        <v/>
      </c>
      <c r="M674" s="12" t="str">
        <f t="shared" si="52"/>
        <v/>
      </c>
      <c r="N674" s="12" t="str">
        <f t="shared" si="53"/>
        <v/>
      </c>
      <c r="O674" s="12" t="str">
        <f t="shared" si="54"/>
        <v/>
      </c>
      <c r="P674" s="12" t="str">
        <f>IF(C674="Tournament",INDEX('Tournament Log'!$B:$B,E674),IF(C674="Guest","Guest: "&amp;INDEX('Guest Log'!$H:$H,Q674),""))</f>
        <v/>
      </c>
      <c r="Q674" t="str">
        <f>IFERROR(MATCH($A674,'Guest Log'!$L$4:$L$203,0)+3,"")</f>
        <v/>
      </c>
    </row>
    <row r="675" spans="1:17" ht="15" customHeight="1" x14ac:dyDescent="0.2">
      <c r="A675" s="22">
        <f>674</f>
        <v>674</v>
      </c>
      <c r="B675" s="22" t="str">
        <f>IF(C675="","",IF(C675="Match",INDEX('Match Log'!$A:$A,D675),IF(C675="Tournament",INDEX('Tournament Log'!$A:$A,E675),INDEX('Guest Log'!$A:$A,Q675))))</f>
        <v/>
      </c>
      <c r="C675" s="22" t="str">
        <f t="shared" si="50"/>
        <v/>
      </c>
      <c r="D675" s="39" t="str">
        <f>IFERROR(MATCH($A675,'Match Log'!$K$3:$K$501,0)+2,"")</f>
        <v/>
      </c>
      <c r="E675" s="39" t="str">
        <f>IFERROR(MATCH($A675,'Tournament Log'!$O$4:$O$203,0)+3,"")</f>
        <v/>
      </c>
      <c r="F675" s="22" t="str">
        <f>IF(C675="","",IF(C675="Match",INDEX('Match Log'!$B:$B,D675),IF(C675="Tournament",INDEX('Tournament Log'!$C:$C,E675),INDEX('Guest Log'!$B:$B,Q675))))</f>
        <v/>
      </c>
      <c r="G675" s="22" t="str">
        <f>IF(C675="","",IF(C675="Match",INDEX('Match Log'!$C:$C,D675),IF(C675="Tournament",INDEX('Tournament Log'!$B:$B,E675)&amp;" (Phantom)",INDEX('Guest Log'!$H:$H,Q675)&amp;" (Guest)")))</f>
        <v/>
      </c>
      <c r="H675" s="22" t="str">
        <f t="array" ref="H675">IF(C675="","",IFERROR(LOOKUP(2,1/(($F$1:F674=F675)+($G$1:G674=F675)),IF($F$1:F674=F675,$N$1:N674,$O$1:O674)),1000))</f>
        <v/>
      </c>
      <c r="I675" s="22" t="str">
        <f t="array" ref="I675">IF(C675="","",IF(C675="Tournament",INDEX('Tournament Log'!$J:$J,E675),IF(C675="Guest",IF(INDEX('Guest Log'!$I:$I,Q675)="",1000,INDEX('Guest Log'!$I:$I,Q675)),IFERROR(LOOKUP(2,1/(($F$1:F674=G675)+($G$1:G674=G675)),IF($F$1:F674=G675,$N$1:N674,$O$1:O674)),1000))))</f>
        <v/>
      </c>
      <c r="J675" s="22" t="str">
        <f t="shared" si="51"/>
        <v/>
      </c>
      <c r="K675" s="12" t="str">
        <f>IF(C675="","",IF(C675="Match",IF(INDEX('Match Log'!$D:$D,D675)="Win",1,IF(INDEX('Match Log'!$D:$D,D675)="Draw",0.5,0)),IF(C675="Tournament",INDEX('Tournament Log'!$K:$K,E675),IF(INDEX('Guest Log'!$C:$C,Q675)="Win",1,IF(INDEX('Guest Log'!$C:$C,Q675)="Draw",0.5,0)))))</f>
        <v/>
      </c>
      <c r="L675" s="12" t="str">
        <f>IF(C675="","",IF(C675="Match",32,IF(C675="Tournament",MIN(32*INDEX('Tournament Log'!$D:$D,E675),96),32)))</f>
        <v/>
      </c>
      <c r="M675" s="12" t="str">
        <f t="shared" si="52"/>
        <v/>
      </c>
      <c r="N675" s="12" t="str">
        <f t="shared" si="53"/>
        <v/>
      </c>
      <c r="O675" s="12" t="str">
        <f t="shared" si="54"/>
        <v/>
      </c>
      <c r="P675" s="12" t="str">
        <f>IF(C675="Tournament",INDEX('Tournament Log'!$B:$B,E675),IF(C675="Guest","Guest: "&amp;INDEX('Guest Log'!$H:$H,Q675),""))</f>
        <v/>
      </c>
      <c r="Q675" t="str">
        <f>IFERROR(MATCH($A675,'Guest Log'!$L$4:$L$203,0)+3,"")</f>
        <v/>
      </c>
    </row>
    <row r="676" spans="1:17" ht="15" customHeight="1" x14ac:dyDescent="0.2">
      <c r="A676" s="37">
        <f>675</f>
        <v>675</v>
      </c>
      <c r="B676" s="37" t="str">
        <f>IF(C676="","",IF(C676="Match",INDEX('Match Log'!$A:$A,D676),IF(C676="Tournament",INDEX('Tournament Log'!$A:$A,E676),INDEX('Guest Log'!$A:$A,Q676))))</f>
        <v/>
      </c>
      <c r="C676" s="37" t="str">
        <f t="shared" si="50"/>
        <v/>
      </c>
      <c r="D676" s="38" t="str">
        <f>IFERROR(MATCH($A676,'Match Log'!$K$3:$K$501,0)+2,"")</f>
        <v/>
      </c>
      <c r="E676" s="38" t="str">
        <f>IFERROR(MATCH($A676,'Tournament Log'!$O$4:$O$203,0)+3,"")</f>
        <v/>
      </c>
      <c r="F676" s="37" t="str">
        <f>IF(C676="","",IF(C676="Match",INDEX('Match Log'!$B:$B,D676),IF(C676="Tournament",INDEX('Tournament Log'!$C:$C,E676),INDEX('Guest Log'!$B:$B,Q676))))</f>
        <v/>
      </c>
      <c r="G676" s="37" t="str">
        <f>IF(C676="","",IF(C676="Match",INDEX('Match Log'!$C:$C,D676),IF(C676="Tournament",INDEX('Tournament Log'!$B:$B,E676)&amp;" (Phantom)",INDEX('Guest Log'!$H:$H,Q676)&amp;" (Guest)")))</f>
        <v/>
      </c>
      <c r="H676" s="37" t="str">
        <f t="array" ref="H676">IF(C676="","",IFERROR(LOOKUP(2,1/(($F$1:F675=F676)+($G$1:G675=F676)),IF($F$1:F675=F676,$N$1:N675,$O$1:O675)),1000))</f>
        <v/>
      </c>
      <c r="I676" s="37" t="str">
        <f t="array" ref="I676">IF(C676="","",IF(C676="Tournament",INDEX('Tournament Log'!$J:$J,E676),IF(C676="Guest",IF(INDEX('Guest Log'!$I:$I,Q676)="",1000,INDEX('Guest Log'!$I:$I,Q676)),IFERROR(LOOKUP(2,1/(($F$1:F675=G676)+($G$1:G675=G676)),IF($F$1:F675=G676,$N$1:N675,$O$1:O675)),1000))))</f>
        <v/>
      </c>
      <c r="J676" s="37" t="str">
        <f t="shared" si="51"/>
        <v/>
      </c>
      <c r="K676" s="12" t="str">
        <f>IF(C676="","",IF(C676="Match",IF(INDEX('Match Log'!$D:$D,D676)="Win",1,IF(INDEX('Match Log'!$D:$D,D676)="Draw",0.5,0)),IF(C676="Tournament",INDEX('Tournament Log'!$K:$K,E676),IF(INDEX('Guest Log'!$C:$C,Q676)="Win",1,IF(INDEX('Guest Log'!$C:$C,Q676)="Draw",0.5,0)))))</f>
        <v/>
      </c>
      <c r="L676" s="12" t="str">
        <f>IF(C676="","",IF(C676="Match",32,IF(C676="Tournament",MIN(32*INDEX('Tournament Log'!$D:$D,E676),96),32)))</f>
        <v/>
      </c>
      <c r="M676" s="12" t="str">
        <f t="shared" si="52"/>
        <v/>
      </c>
      <c r="N676" s="12" t="str">
        <f t="shared" si="53"/>
        <v/>
      </c>
      <c r="O676" s="12" t="str">
        <f t="shared" si="54"/>
        <v/>
      </c>
      <c r="P676" s="12" t="str">
        <f>IF(C676="Tournament",INDEX('Tournament Log'!$B:$B,E676),IF(C676="Guest","Guest: "&amp;INDEX('Guest Log'!$H:$H,Q676),""))</f>
        <v/>
      </c>
      <c r="Q676" t="str">
        <f>IFERROR(MATCH($A676,'Guest Log'!$L$4:$L$203,0)+3,"")</f>
        <v/>
      </c>
    </row>
    <row r="677" spans="1:17" ht="15" customHeight="1" x14ac:dyDescent="0.2">
      <c r="A677" s="22">
        <f>676</f>
        <v>676</v>
      </c>
      <c r="B677" s="22" t="str">
        <f>IF(C677="","",IF(C677="Match",INDEX('Match Log'!$A:$A,D677),IF(C677="Tournament",INDEX('Tournament Log'!$A:$A,E677),INDEX('Guest Log'!$A:$A,Q677))))</f>
        <v/>
      </c>
      <c r="C677" s="22" t="str">
        <f t="shared" si="50"/>
        <v/>
      </c>
      <c r="D677" s="39" t="str">
        <f>IFERROR(MATCH($A677,'Match Log'!$K$3:$K$501,0)+2,"")</f>
        <v/>
      </c>
      <c r="E677" s="39" t="str">
        <f>IFERROR(MATCH($A677,'Tournament Log'!$O$4:$O$203,0)+3,"")</f>
        <v/>
      </c>
      <c r="F677" s="22" t="str">
        <f>IF(C677="","",IF(C677="Match",INDEX('Match Log'!$B:$B,D677),IF(C677="Tournament",INDEX('Tournament Log'!$C:$C,E677),INDEX('Guest Log'!$B:$B,Q677))))</f>
        <v/>
      </c>
      <c r="G677" s="22" t="str">
        <f>IF(C677="","",IF(C677="Match",INDEX('Match Log'!$C:$C,D677),IF(C677="Tournament",INDEX('Tournament Log'!$B:$B,E677)&amp;" (Phantom)",INDEX('Guest Log'!$H:$H,Q677)&amp;" (Guest)")))</f>
        <v/>
      </c>
      <c r="H677" s="22" t="str">
        <f t="array" ref="H677">IF(C677="","",IFERROR(LOOKUP(2,1/(($F$1:F676=F677)+($G$1:G676=F677)),IF($F$1:F676=F677,$N$1:N676,$O$1:O676)),1000))</f>
        <v/>
      </c>
      <c r="I677" s="22" t="str">
        <f t="array" ref="I677">IF(C677="","",IF(C677="Tournament",INDEX('Tournament Log'!$J:$J,E677),IF(C677="Guest",IF(INDEX('Guest Log'!$I:$I,Q677)="",1000,INDEX('Guest Log'!$I:$I,Q677)),IFERROR(LOOKUP(2,1/(($F$1:F676=G677)+($G$1:G676=G677)),IF($F$1:F676=G677,$N$1:N676,$O$1:O676)),1000))))</f>
        <v/>
      </c>
      <c r="J677" s="22" t="str">
        <f t="shared" si="51"/>
        <v/>
      </c>
      <c r="K677" s="12" t="str">
        <f>IF(C677="","",IF(C677="Match",IF(INDEX('Match Log'!$D:$D,D677)="Win",1,IF(INDEX('Match Log'!$D:$D,D677)="Draw",0.5,0)),IF(C677="Tournament",INDEX('Tournament Log'!$K:$K,E677),IF(INDEX('Guest Log'!$C:$C,Q677)="Win",1,IF(INDEX('Guest Log'!$C:$C,Q677)="Draw",0.5,0)))))</f>
        <v/>
      </c>
      <c r="L677" s="12" t="str">
        <f>IF(C677="","",IF(C677="Match",32,IF(C677="Tournament",MIN(32*INDEX('Tournament Log'!$D:$D,E677),96),32)))</f>
        <v/>
      </c>
      <c r="M677" s="12" t="str">
        <f t="shared" si="52"/>
        <v/>
      </c>
      <c r="N677" s="12" t="str">
        <f t="shared" si="53"/>
        <v/>
      </c>
      <c r="O677" s="12" t="str">
        <f t="shared" si="54"/>
        <v/>
      </c>
      <c r="P677" s="12" t="str">
        <f>IF(C677="Tournament",INDEX('Tournament Log'!$B:$B,E677),IF(C677="Guest","Guest: "&amp;INDEX('Guest Log'!$H:$H,Q677),""))</f>
        <v/>
      </c>
      <c r="Q677" t="str">
        <f>IFERROR(MATCH($A677,'Guest Log'!$L$4:$L$203,0)+3,"")</f>
        <v/>
      </c>
    </row>
    <row r="678" spans="1:17" ht="15" customHeight="1" x14ac:dyDescent="0.2">
      <c r="A678" s="37">
        <f>677</f>
        <v>677</v>
      </c>
      <c r="B678" s="37" t="str">
        <f>IF(C678="","",IF(C678="Match",INDEX('Match Log'!$A:$A,D678),IF(C678="Tournament",INDEX('Tournament Log'!$A:$A,E678),INDEX('Guest Log'!$A:$A,Q678))))</f>
        <v/>
      </c>
      <c r="C678" s="37" t="str">
        <f t="shared" si="50"/>
        <v/>
      </c>
      <c r="D678" s="38" t="str">
        <f>IFERROR(MATCH($A678,'Match Log'!$K$3:$K$501,0)+2,"")</f>
        <v/>
      </c>
      <c r="E678" s="38" t="str">
        <f>IFERROR(MATCH($A678,'Tournament Log'!$O$4:$O$203,0)+3,"")</f>
        <v/>
      </c>
      <c r="F678" s="37" t="str">
        <f>IF(C678="","",IF(C678="Match",INDEX('Match Log'!$B:$B,D678),IF(C678="Tournament",INDEX('Tournament Log'!$C:$C,E678),INDEX('Guest Log'!$B:$B,Q678))))</f>
        <v/>
      </c>
      <c r="G678" s="37" t="str">
        <f>IF(C678="","",IF(C678="Match",INDEX('Match Log'!$C:$C,D678),IF(C678="Tournament",INDEX('Tournament Log'!$B:$B,E678)&amp;" (Phantom)",INDEX('Guest Log'!$H:$H,Q678)&amp;" (Guest)")))</f>
        <v/>
      </c>
      <c r="H678" s="37" t="str">
        <f t="array" ref="H678">IF(C678="","",IFERROR(LOOKUP(2,1/(($F$1:F677=F678)+($G$1:G677=F678)),IF($F$1:F677=F678,$N$1:N677,$O$1:O677)),1000))</f>
        <v/>
      </c>
      <c r="I678" s="37" t="str">
        <f t="array" ref="I678">IF(C678="","",IF(C678="Tournament",INDEX('Tournament Log'!$J:$J,E678),IF(C678="Guest",IF(INDEX('Guest Log'!$I:$I,Q678)="",1000,INDEX('Guest Log'!$I:$I,Q678)),IFERROR(LOOKUP(2,1/(($F$1:F677=G678)+($G$1:G677=G678)),IF($F$1:F677=G678,$N$1:N677,$O$1:O677)),1000))))</f>
        <v/>
      </c>
      <c r="J678" s="37" t="str">
        <f t="shared" si="51"/>
        <v/>
      </c>
      <c r="K678" s="12" t="str">
        <f>IF(C678="","",IF(C678="Match",IF(INDEX('Match Log'!$D:$D,D678)="Win",1,IF(INDEX('Match Log'!$D:$D,D678)="Draw",0.5,0)),IF(C678="Tournament",INDEX('Tournament Log'!$K:$K,E678),IF(INDEX('Guest Log'!$C:$C,Q678)="Win",1,IF(INDEX('Guest Log'!$C:$C,Q678)="Draw",0.5,0)))))</f>
        <v/>
      </c>
      <c r="L678" s="12" t="str">
        <f>IF(C678="","",IF(C678="Match",32,IF(C678="Tournament",MIN(32*INDEX('Tournament Log'!$D:$D,E678),96),32)))</f>
        <v/>
      </c>
      <c r="M678" s="12" t="str">
        <f t="shared" si="52"/>
        <v/>
      </c>
      <c r="N678" s="12" t="str">
        <f t="shared" si="53"/>
        <v/>
      </c>
      <c r="O678" s="12" t="str">
        <f t="shared" si="54"/>
        <v/>
      </c>
      <c r="P678" s="12" t="str">
        <f>IF(C678="Tournament",INDEX('Tournament Log'!$B:$B,E678),IF(C678="Guest","Guest: "&amp;INDEX('Guest Log'!$H:$H,Q678),""))</f>
        <v/>
      </c>
      <c r="Q678" t="str">
        <f>IFERROR(MATCH($A678,'Guest Log'!$L$4:$L$203,0)+3,"")</f>
        <v/>
      </c>
    </row>
    <row r="679" spans="1:17" ht="15" customHeight="1" x14ac:dyDescent="0.2">
      <c r="A679" s="22">
        <f>678</f>
        <v>678</v>
      </c>
      <c r="B679" s="22" t="str">
        <f>IF(C679="","",IF(C679="Match",INDEX('Match Log'!$A:$A,D679),IF(C679="Tournament",INDEX('Tournament Log'!$A:$A,E679),INDEX('Guest Log'!$A:$A,Q679))))</f>
        <v/>
      </c>
      <c r="C679" s="22" t="str">
        <f t="shared" si="50"/>
        <v/>
      </c>
      <c r="D679" s="39" t="str">
        <f>IFERROR(MATCH($A679,'Match Log'!$K$3:$K$501,0)+2,"")</f>
        <v/>
      </c>
      <c r="E679" s="39" t="str">
        <f>IFERROR(MATCH($A679,'Tournament Log'!$O$4:$O$203,0)+3,"")</f>
        <v/>
      </c>
      <c r="F679" s="22" t="str">
        <f>IF(C679="","",IF(C679="Match",INDEX('Match Log'!$B:$B,D679),IF(C679="Tournament",INDEX('Tournament Log'!$C:$C,E679),INDEX('Guest Log'!$B:$B,Q679))))</f>
        <v/>
      </c>
      <c r="G679" s="22" t="str">
        <f>IF(C679="","",IF(C679="Match",INDEX('Match Log'!$C:$C,D679),IF(C679="Tournament",INDEX('Tournament Log'!$B:$B,E679)&amp;" (Phantom)",INDEX('Guest Log'!$H:$H,Q679)&amp;" (Guest)")))</f>
        <v/>
      </c>
      <c r="H679" s="22" t="str">
        <f t="array" ref="H679">IF(C679="","",IFERROR(LOOKUP(2,1/(($F$1:F678=F679)+($G$1:G678=F679)),IF($F$1:F678=F679,$N$1:N678,$O$1:O678)),1000))</f>
        <v/>
      </c>
      <c r="I679" s="22" t="str">
        <f t="array" ref="I679">IF(C679="","",IF(C679="Tournament",INDEX('Tournament Log'!$J:$J,E679),IF(C679="Guest",IF(INDEX('Guest Log'!$I:$I,Q679)="",1000,INDEX('Guest Log'!$I:$I,Q679)),IFERROR(LOOKUP(2,1/(($F$1:F678=G679)+($G$1:G678=G679)),IF($F$1:F678=G679,$N$1:N678,$O$1:O678)),1000))))</f>
        <v/>
      </c>
      <c r="J679" s="22" t="str">
        <f t="shared" si="51"/>
        <v/>
      </c>
      <c r="K679" s="12" t="str">
        <f>IF(C679="","",IF(C679="Match",IF(INDEX('Match Log'!$D:$D,D679)="Win",1,IF(INDEX('Match Log'!$D:$D,D679)="Draw",0.5,0)),IF(C679="Tournament",INDEX('Tournament Log'!$K:$K,E679),IF(INDEX('Guest Log'!$C:$C,Q679)="Win",1,IF(INDEX('Guest Log'!$C:$C,Q679)="Draw",0.5,0)))))</f>
        <v/>
      </c>
      <c r="L679" s="12" t="str">
        <f>IF(C679="","",IF(C679="Match",32,IF(C679="Tournament",MIN(32*INDEX('Tournament Log'!$D:$D,E679),96),32)))</f>
        <v/>
      </c>
      <c r="M679" s="12" t="str">
        <f t="shared" si="52"/>
        <v/>
      </c>
      <c r="N679" s="12" t="str">
        <f t="shared" si="53"/>
        <v/>
      </c>
      <c r="O679" s="12" t="str">
        <f t="shared" si="54"/>
        <v/>
      </c>
      <c r="P679" s="12" t="str">
        <f>IF(C679="Tournament",INDEX('Tournament Log'!$B:$B,E679),IF(C679="Guest","Guest: "&amp;INDEX('Guest Log'!$H:$H,Q679),""))</f>
        <v/>
      </c>
      <c r="Q679" t="str">
        <f>IFERROR(MATCH($A679,'Guest Log'!$L$4:$L$203,0)+3,"")</f>
        <v/>
      </c>
    </row>
    <row r="680" spans="1:17" ht="15" customHeight="1" x14ac:dyDescent="0.2">
      <c r="A680" s="37">
        <f>679</f>
        <v>679</v>
      </c>
      <c r="B680" s="37" t="str">
        <f>IF(C680="","",IF(C680="Match",INDEX('Match Log'!$A:$A,D680),IF(C680="Tournament",INDEX('Tournament Log'!$A:$A,E680),INDEX('Guest Log'!$A:$A,Q680))))</f>
        <v/>
      </c>
      <c r="C680" s="37" t="str">
        <f t="shared" si="50"/>
        <v/>
      </c>
      <c r="D680" s="38" t="str">
        <f>IFERROR(MATCH($A680,'Match Log'!$K$3:$K$501,0)+2,"")</f>
        <v/>
      </c>
      <c r="E680" s="38" t="str">
        <f>IFERROR(MATCH($A680,'Tournament Log'!$O$4:$O$203,0)+3,"")</f>
        <v/>
      </c>
      <c r="F680" s="37" t="str">
        <f>IF(C680="","",IF(C680="Match",INDEX('Match Log'!$B:$B,D680),IF(C680="Tournament",INDEX('Tournament Log'!$C:$C,E680),INDEX('Guest Log'!$B:$B,Q680))))</f>
        <v/>
      </c>
      <c r="G680" s="37" t="str">
        <f>IF(C680="","",IF(C680="Match",INDEX('Match Log'!$C:$C,D680),IF(C680="Tournament",INDEX('Tournament Log'!$B:$B,E680)&amp;" (Phantom)",INDEX('Guest Log'!$H:$H,Q680)&amp;" (Guest)")))</f>
        <v/>
      </c>
      <c r="H680" s="37" t="str">
        <f t="array" ref="H680">IF(C680="","",IFERROR(LOOKUP(2,1/(($F$1:F679=F680)+($G$1:G679=F680)),IF($F$1:F679=F680,$N$1:N679,$O$1:O679)),1000))</f>
        <v/>
      </c>
      <c r="I680" s="37" t="str">
        <f t="array" ref="I680">IF(C680="","",IF(C680="Tournament",INDEX('Tournament Log'!$J:$J,E680),IF(C680="Guest",IF(INDEX('Guest Log'!$I:$I,Q680)="",1000,INDEX('Guest Log'!$I:$I,Q680)),IFERROR(LOOKUP(2,1/(($F$1:F679=G680)+($G$1:G679=G680)),IF($F$1:F679=G680,$N$1:N679,$O$1:O679)),1000))))</f>
        <v/>
      </c>
      <c r="J680" s="37" t="str">
        <f t="shared" si="51"/>
        <v/>
      </c>
      <c r="K680" s="12" t="str">
        <f>IF(C680="","",IF(C680="Match",IF(INDEX('Match Log'!$D:$D,D680)="Win",1,IF(INDEX('Match Log'!$D:$D,D680)="Draw",0.5,0)),IF(C680="Tournament",INDEX('Tournament Log'!$K:$K,E680),IF(INDEX('Guest Log'!$C:$C,Q680)="Win",1,IF(INDEX('Guest Log'!$C:$C,Q680)="Draw",0.5,0)))))</f>
        <v/>
      </c>
      <c r="L680" s="12" t="str">
        <f>IF(C680="","",IF(C680="Match",32,IF(C680="Tournament",MIN(32*INDEX('Tournament Log'!$D:$D,E680),96),32)))</f>
        <v/>
      </c>
      <c r="M680" s="12" t="str">
        <f t="shared" si="52"/>
        <v/>
      </c>
      <c r="N680" s="12" t="str">
        <f t="shared" si="53"/>
        <v/>
      </c>
      <c r="O680" s="12" t="str">
        <f t="shared" si="54"/>
        <v/>
      </c>
      <c r="P680" s="12" t="str">
        <f>IF(C680="Tournament",INDEX('Tournament Log'!$B:$B,E680),IF(C680="Guest","Guest: "&amp;INDEX('Guest Log'!$H:$H,Q680),""))</f>
        <v/>
      </c>
      <c r="Q680" t="str">
        <f>IFERROR(MATCH($A680,'Guest Log'!$L$4:$L$203,0)+3,"")</f>
        <v/>
      </c>
    </row>
    <row r="681" spans="1:17" ht="15" customHeight="1" x14ac:dyDescent="0.2">
      <c r="A681" s="22">
        <f>680</f>
        <v>680</v>
      </c>
      <c r="B681" s="22" t="str">
        <f>IF(C681="","",IF(C681="Match",INDEX('Match Log'!$A:$A,D681),IF(C681="Tournament",INDEX('Tournament Log'!$A:$A,E681),INDEX('Guest Log'!$A:$A,Q681))))</f>
        <v/>
      </c>
      <c r="C681" s="22" t="str">
        <f t="shared" si="50"/>
        <v/>
      </c>
      <c r="D681" s="39" t="str">
        <f>IFERROR(MATCH($A681,'Match Log'!$K$3:$K$501,0)+2,"")</f>
        <v/>
      </c>
      <c r="E681" s="39" t="str">
        <f>IFERROR(MATCH($A681,'Tournament Log'!$O$4:$O$203,0)+3,"")</f>
        <v/>
      </c>
      <c r="F681" s="22" t="str">
        <f>IF(C681="","",IF(C681="Match",INDEX('Match Log'!$B:$B,D681),IF(C681="Tournament",INDEX('Tournament Log'!$C:$C,E681),INDEX('Guest Log'!$B:$B,Q681))))</f>
        <v/>
      </c>
      <c r="G681" s="22" t="str">
        <f>IF(C681="","",IF(C681="Match",INDEX('Match Log'!$C:$C,D681),IF(C681="Tournament",INDEX('Tournament Log'!$B:$B,E681)&amp;" (Phantom)",INDEX('Guest Log'!$H:$H,Q681)&amp;" (Guest)")))</f>
        <v/>
      </c>
      <c r="H681" s="22" t="str">
        <f t="array" ref="H681">IF(C681="","",IFERROR(LOOKUP(2,1/(($F$1:F680=F681)+($G$1:G680=F681)),IF($F$1:F680=F681,$N$1:N680,$O$1:O680)),1000))</f>
        <v/>
      </c>
      <c r="I681" s="22" t="str">
        <f t="array" ref="I681">IF(C681="","",IF(C681="Tournament",INDEX('Tournament Log'!$J:$J,E681),IF(C681="Guest",IF(INDEX('Guest Log'!$I:$I,Q681)="",1000,INDEX('Guest Log'!$I:$I,Q681)),IFERROR(LOOKUP(2,1/(($F$1:F680=G681)+($G$1:G680=G681)),IF($F$1:F680=G681,$N$1:N680,$O$1:O680)),1000))))</f>
        <v/>
      </c>
      <c r="J681" s="22" t="str">
        <f t="shared" si="51"/>
        <v/>
      </c>
      <c r="K681" s="12" t="str">
        <f>IF(C681="","",IF(C681="Match",IF(INDEX('Match Log'!$D:$D,D681)="Win",1,IF(INDEX('Match Log'!$D:$D,D681)="Draw",0.5,0)),IF(C681="Tournament",INDEX('Tournament Log'!$K:$K,E681),IF(INDEX('Guest Log'!$C:$C,Q681)="Win",1,IF(INDEX('Guest Log'!$C:$C,Q681)="Draw",0.5,0)))))</f>
        <v/>
      </c>
      <c r="L681" s="12" t="str">
        <f>IF(C681="","",IF(C681="Match",32,IF(C681="Tournament",MIN(32*INDEX('Tournament Log'!$D:$D,E681),96),32)))</f>
        <v/>
      </c>
      <c r="M681" s="12" t="str">
        <f t="shared" si="52"/>
        <v/>
      </c>
      <c r="N681" s="12" t="str">
        <f t="shared" si="53"/>
        <v/>
      </c>
      <c r="O681" s="12" t="str">
        <f t="shared" si="54"/>
        <v/>
      </c>
      <c r="P681" s="12" t="str">
        <f>IF(C681="Tournament",INDEX('Tournament Log'!$B:$B,E681),IF(C681="Guest","Guest: "&amp;INDEX('Guest Log'!$H:$H,Q681),""))</f>
        <v/>
      </c>
      <c r="Q681" t="str">
        <f>IFERROR(MATCH($A681,'Guest Log'!$L$4:$L$203,0)+3,"")</f>
        <v/>
      </c>
    </row>
    <row r="682" spans="1:17" ht="15" customHeight="1" x14ac:dyDescent="0.2">
      <c r="A682" s="37">
        <f>681</f>
        <v>681</v>
      </c>
      <c r="B682" s="37" t="str">
        <f>IF(C682="","",IF(C682="Match",INDEX('Match Log'!$A:$A,D682),IF(C682="Tournament",INDEX('Tournament Log'!$A:$A,E682),INDEX('Guest Log'!$A:$A,Q682))))</f>
        <v/>
      </c>
      <c r="C682" s="37" t="str">
        <f t="shared" si="50"/>
        <v/>
      </c>
      <c r="D682" s="38" t="str">
        <f>IFERROR(MATCH($A682,'Match Log'!$K$3:$K$501,0)+2,"")</f>
        <v/>
      </c>
      <c r="E682" s="38" t="str">
        <f>IFERROR(MATCH($A682,'Tournament Log'!$O$4:$O$203,0)+3,"")</f>
        <v/>
      </c>
      <c r="F682" s="37" t="str">
        <f>IF(C682="","",IF(C682="Match",INDEX('Match Log'!$B:$B,D682),IF(C682="Tournament",INDEX('Tournament Log'!$C:$C,E682),INDEX('Guest Log'!$B:$B,Q682))))</f>
        <v/>
      </c>
      <c r="G682" s="37" t="str">
        <f>IF(C682="","",IF(C682="Match",INDEX('Match Log'!$C:$C,D682),IF(C682="Tournament",INDEX('Tournament Log'!$B:$B,E682)&amp;" (Phantom)",INDEX('Guest Log'!$H:$H,Q682)&amp;" (Guest)")))</f>
        <v/>
      </c>
      <c r="H682" s="37" t="str">
        <f t="array" ref="H682">IF(C682="","",IFERROR(LOOKUP(2,1/(($F$1:F681=F682)+($G$1:G681=F682)),IF($F$1:F681=F682,$N$1:N681,$O$1:O681)),1000))</f>
        <v/>
      </c>
      <c r="I682" s="37" t="str">
        <f t="array" ref="I682">IF(C682="","",IF(C682="Tournament",INDEX('Tournament Log'!$J:$J,E682),IF(C682="Guest",IF(INDEX('Guest Log'!$I:$I,Q682)="",1000,INDEX('Guest Log'!$I:$I,Q682)),IFERROR(LOOKUP(2,1/(($F$1:F681=G682)+($G$1:G681=G682)),IF($F$1:F681=G682,$N$1:N681,$O$1:O681)),1000))))</f>
        <v/>
      </c>
      <c r="J682" s="37" t="str">
        <f t="shared" si="51"/>
        <v/>
      </c>
      <c r="K682" s="12" t="str">
        <f>IF(C682="","",IF(C682="Match",IF(INDEX('Match Log'!$D:$D,D682)="Win",1,IF(INDEX('Match Log'!$D:$D,D682)="Draw",0.5,0)),IF(C682="Tournament",INDEX('Tournament Log'!$K:$K,E682),IF(INDEX('Guest Log'!$C:$C,Q682)="Win",1,IF(INDEX('Guest Log'!$C:$C,Q682)="Draw",0.5,0)))))</f>
        <v/>
      </c>
      <c r="L682" s="12" t="str">
        <f>IF(C682="","",IF(C682="Match",32,IF(C682="Tournament",MIN(32*INDEX('Tournament Log'!$D:$D,E682),96),32)))</f>
        <v/>
      </c>
      <c r="M682" s="12" t="str">
        <f t="shared" si="52"/>
        <v/>
      </c>
      <c r="N682" s="12" t="str">
        <f t="shared" si="53"/>
        <v/>
      </c>
      <c r="O682" s="12" t="str">
        <f t="shared" si="54"/>
        <v/>
      </c>
      <c r="P682" s="12" t="str">
        <f>IF(C682="Tournament",INDEX('Tournament Log'!$B:$B,E682),IF(C682="Guest","Guest: "&amp;INDEX('Guest Log'!$H:$H,Q682),""))</f>
        <v/>
      </c>
      <c r="Q682" t="str">
        <f>IFERROR(MATCH($A682,'Guest Log'!$L$4:$L$203,0)+3,"")</f>
        <v/>
      </c>
    </row>
    <row r="683" spans="1:17" ht="15" customHeight="1" x14ac:dyDescent="0.2">
      <c r="A683" s="22">
        <f>682</f>
        <v>682</v>
      </c>
      <c r="B683" s="22" t="str">
        <f>IF(C683="","",IF(C683="Match",INDEX('Match Log'!$A:$A,D683),IF(C683="Tournament",INDEX('Tournament Log'!$A:$A,E683),INDEX('Guest Log'!$A:$A,Q683))))</f>
        <v/>
      </c>
      <c r="C683" s="22" t="str">
        <f t="shared" si="50"/>
        <v/>
      </c>
      <c r="D683" s="39" t="str">
        <f>IFERROR(MATCH($A683,'Match Log'!$K$3:$K$501,0)+2,"")</f>
        <v/>
      </c>
      <c r="E683" s="39" t="str">
        <f>IFERROR(MATCH($A683,'Tournament Log'!$O$4:$O$203,0)+3,"")</f>
        <v/>
      </c>
      <c r="F683" s="22" t="str">
        <f>IF(C683="","",IF(C683="Match",INDEX('Match Log'!$B:$B,D683),IF(C683="Tournament",INDEX('Tournament Log'!$C:$C,E683),INDEX('Guest Log'!$B:$B,Q683))))</f>
        <v/>
      </c>
      <c r="G683" s="22" t="str">
        <f>IF(C683="","",IF(C683="Match",INDEX('Match Log'!$C:$C,D683),IF(C683="Tournament",INDEX('Tournament Log'!$B:$B,E683)&amp;" (Phantom)",INDEX('Guest Log'!$H:$H,Q683)&amp;" (Guest)")))</f>
        <v/>
      </c>
      <c r="H683" s="22" t="str">
        <f t="array" ref="H683">IF(C683="","",IFERROR(LOOKUP(2,1/(($F$1:F682=F683)+($G$1:G682=F683)),IF($F$1:F682=F683,$N$1:N682,$O$1:O682)),1000))</f>
        <v/>
      </c>
      <c r="I683" s="22" t="str">
        <f t="array" ref="I683">IF(C683="","",IF(C683="Tournament",INDEX('Tournament Log'!$J:$J,E683),IF(C683="Guest",IF(INDEX('Guest Log'!$I:$I,Q683)="",1000,INDEX('Guest Log'!$I:$I,Q683)),IFERROR(LOOKUP(2,1/(($F$1:F682=G683)+($G$1:G682=G683)),IF($F$1:F682=G683,$N$1:N682,$O$1:O682)),1000))))</f>
        <v/>
      </c>
      <c r="J683" s="22" t="str">
        <f t="shared" si="51"/>
        <v/>
      </c>
      <c r="K683" s="12" t="str">
        <f>IF(C683="","",IF(C683="Match",IF(INDEX('Match Log'!$D:$D,D683)="Win",1,IF(INDEX('Match Log'!$D:$D,D683)="Draw",0.5,0)),IF(C683="Tournament",INDEX('Tournament Log'!$K:$K,E683),IF(INDEX('Guest Log'!$C:$C,Q683)="Win",1,IF(INDEX('Guest Log'!$C:$C,Q683)="Draw",0.5,0)))))</f>
        <v/>
      </c>
      <c r="L683" s="12" t="str">
        <f>IF(C683="","",IF(C683="Match",32,IF(C683="Tournament",MIN(32*INDEX('Tournament Log'!$D:$D,E683),96),32)))</f>
        <v/>
      </c>
      <c r="M683" s="12" t="str">
        <f t="shared" si="52"/>
        <v/>
      </c>
      <c r="N683" s="12" t="str">
        <f t="shared" si="53"/>
        <v/>
      </c>
      <c r="O683" s="12" t="str">
        <f t="shared" si="54"/>
        <v/>
      </c>
      <c r="P683" s="12" t="str">
        <f>IF(C683="Tournament",INDEX('Tournament Log'!$B:$B,E683),IF(C683="Guest","Guest: "&amp;INDEX('Guest Log'!$H:$H,Q683),""))</f>
        <v/>
      </c>
      <c r="Q683" t="str">
        <f>IFERROR(MATCH($A683,'Guest Log'!$L$4:$L$203,0)+3,"")</f>
        <v/>
      </c>
    </row>
    <row r="684" spans="1:17" ht="15" customHeight="1" x14ac:dyDescent="0.2">
      <c r="A684" s="37">
        <f>683</f>
        <v>683</v>
      </c>
      <c r="B684" s="37" t="str">
        <f>IF(C684="","",IF(C684="Match",INDEX('Match Log'!$A:$A,D684),IF(C684="Tournament",INDEX('Tournament Log'!$A:$A,E684),INDEX('Guest Log'!$A:$A,Q684))))</f>
        <v/>
      </c>
      <c r="C684" s="37" t="str">
        <f t="shared" si="50"/>
        <v/>
      </c>
      <c r="D684" s="38" t="str">
        <f>IFERROR(MATCH($A684,'Match Log'!$K$3:$K$501,0)+2,"")</f>
        <v/>
      </c>
      <c r="E684" s="38" t="str">
        <f>IFERROR(MATCH($A684,'Tournament Log'!$O$4:$O$203,0)+3,"")</f>
        <v/>
      </c>
      <c r="F684" s="37" t="str">
        <f>IF(C684="","",IF(C684="Match",INDEX('Match Log'!$B:$B,D684),IF(C684="Tournament",INDEX('Tournament Log'!$C:$C,E684),INDEX('Guest Log'!$B:$B,Q684))))</f>
        <v/>
      </c>
      <c r="G684" s="37" t="str">
        <f>IF(C684="","",IF(C684="Match",INDEX('Match Log'!$C:$C,D684),IF(C684="Tournament",INDEX('Tournament Log'!$B:$B,E684)&amp;" (Phantom)",INDEX('Guest Log'!$H:$H,Q684)&amp;" (Guest)")))</f>
        <v/>
      </c>
      <c r="H684" s="37" t="str">
        <f t="array" ref="H684">IF(C684="","",IFERROR(LOOKUP(2,1/(($F$1:F683=F684)+($G$1:G683=F684)),IF($F$1:F683=F684,$N$1:N683,$O$1:O683)),1000))</f>
        <v/>
      </c>
      <c r="I684" s="37" t="str">
        <f t="array" ref="I684">IF(C684="","",IF(C684="Tournament",INDEX('Tournament Log'!$J:$J,E684),IF(C684="Guest",IF(INDEX('Guest Log'!$I:$I,Q684)="",1000,INDEX('Guest Log'!$I:$I,Q684)),IFERROR(LOOKUP(2,1/(($F$1:F683=G684)+($G$1:G683=G684)),IF($F$1:F683=G684,$N$1:N683,$O$1:O683)),1000))))</f>
        <v/>
      </c>
      <c r="J684" s="37" t="str">
        <f t="shared" si="51"/>
        <v/>
      </c>
      <c r="K684" s="12" t="str">
        <f>IF(C684="","",IF(C684="Match",IF(INDEX('Match Log'!$D:$D,D684)="Win",1,IF(INDEX('Match Log'!$D:$D,D684)="Draw",0.5,0)),IF(C684="Tournament",INDEX('Tournament Log'!$K:$K,E684),IF(INDEX('Guest Log'!$C:$C,Q684)="Win",1,IF(INDEX('Guest Log'!$C:$C,Q684)="Draw",0.5,0)))))</f>
        <v/>
      </c>
      <c r="L684" s="12" t="str">
        <f>IF(C684="","",IF(C684="Match",32,IF(C684="Tournament",MIN(32*INDEX('Tournament Log'!$D:$D,E684),96),32)))</f>
        <v/>
      </c>
      <c r="M684" s="12" t="str">
        <f t="shared" si="52"/>
        <v/>
      </c>
      <c r="N684" s="12" t="str">
        <f t="shared" si="53"/>
        <v/>
      </c>
      <c r="O684" s="12" t="str">
        <f t="shared" si="54"/>
        <v/>
      </c>
      <c r="P684" s="12" t="str">
        <f>IF(C684="Tournament",INDEX('Tournament Log'!$B:$B,E684),IF(C684="Guest","Guest: "&amp;INDEX('Guest Log'!$H:$H,Q684),""))</f>
        <v/>
      </c>
      <c r="Q684" t="str">
        <f>IFERROR(MATCH($A684,'Guest Log'!$L$4:$L$203,0)+3,"")</f>
        <v/>
      </c>
    </row>
    <row r="685" spans="1:17" ht="15" customHeight="1" x14ac:dyDescent="0.2">
      <c r="A685" s="22">
        <f>684</f>
        <v>684</v>
      </c>
      <c r="B685" s="22" t="str">
        <f>IF(C685="","",IF(C685="Match",INDEX('Match Log'!$A:$A,D685),IF(C685="Tournament",INDEX('Tournament Log'!$A:$A,E685),INDEX('Guest Log'!$A:$A,Q685))))</f>
        <v/>
      </c>
      <c r="C685" s="22" t="str">
        <f t="shared" si="50"/>
        <v/>
      </c>
      <c r="D685" s="39" t="str">
        <f>IFERROR(MATCH($A685,'Match Log'!$K$3:$K$501,0)+2,"")</f>
        <v/>
      </c>
      <c r="E685" s="39" t="str">
        <f>IFERROR(MATCH($A685,'Tournament Log'!$O$4:$O$203,0)+3,"")</f>
        <v/>
      </c>
      <c r="F685" s="22" t="str">
        <f>IF(C685="","",IF(C685="Match",INDEX('Match Log'!$B:$B,D685),IF(C685="Tournament",INDEX('Tournament Log'!$C:$C,E685),INDEX('Guest Log'!$B:$B,Q685))))</f>
        <v/>
      </c>
      <c r="G685" s="22" t="str">
        <f>IF(C685="","",IF(C685="Match",INDEX('Match Log'!$C:$C,D685),IF(C685="Tournament",INDEX('Tournament Log'!$B:$B,E685)&amp;" (Phantom)",INDEX('Guest Log'!$H:$H,Q685)&amp;" (Guest)")))</f>
        <v/>
      </c>
      <c r="H685" s="22" t="str">
        <f t="array" ref="H685">IF(C685="","",IFERROR(LOOKUP(2,1/(($F$1:F684=F685)+($G$1:G684=F685)),IF($F$1:F684=F685,$N$1:N684,$O$1:O684)),1000))</f>
        <v/>
      </c>
      <c r="I685" s="22" t="str">
        <f t="array" ref="I685">IF(C685="","",IF(C685="Tournament",INDEX('Tournament Log'!$J:$J,E685),IF(C685="Guest",IF(INDEX('Guest Log'!$I:$I,Q685)="",1000,INDEX('Guest Log'!$I:$I,Q685)),IFERROR(LOOKUP(2,1/(($F$1:F684=G685)+($G$1:G684=G685)),IF($F$1:F684=G685,$N$1:N684,$O$1:O684)),1000))))</f>
        <v/>
      </c>
      <c r="J685" s="22" t="str">
        <f t="shared" si="51"/>
        <v/>
      </c>
      <c r="K685" s="12" t="str">
        <f>IF(C685="","",IF(C685="Match",IF(INDEX('Match Log'!$D:$D,D685)="Win",1,IF(INDEX('Match Log'!$D:$D,D685)="Draw",0.5,0)),IF(C685="Tournament",INDEX('Tournament Log'!$K:$K,E685),IF(INDEX('Guest Log'!$C:$C,Q685)="Win",1,IF(INDEX('Guest Log'!$C:$C,Q685)="Draw",0.5,0)))))</f>
        <v/>
      </c>
      <c r="L685" s="12" t="str">
        <f>IF(C685="","",IF(C685="Match",32,IF(C685="Tournament",MIN(32*INDEX('Tournament Log'!$D:$D,E685),96),32)))</f>
        <v/>
      </c>
      <c r="M685" s="12" t="str">
        <f t="shared" si="52"/>
        <v/>
      </c>
      <c r="N685" s="12" t="str">
        <f t="shared" si="53"/>
        <v/>
      </c>
      <c r="O685" s="12" t="str">
        <f t="shared" si="54"/>
        <v/>
      </c>
      <c r="P685" s="12" t="str">
        <f>IF(C685="Tournament",INDEX('Tournament Log'!$B:$B,E685),IF(C685="Guest","Guest: "&amp;INDEX('Guest Log'!$H:$H,Q685),""))</f>
        <v/>
      </c>
      <c r="Q685" t="str">
        <f>IFERROR(MATCH($A685,'Guest Log'!$L$4:$L$203,0)+3,"")</f>
        <v/>
      </c>
    </row>
    <row r="686" spans="1:17" ht="15" customHeight="1" x14ac:dyDescent="0.2">
      <c r="A686" s="37">
        <f>685</f>
        <v>685</v>
      </c>
      <c r="B686" s="37" t="str">
        <f>IF(C686="","",IF(C686="Match",INDEX('Match Log'!$A:$A,D686),IF(C686="Tournament",INDEX('Tournament Log'!$A:$A,E686),INDEX('Guest Log'!$A:$A,Q686))))</f>
        <v/>
      </c>
      <c r="C686" s="37" t="str">
        <f t="shared" si="50"/>
        <v/>
      </c>
      <c r="D686" s="38" t="str">
        <f>IFERROR(MATCH($A686,'Match Log'!$K$3:$K$501,0)+2,"")</f>
        <v/>
      </c>
      <c r="E686" s="38" t="str">
        <f>IFERROR(MATCH($A686,'Tournament Log'!$O$4:$O$203,0)+3,"")</f>
        <v/>
      </c>
      <c r="F686" s="37" t="str">
        <f>IF(C686="","",IF(C686="Match",INDEX('Match Log'!$B:$B,D686),IF(C686="Tournament",INDEX('Tournament Log'!$C:$C,E686),INDEX('Guest Log'!$B:$B,Q686))))</f>
        <v/>
      </c>
      <c r="G686" s="37" t="str">
        <f>IF(C686="","",IF(C686="Match",INDEX('Match Log'!$C:$C,D686),IF(C686="Tournament",INDEX('Tournament Log'!$B:$B,E686)&amp;" (Phantom)",INDEX('Guest Log'!$H:$H,Q686)&amp;" (Guest)")))</f>
        <v/>
      </c>
      <c r="H686" s="37" t="str">
        <f t="array" ref="H686">IF(C686="","",IFERROR(LOOKUP(2,1/(($F$1:F685=F686)+($G$1:G685=F686)),IF($F$1:F685=F686,$N$1:N685,$O$1:O685)),1000))</f>
        <v/>
      </c>
      <c r="I686" s="37" t="str">
        <f t="array" ref="I686">IF(C686="","",IF(C686="Tournament",INDEX('Tournament Log'!$J:$J,E686),IF(C686="Guest",IF(INDEX('Guest Log'!$I:$I,Q686)="",1000,INDEX('Guest Log'!$I:$I,Q686)),IFERROR(LOOKUP(2,1/(($F$1:F685=G686)+($G$1:G685=G686)),IF($F$1:F685=G686,$N$1:N685,$O$1:O685)),1000))))</f>
        <v/>
      </c>
      <c r="J686" s="37" t="str">
        <f t="shared" si="51"/>
        <v/>
      </c>
      <c r="K686" s="12" t="str">
        <f>IF(C686="","",IF(C686="Match",IF(INDEX('Match Log'!$D:$D,D686)="Win",1,IF(INDEX('Match Log'!$D:$D,D686)="Draw",0.5,0)),IF(C686="Tournament",INDEX('Tournament Log'!$K:$K,E686),IF(INDEX('Guest Log'!$C:$C,Q686)="Win",1,IF(INDEX('Guest Log'!$C:$C,Q686)="Draw",0.5,0)))))</f>
        <v/>
      </c>
      <c r="L686" s="12" t="str">
        <f>IF(C686="","",IF(C686="Match",32,IF(C686="Tournament",MIN(32*INDEX('Tournament Log'!$D:$D,E686),96),32)))</f>
        <v/>
      </c>
      <c r="M686" s="12" t="str">
        <f t="shared" si="52"/>
        <v/>
      </c>
      <c r="N686" s="12" t="str">
        <f t="shared" si="53"/>
        <v/>
      </c>
      <c r="O686" s="12" t="str">
        <f t="shared" si="54"/>
        <v/>
      </c>
      <c r="P686" s="12" t="str">
        <f>IF(C686="Tournament",INDEX('Tournament Log'!$B:$B,E686),IF(C686="Guest","Guest: "&amp;INDEX('Guest Log'!$H:$H,Q686),""))</f>
        <v/>
      </c>
      <c r="Q686" t="str">
        <f>IFERROR(MATCH($A686,'Guest Log'!$L$4:$L$203,0)+3,"")</f>
        <v/>
      </c>
    </row>
    <row r="687" spans="1:17" ht="15" customHeight="1" x14ac:dyDescent="0.2">
      <c r="A687" s="22">
        <f>686</f>
        <v>686</v>
      </c>
      <c r="B687" s="22" t="str">
        <f>IF(C687="","",IF(C687="Match",INDEX('Match Log'!$A:$A,D687),IF(C687="Tournament",INDEX('Tournament Log'!$A:$A,E687),INDEX('Guest Log'!$A:$A,Q687))))</f>
        <v/>
      </c>
      <c r="C687" s="22" t="str">
        <f t="shared" si="50"/>
        <v/>
      </c>
      <c r="D687" s="39" t="str">
        <f>IFERROR(MATCH($A687,'Match Log'!$K$3:$K$501,0)+2,"")</f>
        <v/>
      </c>
      <c r="E687" s="39" t="str">
        <f>IFERROR(MATCH($A687,'Tournament Log'!$O$4:$O$203,0)+3,"")</f>
        <v/>
      </c>
      <c r="F687" s="22" t="str">
        <f>IF(C687="","",IF(C687="Match",INDEX('Match Log'!$B:$B,D687),IF(C687="Tournament",INDEX('Tournament Log'!$C:$C,E687),INDEX('Guest Log'!$B:$B,Q687))))</f>
        <v/>
      </c>
      <c r="G687" s="22" t="str">
        <f>IF(C687="","",IF(C687="Match",INDEX('Match Log'!$C:$C,D687),IF(C687="Tournament",INDEX('Tournament Log'!$B:$B,E687)&amp;" (Phantom)",INDEX('Guest Log'!$H:$H,Q687)&amp;" (Guest)")))</f>
        <v/>
      </c>
      <c r="H687" s="22" t="str">
        <f t="array" ref="H687">IF(C687="","",IFERROR(LOOKUP(2,1/(($F$1:F686=F687)+($G$1:G686=F687)),IF($F$1:F686=F687,$N$1:N686,$O$1:O686)),1000))</f>
        <v/>
      </c>
      <c r="I687" s="22" t="str">
        <f t="array" ref="I687">IF(C687="","",IF(C687="Tournament",INDEX('Tournament Log'!$J:$J,E687),IF(C687="Guest",IF(INDEX('Guest Log'!$I:$I,Q687)="",1000,INDEX('Guest Log'!$I:$I,Q687)),IFERROR(LOOKUP(2,1/(($F$1:F686=G687)+($G$1:G686=G687)),IF($F$1:F686=G687,$N$1:N686,$O$1:O686)),1000))))</f>
        <v/>
      </c>
      <c r="J687" s="22" t="str">
        <f t="shared" si="51"/>
        <v/>
      </c>
      <c r="K687" s="12" t="str">
        <f>IF(C687="","",IF(C687="Match",IF(INDEX('Match Log'!$D:$D,D687)="Win",1,IF(INDEX('Match Log'!$D:$D,D687)="Draw",0.5,0)),IF(C687="Tournament",INDEX('Tournament Log'!$K:$K,E687),IF(INDEX('Guest Log'!$C:$C,Q687)="Win",1,IF(INDEX('Guest Log'!$C:$C,Q687)="Draw",0.5,0)))))</f>
        <v/>
      </c>
      <c r="L687" s="12" t="str">
        <f>IF(C687="","",IF(C687="Match",32,IF(C687="Tournament",MIN(32*INDEX('Tournament Log'!$D:$D,E687),96),32)))</f>
        <v/>
      </c>
      <c r="M687" s="12" t="str">
        <f t="shared" si="52"/>
        <v/>
      </c>
      <c r="N687" s="12" t="str">
        <f t="shared" si="53"/>
        <v/>
      </c>
      <c r="O687" s="12" t="str">
        <f t="shared" si="54"/>
        <v/>
      </c>
      <c r="P687" s="12" t="str">
        <f>IF(C687="Tournament",INDEX('Tournament Log'!$B:$B,E687),IF(C687="Guest","Guest: "&amp;INDEX('Guest Log'!$H:$H,Q687),""))</f>
        <v/>
      </c>
      <c r="Q687" t="str">
        <f>IFERROR(MATCH($A687,'Guest Log'!$L$4:$L$203,0)+3,"")</f>
        <v/>
      </c>
    </row>
    <row r="688" spans="1:17" ht="15" customHeight="1" x14ac:dyDescent="0.2">
      <c r="A688" s="37">
        <f>687</f>
        <v>687</v>
      </c>
      <c r="B688" s="37" t="str">
        <f>IF(C688="","",IF(C688="Match",INDEX('Match Log'!$A:$A,D688),IF(C688="Tournament",INDEX('Tournament Log'!$A:$A,E688),INDEX('Guest Log'!$A:$A,Q688))))</f>
        <v/>
      </c>
      <c r="C688" s="37" t="str">
        <f t="shared" si="50"/>
        <v/>
      </c>
      <c r="D688" s="38" t="str">
        <f>IFERROR(MATCH($A688,'Match Log'!$K$3:$K$501,0)+2,"")</f>
        <v/>
      </c>
      <c r="E688" s="38" t="str">
        <f>IFERROR(MATCH($A688,'Tournament Log'!$O$4:$O$203,0)+3,"")</f>
        <v/>
      </c>
      <c r="F688" s="37" t="str">
        <f>IF(C688="","",IF(C688="Match",INDEX('Match Log'!$B:$B,D688),IF(C688="Tournament",INDEX('Tournament Log'!$C:$C,E688),INDEX('Guest Log'!$B:$B,Q688))))</f>
        <v/>
      </c>
      <c r="G688" s="37" t="str">
        <f>IF(C688="","",IF(C688="Match",INDEX('Match Log'!$C:$C,D688),IF(C688="Tournament",INDEX('Tournament Log'!$B:$B,E688)&amp;" (Phantom)",INDEX('Guest Log'!$H:$H,Q688)&amp;" (Guest)")))</f>
        <v/>
      </c>
      <c r="H688" s="37" t="str">
        <f t="array" ref="H688">IF(C688="","",IFERROR(LOOKUP(2,1/(($F$1:F687=F688)+($G$1:G687=F688)),IF($F$1:F687=F688,$N$1:N687,$O$1:O687)),1000))</f>
        <v/>
      </c>
      <c r="I688" s="37" t="str">
        <f t="array" ref="I688">IF(C688="","",IF(C688="Tournament",INDEX('Tournament Log'!$J:$J,E688),IF(C688="Guest",IF(INDEX('Guest Log'!$I:$I,Q688)="",1000,INDEX('Guest Log'!$I:$I,Q688)),IFERROR(LOOKUP(2,1/(($F$1:F687=G688)+($G$1:G687=G688)),IF($F$1:F687=G688,$N$1:N687,$O$1:O687)),1000))))</f>
        <v/>
      </c>
      <c r="J688" s="37" t="str">
        <f t="shared" si="51"/>
        <v/>
      </c>
      <c r="K688" s="12" t="str">
        <f>IF(C688="","",IF(C688="Match",IF(INDEX('Match Log'!$D:$D,D688)="Win",1,IF(INDEX('Match Log'!$D:$D,D688)="Draw",0.5,0)),IF(C688="Tournament",INDEX('Tournament Log'!$K:$K,E688),IF(INDEX('Guest Log'!$C:$C,Q688)="Win",1,IF(INDEX('Guest Log'!$C:$C,Q688)="Draw",0.5,0)))))</f>
        <v/>
      </c>
      <c r="L688" s="12" t="str">
        <f>IF(C688="","",IF(C688="Match",32,IF(C688="Tournament",MIN(32*INDEX('Tournament Log'!$D:$D,E688),96),32)))</f>
        <v/>
      </c>
      <c r="M688" s="12" t="str">
        <f t="shared" si="52"/>
        <v/>
      </c>
      <c r="N688" s="12" t="str">
        <f t="shared" si="53"/>
        <v/>
      </c>
      <c r="O688" s="12" t="str">
        <f t="shared" si="54"/>
        <v/>
      </c>
      <c r="P688" s="12" t="str">
        <f>IF(C688="Tournament",INDEX('Tournament Log'!$B:$B,E688),IF(C688="Guest","Guest: "&amp;INDEX('Guest Log'!$H:$H,Q688),""))</f>
        <v/>
      </c>
      <c r="Q688" t="str">
        <f>IFERROR(MATCH($A688,'Guest Log'!$L$4:$L$203,0)+3,"")</f>
        <v/>
      </c>
    </row>
    <row r="689" spans="1:17" ht="15" customHeight="1" x14ac:dyDescent="0.2">
      <c r="A689" s="22">
        <f>688</f>
        <v>688</v>
      </c>
      <c r="B689" s="22" t="str">
        <f>IF(C689="","",IF(C689="Match",INDEX('Match Log'!$A:$A,D689),IF(C689="Tournament",INDEX('Tournament Log'!$A:$A,E689),INDEX('Guest Log'!$A:$A,Q689))))</f>
        <v/>
      </c>
      <c r="C689" s="22" t="str">
        <f t="shared" si="50"/>
        <v/>
      </c>
      <c r="D689" s="39" t="str">
        <f>IFERROR(MATCH($A689,'Match Log'!$K$3:$K$501,0)+2,"")</f>
        <v/>
      </c>
      <c r="E689" s="39" t="str">
        <f>IFERROR(MATCH($A689,'Tournament Log'!$O$4:$O$203,0)+3,"")</f>
        <v/>
      </c>
      <c r="F689" s="22" t="str">
        <f>IF(C689="","",IF(C689="Match",INDEX('Match Log'!$B:$B,D689),IF(C689="Tournament",INDEX('Tournament Log'!$C:$C,E689),INDEX('Guest Log'!$B:$B,Q689))))</f>
        <v/>
      </c>
      <c r="G689" s="22" t="str">
        <f>IF(C689="","",IF(C689="Match",INDEX('Match Log'!$C:$C,D689),IF(C689="Tournament",INDEX('Tournament Log'!$B:$B,E689)&amp;" (Phantom)",INDEX('Guest Log'!$H:$H,Q689)&amp;" (Guest)")))</f>
        <v/>
      </c>
      <c r="H689" s="22" t="str">
        <f t="array" ref="H689">IF(C689="","",IFERROR(LOOKUP(2,1/(($F$1:F688=F689)+($G$1:G688=F689)),IF($F$1:F688=F689,$N$1:N688,$O$1:O688)),1000))</f>
        <v/>
      </c>
      <c r="I689" s="22" t="str">
        <f t="array" ref="I689">IF(C689="","",IF(C689="Tournament",INDEX('Tournament Log'!$J:$J,E689),IF(C689="Guest",IF(INDEX('Guest Log'!$I:$I,Q689)="",1000,INDEX('Guest Log'!$I:$I,Q689)),IFERROR(LOOKUP(2,1/(($F$1:F688=G689)+($G$1:G688=G689)),IF($F$1:F688=G689,$N$1:N688,$O$1:O688)),1000))))</f>
        <v/>
      </c>
      <c r="J689" s="22" t="str">
        <f t="shared" si="51"/>
        <v/>
      </c>
      <c r="K689" s="12" t="str">
        <f>IF(C689="","",IF(C689="Match",IF(INDEX('Match Log'!$D:$D,D689)="Win",1,IF(INDEX('Match Log'!$D:$D,D689)="Draw",0.5,0)),IF(C689="Tournament",INDEX('Tournament Log'!$K:$K,E689),IF(INDEX('Guest Log'!$C:$C,Q689)="Win",1,IF(INDEX('Guest Log'!$C:$C,Q689)="Draw",0.5,0)))))</f>
        <v/>
      </c>
      <c r="L689" s="12" t="str">
        <f>IF(C689="","",IF(C689="Match",32,IF(C689="Tournament",MIN(32*INDEX('Tournament Log'!$D:$D,E689),96),32)))</f>
        <v/>
      </c>
      <c r="M689" s="12" t="str">
        <f t="shared" si="52"/>
        <v/>
      </c>
      <c r="N689" s="12" t="str">
        <f t="shared" si="53"/>
        <v/>
      </c>
      <c r="O689" s="12" t="str">
        <f t="shared" si="54"/>
        <v/>
      </c>
      <c r="P689" s="12" t="str">
        <f>IF(C689="Tournament",INDEX('Tournament Log'!$B:$B,E689),IF(C689="Guest","Guest: "&amp;INDEX('Guest Log'!$H:$H,Q689),""))</f>
        <v/>
      </c>
      <c r="Q689" t="str">
        <f>IFERROR(MATCH($A689,'Guest Log'!$L$4:$L$203,0)+3,"")</f>
        <v/>
      </c>
    </row>
    <row r="690" spans="1:17" ht="15" customHeight="1" x14ac:dyDescent="0.2">
      <c r="A690" s="37">
        <f>689</f>
        <v>689</v>
      </c>
      <c r="B690" s="37" t="str">
        <f>IF(C690="","",IF(C690="Match",INDEX('Match Log'!$A:$A,D690),IF(C690="Tournament",INDEX('Tournament Log'!$A:$A,E690),INDEX('Guest Log'!$A:$A,Q690))))</f>
        <v/>
      </c>
      <c r="C690" s="37" t="str">
        <f t="shared" si="50"/>
        <v/>
      </c>
      <c r="D690" s="38" t="str">
        <f>IFERROR(MATCH($A690,'Match Log'!$K$3:$K$501,0)+2,"")</f>
        <v/>
      </c>
      <c r="E690" s="38" t="str">
        <f>IFERROR(MATCH($A690,'Tournament Log'!$O$4:$O$203,0)+3,"")</f>
        <v/>
      </c>
      <c r="F690" s="37" t="str">
        <f>IF(C690="","",IF(C690="Match",INDEX('Match Log'!$B:$B,D690),IF(C690="Tournament",INDEX('Tournament Log'!$C:$C,E690),INDEX('Guest Log'!$B:$B,Q690))))</f>
        <v/>
      </c>
      <c r="G690" s="37" t="str">
        <f>IF(C690="","",IF(C690="Match",INDEX('Match Log'!$C:$C,D690),IF(C690="Tournament",INDEX('Tournament Log'!$B:$B,E690)&amp;" (Phantom)",INDEX('Guest Log'!$H:$H,Q690)&amp;" (Guest)")))</f>
        <v/>
      </c>
      <c r="H690" s="37" t="str">
        <f t="array" ref="H690">IF(C690="","",IFERROR(LOOKUP(2,1/(($F$1:F689=F690)+($G$1:G689=F690)),IF($F$1:F689=F690,$N$1:N689,$O$1:O689)),1000))</f>
        <v/>
      </c>
      <c r="I690" s="37" t="str">
        <f t="array" ref="I690">IF(C690="","",IF(C690="Tournament",INDEX('Tournament Log'!$J:$J,E690),IF(C690="Guest",IF(INDEX('Guest Log'!$I:$I,Q690)="",1000,INDEX('Guest Log'!$I:$I,Q690)),IFERROR(LOOKUP(2,1/(($F$1:F689=G690)+($G$1:G689=G690)),IF($F$1:F689=G690,$N$1:N689,$O$1:O689)),1000))))</f>
        <v/>
      </c>
      <c r="J690" s="37" t="str">
        <f t="shared" si="51"/>
        <v/>
      </c>
      <c r="K690" s="12" t="str">
        <f>IF(C690="","",IF(C690="Match",IF(INDEX('Match Log'!$D:$D,D690)="Win",1,IF(INDEX('Match Log'!$D:$D,D690)="Draw",0.5,0)),IF(C690="Tournament",INDEX('Tournament Log'!$K:$K,E690),IF(INDEX('Guest Log'!$C:$C,Q690)="Win",1,IF(INDEX('Guest Log'!$C:$C,Q690)="Draw",0.5,0)))))</f>
        <v/>
      </c>
      <c r="L690" s="12" t="str">
        <f>IF(C690="","",IF(C690="Match",32,IF(C690="Tournament",MIN(32*INDEX('Tournament Log'!$D:$D,E690),96),32)))</f>
        <v/>
      </c>
      <c r="M690" s="12" t="str">
        <f t="shared" si="52"/>
        <v/>
      </c>
      <c r="N690" s="12" t="str">
        <f t="shared" si="53"/>
        <v/>
      </c>
      <c r="O690" s="12" t="str">
        <f t="shared" si="54"/>
        <v/>
      </c>
      <c r="P690" s="12" t="str">
        <f>IF(C690="Tournament",INDEX('Tournament Log'!$B:$B,E690),IF(C690="Guest","Guest: "&amp;INDEX('Guest Log'!$H:$H,Q690),""))</f>
        <v/>
      </c>
      <c r="Q690" t="str">
        <f>IFERROR(MATCH($A690,'Guest Log'!$L$4:$L$203,0)+3,"")</f>
        <v/>
      </c>
    </row>
    <row r="691" spans="1:17" ht="15" customHeight="1" x14ac:dyDescent="0.2">
      <c r="A691" s="22">
        <f>690</f>
        <v>690</v>
      </c>
      <c r="B691" s="22" t="str">
        <f>IF(C691="","",IF(C691="Match",INDEX('Match Log'!$A:$A,D691),IF(C691="Tournament",INDEX('Tournament Log'!$A:$A,E691),INDEX('Guest Log'!$A:$A,Q691))))</f>
        <v/>
      </c>
      <c r="C691" s="22" t="str">
        <f t="shared" si="50"/>
        <v/>
      </c>
      <c r="D691" s="39" t="str">
        <f>IFERROR(MATCH($A691,'Match Log'!$K$3:$K$501,0)+2,"")</f>
        <v/>
      </c>
      <c r="E691" s="39" t="str">
        <f>IFERROR(MATCH($A691,'Tournament Log'!$O$4:$O$203,0)+3,"")</f>
        <v/>
      </c>
      <c r="F691" s="22" t="str">
        <f>IF(C691="","",IF(C691="Match",INDEX('Match Log'!$B:$B,D691),IF(C691="Tournament",INDEX('Tournament Log'!$C:$C,E691),INDEX('Guest Log'!$B:$B,Q691))))</f>
        <v/>
      </c>
      <c r="G691" s="22" t="str">
        <f>IF(C691="","",IF(C691="Match",INDEX('Match Log'!$C:$C,D691),IF(C691="Tournament",INDEX('Tournament Log'!$B:$B,E691)&amp;" (Phantom)",INDEX('Guest Log'!$H:$H,Q691)&amp;" (Guest)")))</f>
        <v/>
      </c>
      <c r="H691" s="22" t="str">
        <f t="array" ref="H691">IF(C691="","",IFERROR(LOOKUP(2,1/(($F$1:F690=F691)+($G$1:G690=F691)),IF($F$1:F690=F691,$N$1:N690,$O$1:O690)),1000))</f>
        <v/>
      </c>
      <c r="I691" s="22" t="str">
        <f t="array" ref="I691">IF(C691="","",IF(C691="Tournament",INDEX('Tournament Log'!$J:$J,E691),IF(C691="Guest",IF(INDEX('Guest Log'!$I:$I,Q691)="",1000,INDEX('Guest Log'!$I:$I,Q691)),IFERROR(LOOKUP(2,1/(($F$1:F690=G691)+($G$1:G690=G691)),IF($F$1:F690=G691,$N$1:N690,$O$1:O690)),1000))))</f>
        <v/>
      </c>
      <c r="J691" s="22" t="str">
        <f t="shared" si="51"/>
        <v/>
      </c>
      <c r="K691" s="12" t="str">
        <f>IF(C691="","",IF(C691="Match",IF(INDEX('Match Log'!$D:$D,D691)="Win",1,IF(INDEX('Match Log'!$D:$D,D691)="Draw",0.5,0)),IF(C691="Tournament",INDEX('Tournament Log'!$K:$K,E691),IF(INDEX('Guest Log'!$C:$C,Q691)="Win",1,IF(INDEX('Guest Log'!$C:$C,Q691)="Draw",0.5,0)))))</f>
        <v/>
      </c>
      <c r="L691" s="12" t="str">
        <f>IF(C691="","",IF(C691="Match",32,IF(C691="Tournament",MIN(32*INDEX('Tournament Log'!$D:$D,E691),96),32)))</f>
        <v/>
      </c>
      <c r="M691" s="12" t="str">
        <f t="shared" si="52"/>
        <v/>
      </c>
      <c r="N691" s="12" t="str">
        <f t="shared" si="53"/>
        <v/>
      </c>
      <c r="O691" s="12" t="str">
        <f t="shared" si="54"/>
        <v/>
      </c>
      <c r="P691" s="12" t="str">
        <f>IF(C691="Tournament",INDEX('Tournament Log'!$B:$B,E691),IF(C691="Guest","Guest: "&amp;INDEX('Guest Log'!$H:$H,Q691),""))</f>
        <v/>
      </c>
      <c r="Q691" t="str">
        <f>IFERROR(MATCH($A691,'Guest Log'!$L$4:$L$203,0)+3,"")</f>
        <v/>
      </c>
    </row>
    <row r="692" spans="1:17" ht="15" customHeight="1" x14ac:dyDescent="0.2">
      <c r="A692" s="37">
        <f>691</f>
        <v>691</v>
      </c>
      <c r="B692" s="37" t="str">
        <f>IF(C692="","",IF(C692="Match",INDEX('Match Log'!$A:$A,D692),IF(C692="Tournament",INDEX('Tournament Log'!$A:$A,E692),INDEX('Guest Log'!$A:$A,Q692))))</f>
        <v/>
      </c>
      <c r="C692" s="37" t="str">
        <f t="shared" si="50"/>
        <v/>
      </c>
      <c r="D692" s="38" t="str">
        <f>IFERROR(MATCH($A692,'Match Log'!$K$3:$K$501,0)+2,"")</f>
        <v/>
      </c>
      <c r="E692" s="38" t="str">
        <f>IFERROR(MATCH($A692,'Tournament Log'!$O$4:$O$203,0)+3,"")</f>
        <v/>
      </c>
      <c r="F692" s="37" t="str">
        <f>IF(C692="","",IF(C692="Match",INDEX('Match Log'!$B:$B,D692),IF(C692="Tournament",INDEX('Tournament Log'!$C:$C,E692),INDEX('Guest Log'!$B:$B,Q692))))</f>
        <v/>
      </c>
      <c r="G692" s="37" t="str">
        <f>IF(C692="","",IF(C692="Match",INDEX('Match Log'!$C:$C,D692),IF(C692="Tournament",INDEX('Tournament Log'!$B:$B,E692)&amp;" (Phantom)",INDEX('Guest Log'!$H:$H,Q692)&amp;" (Guest)")))</f>
        <v/>
      </c>
      <c r="H692" s="37" t="str">
        <f t="array" ref="H692">IF(C692="","",IFERROR(LOOKUP(2,1/(($F$1:F691=F692)+($G$1:G691=F692)),IF($F$1:F691=F692,$N$1:N691,$O$1:O691)),1000))</f>
        <v/>
      </c>
      <c r="I692" s="37" t="str">
        <f t="array" ref="I692">IF(C692="","",IF(C692="Tournament",INDEX('Tournament Log'!$J:$J,E692),IF(C692="Guest",IF(INDEX('Guest Log'!$I:$I,Q692)="",1000,INDEX('Guest Log'!$I:$I,Q692)),IFERROR(LOOKUP(2,1/(($F$1:F691=G692)+($G$1:G691=G692)),IF($F$1:F691=G692,$N$1:N691,$O$1:O691)),1000))))</f>
        <v/>
      </c>
      <c r="J692" s="37" t="str">
        <f t="shared" si="51"/>
        <v/>
      </c>
      <c r="K692" s="12" t="str">
        <f>IF(C692="","",IF(C692="Match",IF(INDEX('Match Log'!$D:$D,D692)="Win",1,IF(INDEX('Match Log'!$D:$D,D692)="Draw",0.5,0)),IF(C692="Tournament",INDEX('Tournament Log'!$K:$K,E692),IF(INDEX('Guest Log'!$C:$C,Q692)="Win",1,IF(INDEX('Guest Log'!$C:$C,Q692)="Draw",0.5,0)))))</f>
        <v/>
      </c>
      <c r="L692" s="12" t="str">
        <f>IF(C692="","",IF(C692="Match",32,IF(C692="Tournament",MIN(32*INDEX('Tournament Log'!$D:$D,E692),96),32)))</f>
        <v/>
      </c>
      <c r="M692" s="12" t="str">
        <f t="shared" si="52"/>
        <v/>
      </c>
      <c r="N692" s="12" t="str">
        <f t="shared" si="53"/>
        <v/>
      </c>
      <c r="O692" s="12" t="str">
        <f t="shared" si="54"/>
        <v/>
      </c>
      <c r="P692" s="12" t="str">
        <f>IF(C692="Tournament",INDEX('Tournament Log'!$B:$B,E692),IF(C692="Guest","Guest: "&amp;INDEX('Guest Log'!$H:$H,Q692),""))</f>
        <v/>
      </c>
      <c r="Q692" t="str">
        <f>IFERROR(MATCH($A692,'Guest Log'!$L$4:$L$203,0)+3,"")</f>
        <v/>
      </c>
    </row>
    <row r="693" spans="1:17" ht="15" customHeight="1" x14ac:dyDescent="0.2">
      <c r="A693" s="22">
        <f>692</f>
        <v>692</v>
      </c>
      <c r="B693" s="22" t="str">
        <f>IF(C693="","",IF(C693="Match",INDEX('Match Log'!$A:$A,D693),IF(C693="Tournament",INDEX('Tournament Log'!$A:$A,E693),INDEX('Guest Log'!$A:$A,Q693))))</f>
        <v/>
      </c>
      <c r="C693" s="22" t="str">
        <f t="shared" si="50"/>
        <v/>
      </c>
      <c r="D693" s="39" t="str">
        <f>IFERROR(MATCH($A693,'Match Log'!$K$3:$K$501,0)+2,"")</f>
        <v/>
      </c>
      <c r="E693" s="39" t="str">
        <f>IFERROR(MATCH($A693,'Tournament Log'!$O$4:$O$203,0)+3,"")</f>
        <v/>
      </c>
      <c r="F693" s="22" t="str">
        <f>IF(C693="","",IF(C693="Match",INDEX('Match Log'!$B:$B,D693),IF(C693="Tournament",INDEX('Tournament Log'!$C:$C,E693),INDEX('Guest Log'!$B:$B,Q693))))</f>
        <v/>
      </c>
      <c r="G693" s="22" t="str">
        <f>IF(C693="","",IF(C693="Match",INDEX('Match Log'!$C:$C,D693),IF(C693="Tournament",INDEX('Tournament Log'!$B:$B,E693)&amp;" (Phantom)",INDEX('Guest Log'!$H:$H,Q693)&amp;" (Guest)")))</f>
        <v/>
      </c>
      <c r="H693" s="22" t="str">
        <f t="array" ref="H693">IF(C693="","",IFERROR(LOOKUP(2,1/(($F$1:F692=F693)+($G$1:G692=F693)),IF($F$1:F692=F693,$N$1:N692,$O$1:O692)),1000))</f>
        <v/>
      </c>
      <c r="I693" s="22" t="str">
        <f t="array" ref="I693">IF(C693="","",IF(C693="Tournament",INDEX('Tournament Log'!$J:$J,E693),IF(C693="Guest",IF(INDEX('Guest Log'!$I:$I,Q693)="",1000,INDEX('Guest Log'!$I:$I,Q693)),IFERROR(LOOKUP(2,1/(($F$1:F692=G693)+($G$1:G692=G693)),IF($F$1:F692=G693,$N$1:N692,$O$1:O692)),1000))))</f>
        <v/>
      </c>
      <c r="J693" s="22" t="str">
        <f t="shared" si="51"/>
        <v/>
      </c>
      <c r="K693" s="12" t="str">
        <f>IF(C693="","",IF(C693="Match",IF(INDEX('Match Log'!$D:$D,D693)="Win",1,IF(INDEX('Match Log'!$D:$D,D693)="Draw",0.5,0)),IF(C693="Tournament",INDEX('Tournament Log'!$K:$K,E693),IF(INDEX('Guest Log'!$C:$C,Q693)="Win",1,IF(INDEX('Guest Log'!$C:$C,Q693)="Draw",0.5,0)))))</f>
        <v/>
      </c>
      <c r="L693" s="12" t="str">
        <f>IF(C693="","",IF(C693="Match",32,IF(C693="Tournament",MIN(32*INDEX('Tournament Log'!$D:$D,E693),96),32)))</f>
        <v/>
      </c>
      <c r="M693" s="12" t="str">
        <f t="shared" si="52"/>
        <v/>
      </c>
      <c r="N693" s="12" t="str">
        <f t="shared" si="53"/>
        <v/>
      </c>
      <c r="O693" s="12" t="str">
        <f t="shared" si="54"/>
        <v/>
      </c>
      <c r="P693" s="12" t="str">
        <f>IF(C693="Tournament",INDEX('Tournament Log'!$B:$B,E693),IF(C693="Guest","Guest: "&amp;INDEX('Guest Log'!$H:$H,Q693),""))</f>
        <v/>
      </c>
      <c r="Q693" t="str">
        <f>IFERROR(MATCH($A693,'Guest Log'!$L$4:$L$203,0)+3,"")</f>
        <v/>
      </c>
    </row>
    <row r="694" spans="1:17" ht="15" customHeight="1" x14ac:dyDescent="0.2">
      <c r="A694" s="37">
        <f>693</f>
        <v>693</v>
      </c>
      <c r="B694" s="37" t="str">
        <f>IF(C694="","",IF(C694="Match",INDEX('Match Log'!$A:$A,D694),IF(C694="Tournament",INDEX('Tournament Log'!$A:$A,E694),INDEX('Guest Log'!$A:$A,Q694))))</f>
        <v/>
      </c>
      <c r="C694" s="37" t="str">
        <f t="shared" si="50"/>
        <v/>
      </c>
      <c r="D694" s="38" t="str">
        <f>IFERROR(MATCH($A694,'Match Log'!$K$3:$K$501,0)+2,"")</f>
        <v/>
      </c>
      <c r="E694" s="38" t="str">
        <f>IFERROR(MATCH($A694,'Tournament Log'!$O$4:$O$203,0)+3,"")</f>
        <v/>
      </c>
      <c r="F694" s="37" t="str">
        <f>IF(C694="","",IF(C694="Match",INDEX('Match Log'!$B:$B,D694),IF(C694="Tournament",INDEX('Tournament Log'!$C:$C,E694),INDEX('Guest Log'!$B:$B,Q694))))</f>
        <v/>
      </c>
      <c r="G694" s="37" t="str">
        <f>IF(C694="","",IF(C694="Match",INDEX('Match Log'!$C:$C,D694),IF(C694="Tournament",INDEX('Tournament Log'!$B:$B,E694)&amp;" (Phantom)",INDEX('Guest Log'!$H:$H,Q694)&amp;" (Guest)")))</f>
        <v/>
      </c>
      <c r="H694" s="37" t="str">
        <f t="array" ref="H694">IF(C694="","",IFERROR(LOOKUP(2,1/(($F$1:F693=F694)+($G$1:G693=F694)),IF($F$1:F693=F694,$N$1:N693,$O$1:O693)),1000))</f>
        <v/>
      </c>
      <c r="I694" s="37" t="str">
        <f t="array" ref="I694">IF(C694="","",IF(C694="Tournament",INDEX('Tournament Log'!$J:$J,E694),IF(C694="Guest",IF(INDEX('Guest Log'!$I:$I,Q694)="",1000,INDEX('Guest Log'!$I:$I,Q694)),IFERROR(LOOKUP(2,1/(($F$1:F693=G694)+($G$1:G693=G694)),IF($F$1:F693=G694,$N$1:N693,$O$1:O693)),1000))))</f>
        <v/>
      </c>
      <c r="J694" s="37" t="str">
        <f t="shared" si="51"/>
        <v/>
      </c>
      <c r="K694" s="12" t="str">
        <f>IF(C694="","",IF(C694="Match",IF(INDEX('Match Log'!$D:$D,D694)="Win",1,IF(INDEX('Match Log'!$D:$D,D694)="Draw",0.5,0)),IF(C694="Tournament",INDEX('Tournament Log'!$K:$K,E694),IF(INDEX('Guest Log'!$C:$C,Q694)="Win",1,IF(INDEX('Guest Log'!$C:$C,Q694)="Draw",0.5,0)))))</f>
        <v/>
      </c>
      <c r="L694" s="12" t="str">
        <f>IF(C694="","",IF(C694="Match",32,IF(C694="Tournament",MIN(32*INDEX('Tournament Log'!$D:$D,E694),96),32)))</f>
        <v/>
      </c>
      <c r="M694" s="12" t="str">
        <f t="shared" si="52"/>
        <v/>
      </c>
      <c r="N694" s="12" t="str">
        <f t="shared" si="53"/>
        <v/>
      </c>
      <c r="O694" s="12" t="str">
        <f t="shared" si="54"/>
        <v/>
      </c>
      <c r="P694" s="12" t="str">
        <f>IF(C694="Tournament",INDEX('Tournament Log'!$B:$B,E694),IF(C694="Guest","Guest: "&amp;INDEX('Guest Log'!$H:$H,Q694),""))</f>
        <v/>
      </c>
      <c r="Q694" t="str">
        <f>IFERROR(MATCH($A694,'Guest Log'!$L$4:$L$203,0)+3,"")</f>
        <v/>
      </c>
    </row>
    <row r="695" spans="1:17" ht="15" customHeight="1" x14ac:dyDescent="0.2">
      <c r="A695" s="22">
        <f>694</f>
        <v>694</v>
      </c>
      <c r="B695" s="22" t="str">
        <f>IF(C695="","",IF(C695="Match",INDEX('Match Log'!$A:$A,D695),IF(C695="Tournament",INDEX('Tournament Log'!$A:$A,E695),INDEX('Guest Log'!$A:$A,Q695))))</f>
        <v/>
      </c>
      <c r="C695" s="22" t="str">
        <f t="shared" si="50"/>
        <v/>
      </c>
      <c r="D695" s="39" t="str">
        <f>IFERROR(MATCH($A695,'Match Log'!$K$3:$K$501,0)+2,"")</f>
        <v/>
      </c>
      <c r="E695" s="39" t="str">
        <f>IFERROR(MATCH($A695,'Tournament Log'!$O$4:$O$203,0)+3,"")</f>
        <v/>
      </c>
      <c r="F695" s="22" t="str">
        <f>IF(C695="","",IF(C695="Match",INDEX('Match Log'!$B:$B,D695),IF(C695="Tournament",INDEX('Tournament Log'!$C:$C,E695),INDEX('Guest Log'!$B:$B,Q695))))</f>
        <v/>
      </c>
      <c r="G695" s="22" t="str">
        <f>IF(C695="","",IF(C695="Match",INDEX('Match Log'!$C:$C,D695),IF(C695="Tournament",INDEX('Tournament Log'!$B:$B,E695)&amp;" (Phantom)",INDEX('Guest Log'!$H:$H,Q695)&amp;" (Guest)")))</f>
        <v/>
      </c>
      <c r="H695" s="22" t="str">
        <f t="array" ref="H695">IF(C695="","",IFERROR(LOOKUP(2,1/(($F$1:F694=F695)+($G$1:G694=F695)),IF($F$1:F694=F695,$N$1:N694,$O$1:O694)),1000))</f>
        <v/>
      </c>
      <c r="I695" s="22" t="str">
        <f t="array" ref="I695">IF(C695="","",IF(C695="Tournament",INDEX('Tournament Log'!$J:$J,E695),IF(C695="Guest",IF(INDEX('Guest Log'!$I:$I,Q695)="",1000,INDEX('Guest Log'!$I:$I,Q695)),IFERROR(LOOKUP(2,1/(($F$1:F694=G695)+($G$1:G694=G695)),IF($F$1:F694=G695,$N$1:N694,$O$1:O694)),1000))))</f>
        <v/>
      </c>
      <c r="J695" s="22" t="str">
        <f t="shared" si="51"/>
        <v/>
      </c>
      <c r="K695" s="12" t="str">
        <f>IF(C695="","",IF(C695="Match",IF(INDEX('Match Log'!$D:$D,D695)="Win",1,IF(INDEX('Match Log'!$D:$D,D695)="Draw",0.5,0)),IF(C695="Tournament",INDEX('Tournament Log'!$K:$K,E695),IF(INDEX('Guest Log'!$C:$C,Q695)="Win",1,IF(INDEX('Guest Log'!$C:$C,Q695)="Draw",0.5,0)))))</f>
        <v/>
      </c>
      <c r="L695" s="12" t="str">
        <f>IF(C695="","",IF(C695="Match",32,IF(C695="Tournament",MIN(32*INDEX('Tournament Log'!$D:$D,E695),96),32)))</f>
        <v/>
      </c>
      <c r="M695" s="12" t="str">
        <f t="shared" si="52"/>
        <v/>
      </c>
      <c r="N695" s="12" t="str">
        <f t="shared" si="53"/>
        <v/>
      </c>
      <c r="O695" s="12" t="str">
        <f t="shared" si="54"/>
        <v/>
      </c>
      <c r="P695" s="12" t="str">
        <f>IF(C695="Tournament",INDEX('Tournament Log'!$B:$B,E695),IF(C695="Guest","Guest: "&amp;INDEX('Guest Log'!$H:$H,Q695),""))</f>
        <v/>
      </c>
      <c r="Q695" t="str">
        <f>IFERROR(MATCH($A695,'Guest Log'!$L$4:$L$203,0)+3,"")</f>
        <v/>
      </c>
    </row>
    <row r="696" spans="1:17" ht="15" customHeight="1" x14ac:dyDescent="0.2">
      <c r="A696" s="37">
        <f>695</f>
        <v>695</v>
      </c>
      <c r="B696" s="37" t="str">
        <f>IF(C696="","",IF(C696="Match",INDEX('Match Log'!$A:$A,D696),IF(C696="Tournament",INDEX('Tournament Log'!$A:$A,E696),INDEX('Guest Log'!$A:$A,Q696))))</f>
        <v/>
      </c>
      <c r="C696" s="37" t="str">
        <f t="shared" si="50"/>
        <v/>
      </c>
      <c r="D696" s="38" t="str">
        <f>IFERROR(MATCH($A696,'Match Log'!$K$3:$K$501,0)+2,"")</f>
        <v/>
      </c>
      <c r="E696" s="38" t="str">
        <f>IFERROR(MATCH($A696,'Tournament Log'!$O$4:$O$203,0)+3,"")</f>
        <v/>
      </c>
      <c r="F696" s="37" t="str">
        <f>IF(C696="","",IF(C696="Match",INDEX('Match Log'!$B:$B,D696),IF(C696="Tournament",INDEX('Tournament Log'!$C:$C,E696),INDEX('Guest Log'!$B:$B,Q696))))</f>
        <v/>
      </c>
      <c r="G696" s="37" t="str">
        <f>IF(C696="","",IF(C696="Match",INDEX('Match Log'!$C:$C,D696),IF(C696="Tournament",INDEX('Tournament Log'!$B:$B,E696)&amp;" (Phantom)",INDEX('Guest Log'!$H:$H,Q696)&amp;" (Guest)")))</f>
        <v/>
      </c>
      <c r="H696" s="37" t="str">
        <f t="array" ref="H696">IF(C696="","",IFERROR(LOOKUP(2,1/(($F$1:F695=F696)+($G$1:G695=F696)),IF($F$1:F695=F696,$N$1:N695,$O$1:O695)),1000))</f>
        <v/>
      </c>
      <c r="I696" s="37" t="str">
        <f t="array" ref="I696">IF(C696="","",IF(C696="Tournament",INDEX('Tournament Log'!$J:$J,E696),IF(C696="Guest",IF(INDEX('Guest Log'!$I:$I,Q696)="",1000,INDEX('Guest Log'!$I:$I,Q696)),IFERROR(LOOKUP(2,1/(($F$1:F695=G696)+($G$1:G695=G696)),IF($F$1:F695=G696,$N$1:N695,$O$1:O695)),1000))))</f>
        <v/>
      </c>
      <c r="J696" s="37" t="str">
        <f t="shared" si="51"/>
        <v/>
      </c>
      <c r="K696" s="12" t="str">
        <f>IF(C696="","",IF(C696="Match",IF(INDEX('Match Log'!$D:$D,D696)="Win",1,IF(INDEX('Match Log'!$D:$D,D696)="Draw",0.5,0)),IF(C696="Tournament",INDEX('Tournament Log'!$K:$K,E696),IF(INDEX('Guest Log'!$C:$C,Q696)="Win",1,IF(INDEX('Guest Log'!$C:$C,Q696)="Draw",0.5,0)))))</f>
        <v/>
      </c>
      <c r="L696" s="12" t="str">
        <f>IF(C696="","",IF(C696="Match",32,IF(C696="Tournament",MIN(32*INDEX('Tournament Log'!$D:$D,E696),96),32)))</f>
        <v/>
      </c>
      <c r="M696" s="12" t="str">
        <f t="shared" si="52"/>
        <v/>
      </c>
      <c r="N696" s="12" t="str">
        <f t="shared" si="53"/>
        <v/>
      </c>
      <c r="O696" s="12" t="str">
        <f t="shared" si="54"/>
        <v/>
      </c>
      <c r="P696" s="12" t="str">
        <f>IF(C696="Tournament",INDEX('Tournament Log'!$B:$B,E696),IF(C696="Guest","Guest: "&amp;INDEX('Guest Log'!$H:$H,Q696),""))</f>
        <v/>
      </c>
      <c r="Q696" t="str">
        <f>IFERROR(MATCH($A696,'Guest Log'!$L$4:$L$203,0)+3,"")</f>
        <v/>
      </c>
    </row>
    <row r="697" spans="1:17" ht="15" customHeight="1" x14ac:dyDescent="0.2">
      <c r="A697" s="22">
        <f>696</f>
        <v>696</v>
      </c>
      <c r="B697" s="22" t="str">
        <f>IF(C697="","",IF(C697="Match",INDEX('Match Log'!$A:$A,D697),IF(C697="Tournament",INDEX('Tournament Log'!$A:$A,E697),INDEX('Guest Log'!$A:$A,Q697))))</f>
        <v/>
      </c>
      <c r="C697" s="22" t="str">
        <f t="shared" si="50"/>
        <v/>
      </c>
      <c r="D697" s="39" t="str">
        <f>IFERROR(MATCH($A697,'Match Log'!$K$3:$K$501,0)+2,"")</f>
        <v/>
      </c>
      <c r="E697" s="39" t="str">
        <f>IFERROR(MATCH($A697,'Tournament Log'!$O$4:$O$203,0)+3,"")</f>
        <v/>
      </c>
      <c r="F697" s="22" t="str">
        <f>IF(C697="","",IF(C697="Match",INDEX('Match Log'!$B:$B,D697),IF(C697="Tournament",INDEX('Tournament Log'!$C:$C,E697),INDEX('Guest Log'!$B:$B,Q697))))</f>
        <v/>
      </c>
      <c r="G697" s="22" t="str">
        <f>IF(C697="","",IF(C697="Match",INDEX('Match Log'!$C:$C,D697),IF(C697="Tournament",INDEX('Tournament Log'!$B:$B,E697)&amp;" (Phantom)",INDEX('Guest Log'!$H:$H,Q697)&amp;" (Guest)")))</f>
        <v/>
      </c>
      <c r="H697" s="22" t="str">
        <f t="array" ref="H697">IF(C697="","",IFERROR(LOOKUP(2,1/(($F$1:F696=F697)+($G$1:G696=F697)),IF($F$1:F696=F697,$N$1:N696,$O$1:O696)),1000))</f>
        <v/>
      </c>
      <c r="I697" s="22" t="str">
        <f t="array" ref="I697">IF(C697="","",IF(C697="Tournament",INDEX('Tournament Log'!$J:$J,E697),IF(C697="Guest",IF(INDEX('Guest Log'!$I:$I,Q697)="",1000,INDEX('Guest Log'!$I:$I,Q697)),IFERROR(LOOKUP(2,1/(($F$1:F696=G697)+($G$1:G696=G697)),IF($F$1:F696=G697,$N$1:N696,$O$1:O696)),1000))))</f>
        <v/>
      </c>
      <c r="J697" s="22" t="str">
        <f t="shared" si="51"/>
        <v/>
      </c>
      <c r="K697" s="12" t="str">
        <f>IF(C697="","",IF(C697="Match",IF(INDEX('Match Log'!$D:$D,D697)="Win",1,IF(INDEX('Match Log'!$D:$D,D697)="Draw",0.5,0)),IF(C697="Tournament",INDEX('Tournament Log'!$K:$K,E697),IF(INDEX('Guest Log'!$C:$C,Q697)="Win",1,IF(INDEX('Guest Log'!$C:$C,Q697)="Draw",0.5,0)))))</f>
        <v/>
      </c>
      <c r="L697" s="12" t="str">
        <f>IF(C697="","",IF(C697="Match",32,IF(C697="Tournament",MIN(32*INDEX('Tournament Log'!$D:$D,E697),96),32)))</f>
        <v/>
      </c>
      <c r="M697" s="12" t="str">
        <f t="shared" si="52"/>
        <v/>
      </c>
      <c r="N697" s="12" t="str">
        <f t="shared" si="53"/>
        <v/>
      </c>
      <c r="O697" s="12" t="str">
        <f t="shared" si="54"/>
        <v/>
      </c>
      <c r="P697" s="12" t="str">
        <f>IF(C697="Tournament",INDEX('Tournament Log'!$B:$B,E697),IF(C697="Guest","Guest: "&amp;INDEX('Guest Log'!$H:$H,Q697),""))</f>
        <v/>
      </c>
      <c r="Q697" t="str">
        <f>IFERROR(MATCH($A697,'Guest Log'!$L$4:$L$203,0)+3,"")</f>
        <v/>
      </c>
    </row>
    <row r="698" spans="1:17" ht="15" customHeight="1" x14ac:dyDescent="0.2">
      <c r="A698" s="37">
        <f>697</f>
        <v>697</v>
      </c>
      <c r="B698" s="37" t="str">
        <f>IF(C698="","",IF(C698="Match",INDEX('Match Log'!$A:$A,D698),IF(C698="Tournament",INDEX('Tournament Log'!$A:$A,E698),INDEX('Guest Log'!$A:$A,Q698))))</f>
        <v/>
      </c>
      <c r="C698" s="37" t="str">
        <f t="shared" si="50"/>
        <v/>
      </c>
      <c r="D698" s="38" t="str">
        <f>IFERROR(MATCH($A698,'Match Log'!$K$3:$K$501,0)+2,"")</f>
        <v/>
      </c>
      <c r="E698" s="38" t="str">
        <f>IFERROR(MATCH($A698,'Tournament Log'!$O$4:$O$203,0)+3,"")</f>
        <v/>
      </c>
      <c r="F698" s="37" t="str">
        <f>IF(C698="","",IF(C698="Match",INDEX('Match Log'!$B:$B,D698),IF(C698="Tournament",INDEX('Tournament Log'!$C:$C,E698),INDEX('Guest Log'!$B:$B,Q698))))</f>
        <v/>
      </c>
      <c r="G698" s="37" t="str">
        <f>IF(C698="","",IF(C698="Match",INDEX('Match Log'!$C:$C,D698),IF(C698="Tournament",INDEX('Tournament Log'!$B:$B,E698)&amp;" (Phantom)",INDEX('Guest Log'!$H:$H,Q698)&amp;" (Guest)")))</f>
        <v/>
      </c>
      <c r="H698" s="37" t="str">
        <f t="array" ref="H698">IF(C698="","",IFERROR(LOOKUP(2,1/(($F$1:F697=F698)+($G$1:G697=F698)),IF($F$1:F697=F698,$N$1:N697,$O$1:O697)),1000))</f>
        <v/>
      </c>
      <c r="I698" s="37" t="str">
        <f t="array" ref="I698">IF(C698="","",IF(C698="Tournament",INDEX('Tournament Log'!$J:$J,E698),IF(C698="Guest",IF(INDEX('Guest Log'!$I:$I,Q698)="",1000,INDEX('Guest Log'!$I:$I,Q698)),IFERROR(LOOKUP(2,1/(($F$1:F697=G698)+($G$1:G697=G698)),IF($F$1:F697=G698,$N$1:N697,$O$1:O697)),1000))))</f>
        <v/>
      </c>
      <c r="J698" s="37" t="str">
        <f t="shared" si="51"/>
        <v/>
      </c>
      <c r="K698" s="12" t="str">
        <f>IF(C698="","",IF(C698="Match",IF(INDEX('Match Log'!$D:$D,D698)="Win",1,IF(INDEX('Match Log'!$D:$D,D698)="Draw",0.5,0)),IF(C698="Tournament",INDEX('Tournament Log'!$K:$K,E698),IF(INDEX('Guest Log'!$C:$C,Q698)="Win",1,IF(INDEX('Guest Log'!$C:$C,Q698)="Draw",0.5,0)))))</f>
        <v/>
      </c>
      <c r="L698" s="12" t="str">
        <f>IF(C698="","",IF(C698="Match",32,IF(C698="Tournament",MIN(32*INDEX('Tournament Log'!$D:$D,E698),96),32)))</f>
        <v/>
      </c>
      <c r="M698" s="12" t="str">
        <f t="shared" si="52"/>
        <v/>
      </c>
      <c r="N698" s="12" t="str">
        <f t="shared" si="53"/>
        <v/>
      </c>
      <c r="O698" s="12" t="str">
        <f t="shared" si="54"/>
        <v/>
      </c>
      <c r="P698" s="12" t="str">
        <f>IF(C698="Tournament",INDEX('Tournament Log'!$B:$B,E698),IF(C698="Guest","Guest: "&amp;INDEX('Guest Log'!$H:$H,Q698),""))</f>
        <v/>
      </c>
      <c r="Q698" t="str">
        <f>IFERROR(MATCH($A698,'Guest Log'!$L$4:$L$203,0)+3,"")</f>
        <v/>
      </c>
    </row>
    <row r="699" spans="1:17" ht="15" customHeight="1" x14ac:dyDescent="0.2">
      <c r="A699" s="22">
        <f>698</f>
        <v>698</v>
      </c>
      <c r="B699" s="22" t="str">
        <f>IF(C699="","",IF(C699="Match",INDEX('Match Log'!$A:$A,D699),IF(C699="Tournament",INDEX('Tournament Log'!$A:$A,E699),INDEX('Guest Log'!$A:$A,Q699))))</f>
        <v/>
      </c>
      <c r="C699" s="22" t="str">
        <f t="shared" si="50"/>
        <v/>
      </c>
      <c r="D699" s="39" t="str">
        <f>IFERROR(MATCH($A699,'Match Log'!$K$3:$K$501,0)+2,"")</f>
        <v/>
      </c>
      <c r="E699" s="39" t="str">
        <f>IFERROR(MATCH($A699,'Tournament Log'!$O$4:$O$203,0)+3,"")</f>
        <v/>
      </c>
      <c r="F699" s="22" t="str">
        <f>IF(C699="","",IF(C699="Match",INDEX('Match Log'!$B:$B,D699),IF(C699="Tournament",INDEX('Tournament Log'!$C:$C,E699),INDEX('Guest Log'!$B:$B,Q699))))</f>
        <v/>
      </c>
      <c r="G699" s="22" t="str">
        <f>IF(C699="","",IF(C699="Match",INDEX('Match Log'!$C:$C,D699),IF(C699="Tournament",INDEX('Tournament Log'!$B:$B,E699)&amp;" (Phantom)",INDEX('Guest Log'!$H:$H,Q699)&amp;" (Guest)")))</f>
        <v/>
      </c>
      <c r="H699" s="22" t="str">
        <f t="array" ref="H699">IF(C699="","",IFERROR(LOOKUP(2,1/(($F$1:F698=F699)+($G$1:G698=F699)),IF($F$1:F698=F699,$N$1:N698,$O$1:O698)),1000))</f>
        <v/>
      </c>
      <c r="I699" s="22" t="str">
        <f t="array" ref="I699">IF(C699="","",IF(C699="Tournament",INDEX('Tournament Log'!$J:$J,E699),IF(C699="Guest",IF(INDEX('Guest Log'!$I:$I,Q699)="",1000,INDEX('Guest Log'!$I:$I,Q699)),IFERROR(LOOKUP(2,1/(($F$1:F698=G699)+($G$1:G698=G699)),IF($F$1:F698=G699,$N$1:N698,$O$1:O698)),1000))))</f>
        <v/>
      </c>
      <c r="J699" s="22" t="str">
        <f t="shared" si="51"/>
        <v/>
      </c>
      <c r="K699" s="12" t="str">
        <f>IF(C699="","",IF(C699="Match",IF(INDEX('Match Log'!$D:$D,D699)="Win",1,IF(INDEX('Match Log'!$D:$D,D699)="Draw",0.5,0)),IF(C699="Tournament",INDEX('Tournament Log'!$K:$K,E699),IF(INDEX('Guest Log'!$C:$C,Q699)="Win",1,IF(INDEX('Guest Log'!$C:$C,Q699)="Draw",0.5,0)))))</f>
        <v/>
      </c>
      <c r="L699" s="12" t="str">
        <f>IF(C699="","",IF(C699="Match",32,IF(C699="Tournament",MIN(32*INDEX('Tournament Log'!$D:$D,E699),96),32)))</f>
        <v/>
      </c>
      <c r="M699" s="12" t="str">
        <f t="shared" si="52"/>
        <v/>
      </c>
      <c r="N699" s="12" t="str">
        <f t="shared" si="53"/>
        <v/>
      </c>
      <c r="O699" s="12" t="str">
        <f t="shared" si="54"/>
        <v/>
      </c>
      <c r="P699" s="12" t="str">
        <f>IF(C699="Tournament",INDEX('Tournament Log'!$B:$B,E699),IF(C699="Guest","Guest: "&amp;INDEX('Guest Log'!$H:$H,Q699),""))</f>
        <v/>
      </c>
      <c r="Q699" t="str">
        <f>IFERROR(MATCH($A699,'Guest Log'!$L$4:$L$203,0)+3,"")</f>
        <v/>
      </c>
    </row>
    <row r="700" spans="1:17" ht="15" customHeight="1" x14ac:dyDescent="0.2">
      <c r="A700" s="37">
        <f>699</f>
        <v>699</v>
      </c>
      <c r="B700" s="37" t="str">
        <f>IF(C700="","",IF(C700="Match",INDEX('Match Log'!$A:$A,D700),IF(C700="Tournament",INDEX('Tournament Log'!$A:$A,E700),INDEX('Guest Log'!$A:$A,Q700))))</f>
        <v/>
      </c>
      <c r="C700" s="37" t="str">
        <f t="shared" si="50"/>
        <v/>
      </c>
      <c r="D700" s="38" t="str">
        <f>IFERROR(MATCH($A700,'Match Log'!$K$3:$K$501,0)+2,"")</f>
        <v/>
      </c>
      <c r="E700" s="38" t="str">
        <f>IFERROR(MATCH($A700,'Tournament Log'!$O$4:$O$203,0)+3,"")</f>
        <v/>
      </c>
      <c r="F700" s="37" t="str">
        <f>IF(C700="","",IF(C700="Match",INDEX('Match Log'!$B:$B,D700),IF(C700="Tournament",INDEX('Tournament Log'!$C:$C,E700),INDEX('Guest Log'!$B:$B,Q700))))</f>
        <v/>
      </c>
      <c r="G700" s="37" t="str">
        <f>IF(C700="","",IF(C700="Match",INDEX('Match Log'!$C:$C,D700),IF(C700="Tournament",INDEX('Tournament Log'!$B:$B,E700)&amp;" (Phantom)",INDEX('Guest Log'!$H:$H,Q700)&amp;" (Guest)")))</f>
        <v/>
      </c>
      <c r="H700" s="37" t="str">
        <f t="array" ref="H700">IF(C700="","",IFERROR(LOOKUP(2,1/(($F$1:F699=F700)+($G$1:G699=F700)),IF($F$1:F699=F700,$N$1:N699,$O$1:O699)),1000))</f>
        <v/>
      </c>
      <c r="I700" s="37" t="str">
        <f t="array" ref="I700">IF(C700="","",IF(C700="Tournament",INDEX('Tournament Log'!$J:$J,E700),IF(C700="Guest",IF(INDEX('Guest Log'!$I:$I,Q700)="",1000,INDEX('Guest Log'!$I:$I,Q700)),IFERROR(LOOKUP(2,1/(($F$1:F699=G700)+($G$1:G699=G700)),IF($F$1:F699=G700,$N$1:N699,$O$1:O699)),1000))))</f>
        <v/>
      </c>
      <c r="J700" s="37" t="str">
        <f t="shared" si="51"/>
        <v/>
      </c>
      <c r="K700" s="12" t="str">
        <f>IF(C700="","",IF(C700="Match",IF(INDEX('Match Log'!$D:$D,D700)="Win",1,IF(INDEX('Match Log'!$D:$D,D700)="Draw",0.5,0)),IF(C700="Tournament",INDEX('Tournament Log'!$K:$K,E700),IF(INDEX('Guest Log'!$C:$C,Q700)="Win",1,IF(INDEX('Guest Log'!$C:$C,Q700)="Draw",0.5,0)))))</f>
        <v/>
      </c>
      <c r="L700" s="12" t="str">
        <f>IF(C700="","",IF(C700="Match",32,IF(C700="Tournament",MIN(32*INDEX('Tournament Log'!$D:$D,E700),96),32)))</f>
        <v/>
      </c>
      <c r="M700" s="12" t="str">
        <f t="shared" si="52"/>
        <v/>
      </c>
      <c r="N700" s="12" t="str">
        <f t="shared" si="53"/>
        <v/>
      </c>
      <c r="O700" s="12" t="str">
        <f t="shared" si="54"/>
        <v/>
      </c>
      <c r="P700" s="12" t="str">
        <f>IF(C700="Tournament",INDEX('Tournament Log'!$B:$B,E700),IF(C700="Guest","Guest: "&amp;INDEX('Guest Log'!$H:$H,Q700),""))</f>
        <v/>
      </c>
      <c r="Q700" t="str">
        <f>IFERROR(MATCH($A700,'Guest Log'!$L$4:$L$203,0)+3,"")</f>
        <v/>
      </c>
    </row>
    <row r="701" spans="1:17" ht="15" customHeight="1" x14ac:dyDescent="0.2">
      <c r="A701" s="37">
        <f>700</f>
        <v>700</v>
      </c>
      <c r="B701" s="37" t="str">
        <f>IF(C701="","",IF(C701="Match",INDEX('Match Log'!$A:$A,D701),IF(C701="Tournament",INDEX('Tournament Log'!$A:$A,E701),INDEX('Guest Log'!$A:$A,Q701))))</f>
        <v/>
      </c>
      <c r="C701" s="37" t="str">
        <f t="shared" si="50"/>
        <v/>
      </c>
      <c r="D701" s="38" t="str">
        <f>IFERROR(MATCH($A701,'Match Log'!$K$3:$K$501,0)+2,"")</f>
        <v/>
      </c>
      <c r="E701" s="38" t="str">
        <f>IFERROR(MATCH($A701,'Tournament Log'!$O$4:$O$203,0)+3,"")</f>
        <v/>
      </c>
      <c r="F701" s="37" t="str">
        <f>IF(C701="","",IF(C701="Match",INDEX('Match Log'!$B:$B,D701),IF(C701="Tournament",INDEX('Tournament Log'!$C:$C,E701),INDEX('Guest Log'!$B:$B,Q701))))</f>
        <v/>
      </c>
      <c r="G701" s="37" t="str">
        <f>IF(C701="","",IF(C701="Match",INDEX('Match Log'!$C:$C,D701),IF(C701="Tournament",INDEX('Tournament Log'!$B:$B,E701)&amp;" (Phantom)",INDEX('Guest Log'!$H:$H,Q701)&amp;" (Guest)")))</f>
        <v/>
      </c>
      <c r="H701" s="37" t="str">
        <f t="array" ref="H701">IF(C701="","",IFERROR(LOOKUP(2,1/(($F$1:F700=F701)+($G$1:G700=F701)),IF($F$1:F700=F701,$N$1:N700,$O$1:O700)),1000))</f>
        <v/>
      </c>
      <c r="I701" s="37" t="str">
        <f t="array" ref="I701">IF(C701="","",IF(C701="Tournament",INDEX('Tournament Log'!$J:$J,E701),IF(C701="Guest",IF(INDEX('Guest Log'!$I:$I,Q701)="",1000,INDEX('Guest Log'!$I:$I,Q701)),IFERROR(LOOKUP(2,1/(($F$1:F700=G701)+($G$1:G700=G701)),IF($F$1:F700=G701,$N$1:N700,$O$1:O700)),1000))))</f>
        <v/>
      </c>
      <c r="J701" s="37" t="str">
        <f t="shared" si="51"/>
        <v/>
      </c>
      <c r="K701" s="12" t="str">
        <f>IF(C701="","",IF(C701="Match",IF(INDEX('Match Log'!$D:$D,D701)="Win",1,IF(INDEX('Match Log'!$D:$D,D701)="Draw",0.5,0)),IF(C701="Tournament",INDEX('Tournament Log'!$K:$K,E701),IF(INDEX('Guest Log'!$C:$C,Q701)="Win",1,IF(INDEX('Guest Log'!$C:$C,Q701)="Draw",0.5,0)))))</f>
        <v/>
      </c>
      <c r="L701" s="12" t="str">
        <f>IF(C701="","",IF(C701="Match",32,IF(C701="Tournament",MIN(32*INDEX('Tournament Log'!$D:$D,E701),96),32)))</f>
        <v/>
      </c>
      <c r="M701" s="12" t="str">
        <f t="shared" si="52"/>
        <v/>
      </c>
      <c r="N701" s="12" t="str">
        <f t="shared" si="53"/>
        <v/>
      </c>
      <c r="O701" s="12" t="str">
        <f t="shared" si="54"/>
        <v/>
      </c>
      <c r="P701" s="12" t="str">
        <f>IF(C701="Tournament",INDEX('Tournament Log'!$B:$B,E701),IF(C701="Guest","Guest: "&amp;INDEX('Guest Log'!$H:$H,Q701),""))</f>
        <v/>
      </c>
      <c r="Q701" t="str">
        <f>IFERROR(MATCH($A701,'Guest Log'!$L$4:$L$203,0)+3,"")</f>
        <v/>
      </c>
    </row>
    <row r="702" spans="1:17" ht="15" customHeight="1" x14ac:dyDescent="0.2">
      <c r="A702" s="37">
        <f>701</f>
        <v>701</v>
      </c>
      <c r="B702" s="37" t="str">
        <f>IF(C702="","",IF(C702="Match",INDEX('Match Log'!$A:$A,D702),IF(C702="Tournament",INDEX('Tournament Log'!$A:$A,E702),INDEX('Guest Log'!$A:$A,Q702))))</f>
        <v/>
      </c>
      <c r="C702" s="37" t="str">
        <f t="shared" si="50"/>
        <v/>
      </c>
      <c r="D702" s="38" t="str">
        <f>IFERROR(MATCH($A702,'Match Log'!$K$3:$K$501,0)+2,"")</f>
        <v/>
      </c>
      <c r="E702" s="38" t="str">
        <f>IFERROR(MATCH($A702,'Tournament Log'!$O$4:$O$203,0)+3,"")</f>
        <v/>
      </c>
      <c r="F702" s="37" t="str">
        <f>IF(C702="","",IF(C702="Match",INDEX('Match Log'!$B:$B,D702),IF(C702="Tournament",INDEX('Tournament Log'!$C:$C,E702),INDEX('Guest Log'!$B:$B,Q702))))</f>
        <v/>
      </c>
      <c r="G702" s="37" t="str">
        <f>IF(C702="","",IF(C702="Match",INDEX('Match Log'!$C:$C,D702),IF(C702="Tournament",INDEX('Tournament Log'!$B:$B,E702)&amp;" (Phantom)",INDEX('Guest Log'!$H:$H,Q702)&amp;" (Guest)")))</f>
        <v/>
      </c>
      <c r="H702" s="37" t="str">
        <f t="array" ref="H702">IF(C702="","",IFERROR(LOOKUP(2,1/(($F$1:F701=F702)+($G$1:G701=F702)),IF($F$1:F701=F702,$N$1:N701,$O$1:O701)),1000))</f>
        <v/>
      </c>
      <c r="I702" s="37" t="str">
        <f t="array" ref="I702">IF(C702="","",IF(C702="Tournament",INDEX('Tournament Log'!$J:$J,E702),IF(C702="Guest",IF(INDEX('Guest Log'!$I:$I,Q702)="",1000,INDEX('Guest Log'!$I:$I,Q702)),IFERROR(LOOKUP(2,1/(($F$1:F701=G702)+($G$1:G701=G702)),IF($F$1:F701=G702,$N$1:N701,$O$1:O701)),1000))))</f>
        <v/>
      </c>
      <c r="J702" s="37" t="str">
        <f t="shared" si="51"/>
        <v/>
      </c>
      <c r="K702" s="12" t="str">
        <f>IF(C702="","",IF(C702="Match",IF(INDEX('Match Log'!$D:$D,D702)="Win",1,IF(INDEX('Match Log'!$D:$D,D702)="Draw",0.5,0)),IF(C702="Tournament",INDEX('Tournament Log'!$K:$K,E702),IF(INDEX('Guest Log'!$C:$C,Q702)="Win",1,IF(INDEX('Guest Log'!$C:$C,Q702)="Draw",0.5,0)))))</f>
        <v/>
      </c>
      <c r="L702" s="12" t="str">
        <f>IF(C702="","",IF(C702="Match",32,IF(C702="Tournament",MIN(32*INDEX('Tournament Log'!$D:$D,E702),96),32)))</f>
        <v/>
      </c>
      <c r="M702" s="12" t="str">
        <f t="shared" si="52"/>
        <v/>
      </c>
      <c r="N702" s="12" t="str">
        <f t="shared" si="53"/>
        <v/>
      </c>
      <c r="O702" s="12" t="str">
        <f t="shared" si="54"/>
        <v/>
      </c>
      <c r="P702" s="12" t="str">
        <f>IF(C702="Tournament",INDEX('Tournament Log'!$B:$B,E702),IF(C702="Guest","Guest: "&amp;INDEX('Guest Log'!$H:$H,Q702),""))</f>
        <v/>
      </c>
      <c r="Q702" t="str">
        <f>IFERROR(MATCH($A702,'Guest Log'!$L$4:$L$203,0)+3,"")</f>
        <v/>
      </c>
    </row>
    <row r="703" spans="1:17" ht="15" customHeight="1" x14ac:dyDescent="0.2">
      <c r="A703" s="37">
        <f>702</f>
        <v>702</v>
      </c>
      <c r="B703" s="37" t="str">
        <f>IF(C703="","",IF(C703="Match",INDEX('Match Log'!$A:$A,D703),IF(C703="Tournament",INDEX('Tournament Log'!$A:$A,E703),INDEX('Guest Log'!$A:$A,Q703))))</f>
        <v/>
      </c>
      <c r="C703" s="37" t="str">
        <f t="shared" si="50"/>
        <v/>
      </c>
      <c r="D703" s="38" t="str">
        <f>IFERROR(MATCH($A703,'Match Log'!$K$3:$K$501,0)+2,"")</f>
        <v/>
      </c>
      <c r="E703" s="38" t="str">
        <f>IFERROR(MATCH($A703,'Tournament Log'!$O$4:$O$203,0)+3,"")</f>
        <v/>
      </c>
      <c r="F703" s="37" t="str">
        <f>IF(C703="","",IF(C703="Match",INDEX('Match Log'!$B:$B,D703),IF(C703="Tournament",INDEX('Tournament Log'!$C:$C,E703),INDEX('Guest Log'!$B:$B,Q703))))</f>
        <v/>
      </c>
      <c r="G703" s="37" t="str">
        <f>IF(C703="","",IF(C703="Match",INDEX('Match Log'!$C:$C,D703),IF(C703="Tournament",INDEX('Tournament Log'!$B:$B,E703)&amp;" (Phantom)",INDEX('Guest Log'!$H:$H,Q703)&amp;" (Guest)")))</f>
        <v/>
      </c>
      <c r="H703" s="37" t="str">
        <f t="array" ref="H703">IF(C703="","",IFERROR(LOOKUP(2,1/(($F$1:F702=F703)+($G$1:G702=F703)),IF($F$1:F702=F703,$N$1:N702,$O$1:O702)),1000))</f>
        <v/>
      </c>
      <c r="I703" s="37" t="str">
        <f t="array" ref="I703">IF(C703="","",IF(C703="Tournament",INDEX('Tournament Log'!$J:$J,E703),IF(C703="Guest",IF(INDEX('Guest Log'!$I:$I,Q703)="",1000,INDEX('Guest Log'!$I:$I,Q703)),IFERROR(LOOKUP(2,1/(($F$1:F702=G703)+($G$1:G702=G703)),IF($F$1:F702=G703,$N$1:N702,$O$1:O702)),1000))))</f>
        <v/>
      </c>
      <c r="J703" s="37" t="str">
        <f t="shared" si="51"/>
        <v/>
      </c>
      <c r="K703" s="12" t="str">
        <f>IF(C703="","",IF(C703="Match",IF(INDEX('Match Log'!$D:$D,D703)="Win",1,IF(INDEX('Match Log'!$D:$D,D703)="Draw",0.5,0)),IF(C703="Tournament",INDEX('Tournament Log'!$K:$K,E703),IF(INDEX('Guest Log'!$C:$C,Q703)="Win",1,IF(INDEX('Guest Log'!$C:$C,Q703)="Draw",0.5,0)))))</f>
        <v/>
      </c>
      <c r="L703" s="12" t="str">
        <f>IF(C703="","",IF(C703="Match",32,IF(C703="Tournament",MIN(32*INDEX('Tournament Log'!$D:$D,E703),96),32)))</f>
        <v/>
      </c>
      <c r="M703" s="12" t="str">
        <f t="shared" si="52"/>
        <v/>
      </c>
      <c r="N703" s="12" t="str">
        <f t="shared" si="53"/>
        <v/>
      </c>
      <c r="O703" s="12" t="str">
        <f t="shared" si="54"/>
        <v/>
      </c>
      <c r="P703" s="12" t="str">
        <f>IF(C703="Tournament",INDEX('Tournament Log'!$B:$B,E703),IF(C703="Guest","Guest: "&amp;INDEX('Guest Log'!$H:$H,Q703),""))</f>
        <v/>
      </c>
      <c r="Q703" t="str">
        <f>IFERROR(MATCH($A703,'Guest Log'!$L$4:$L$203,0)+3,"")</f>
        <v/>
      </c>
    </row>
    <row r="704" spans="1:17" ht="15" customHeight="1" x14ac:dyDescent="0.2">
      <c r="A704" s="40">
        <f>703</f>
        <v>703</v>
      </c>
      <c r="B704" s="40" t="str">
        <f>IF(C704="","",IF(C704="Match",INDEX('Match Log'!$A:$A,D704),IF(C704="Tournament",INDEX('Tournament Log'!$A:$A,E704),INDEX('Guest Log'!$A:$A,Q704))))</f>
        <v/>
      </c>
      <c r="C704" s="40" t="str">
        <f t="shared" si="50"/>
        <v/>
      </c>
      <c r="D704" s="41" t="str">
        <f>IFERROR(MATCH($A704,'Match Log'!$K$3:$K$501,0)+2,"")</f>
        <v/>
      </c>
      <c r="E704" s="41" t="str">
        <f>IFERROR(MATCH($A704,'Tournament Log'!$O$4:$O$203,0)+3,"")</f>
        <v/>
      </c>
      <c r="F704" s="40" t="str">
        <f>IF(C704="","",IF(C704="Match",INDEX('Match Log'!$B:$B,D704),IF(C704="Tournament",INDEX('Tournament Log'!$C:$C,E704),INDEX('Guest Log'!$B:$B,Q704))))</f>
        <v/>
      </c>
      <c r="G704" s="40" t="str">
        <f>IF(C704="","",IF(C704="Match",INDEX('Match Log'!$C:$C,D704),IF(C704="Tournament",INDEX('Tournament Log'!$B:$B,E704)&amp;" (Phantom)",INDEX('Guest Log'!$H:$H,Q704)&amp;" (Guest)")))</f>
        <v/>
      </c>
      <c r="H704" s="40" t="str">
        <f t="array" ref="H704">IF(C704="","",IFERROR(LOOKUP(2,1/(($F$1:F703=F704)+($G$1:G703=F704)),IF($F$1:F703=F704,$N$1:N703,$O$1:O703)),1000))</f>
        <v/>
      </c>
      <c r="I704" s="40" t="str">
        <f t="array" ref="I704">IF(C704="","",IF(C704="Tournament",INDEX('Tournament Log'!$J:$J,E704),IF(C704="Guest",IF(INDEX('Guest Log'!$I:$I,Q704)="",1000,INDEX('Guest Log'!$I:$I,Q704)),IFERROR(LOOKUP(2,1/(($F$1:F703=G704)+($G$1:G703=G704)),IF($F$1:F703=G704,$N$1:N703,$O$1:O703)),1000))))</f>
        <v/>
      </c>
      <c r="J704" s="40" t="str">
        <f t="shared" si="51"/>
        <v/>
      </c>
      <c r="K704" s="12" t="str">
        <f>IF(C704="","",IF(C704="Match",IF(INDEX('Match Log'!$D:$D,D704)="Win",1,IF(INDEX('Match Log'!$D:$D,D704)="Draw",0.5,0)),IF(C704="Tournament",INDEX('Tournament Log'!$K:$K,E704),IF(INDEX('Guest Log'!$C:$C,Q704)="Win",1,IF(INDEX('Guest Log'!$C:$C,Q704)="Draw",0.5,0)))))</f>
        <v/>
      </c>
      <c r="L704" s="12" t="str">
        <f>IF(C704="","",IF(C704="Match",32,IF(C704="Tournament",MIN(32*INDEX('Tournament Log'!$D:$D,E704),96),32)))</f>
        <v/>
      </c>
      <c r="M704" s="12" t="str">
        <f t="shared" si="52"/>
        <v/>
      </c>
      <c r="N704" s="12" t="str">
        <f t="shared" si="53"/>
        <v/>
      </c>
      <c r="O704" s="12" t="str">
        <f t="shared" si="54"/>
        <v/>
      </c>
      <c r="P704" s="12" t="str">
        <f>IF(C704="Tournament",INDEX('Tournament Log'!$B:$B,E704),IF(C704="Guest","Guest: "&amp;INDEX('Guest Log'!$H:$H,Q704),""))</f>
        <v/>
      </c>
      <c r="Q704" t="str">
        <f>IFERROR(MATCH($A704,'Guest Log'!$L$4:$L$203,0)+3,"")</f>
        <v/>
      </c>
    </row>
    <row r="705" spans="1:17" ht="15" customHeight="1" x14ac:dyDescent="0.2">
      <c r="A705" s="40">
        <f>704</f>
        <v>704</v>
      </c>
      <c r="B705" s="40" t="str">
        <f>IF(C705="","",IF(C705="Match",INDEX('Match Log'!$A:$A,D705),IF(C705="Tournament",INDEX('Tournament Log'!$A:$A,E705),INDEX('Guest Log'!$A:$A,Q705))))</f>
        <v/>
      </c>
      <c r="C705" s="40" t="str">
        <f t="shared" si="50"/>
        <v/>
      </c>
      <c r="D705" s="41" t="str">
        <f>IFERROR(MATCH($A705,'Match Log'!$K$3:$K$501,0)+2,"")</f>
        <v/>
      </c>
      <c r="E705" s="41" t="str">
        <f>IFERROR(MATCH($A705,'Tournament Log'!$O$4:$O$203,0)+3,"")</f>
        <v/>
      </c>
      <c r="F705" s="40" t="str">
        <f>IF(C705="","",IF(C705="Match",INDEX('Match Log'!$B:$B,D705),IF(C705="Tournament",INDEX('Tournament Log'!$C:$C,E705),INDEX('Guest Log'!$B:$B,Q705))))</f>
        <v/>
      </c>
      <c r="G705" s="40" t="str">
        <f>IF(C705="","",IF(C705="Match",INDEX('Match Log'!$C:$C,D705),IF(C705="Tournament",INDEX('Tournament Log'!$B:$B,E705)&amp;" (Phantom)",INDEX('Guest Log'!$H:$H,Q705)&amp;" (Guest)")))</f>
        <v/>
      </c>
      <c r="H705" s="40" t="str">
        <f t="array" ref="H705">IF(C705="","",IFERROR(LOOKUP(2,1/(($F$1:F704=F705)+($G$1:G704=F705)),IF($F$1:F704=F705,$N$1:N704,$O$1:O704)),1000))</f>
        <v/>
      </c>
      <c r="I705" s="40" t="str">
        <f t="array" ref="I705">IF(C705="","",IF(C705="Tournament",INDEX('Tournament Log'!$J:$J,E705),IF(C705="Guest",IF(INDEX('Guest Log'!$I:$I,Q705)="",1000,INDEX('Guest Log'!$I:$I,Q705)),IFERROR(LOOKUP(2,1/(($F$1:F704=G705)+($G$1:G704=G705)),IF($F$1:F704=G705,$N$1:N704,$O$1:O704)),1000))))</f>
        <v/>
      </c>
      <c r="J705" s="40" t="str">
        <f t="shared" si="51"/>
        <v/>
      </c>
      <c r="K705" s="12" t="str">
        <f>IF(C705="","",IF(C705="Match",IF(INDEX('Match Log'!$D:$D,D705)="Win",1,IF(INDEX('Match Log'!$D:$D,D705)="Draw",0.5,0)),IF(C705="Tournament",INDEX('Tournament Log'!$K:$K,E705),IF(INDEX('Guest Log'!$C:$C,Q705)="Win",1,IF(INDEX('Guest Log'!$C:$C,Q705)="Draw",0.5,0)))))</f>
        <v/>
      </c>
      <c r="L705" s="12" t="str">
        <f>IF(C705="","",IF(C705="Match",32,IF(C705="Tournament",MIN(32*INDEX('Tournament Log'!$D:$D,E705),96),32)))</f>
        <v/>
      </c>
      <c r="M705" s="12" t="str">
        <f t="shared" si="52"/>
        <v/>
      </c>
      <c r="N705" s="12" t="str">
        <f t="shared" si="53"/>
        <v/>
      </c>
      <c r="O705" s="12" t="str">
        <f t="shared" si="54"/>
        <v/>
      </c>
      <c r="P705" s="12" t="str">
        <f>IF(C705="Tournament",INDEX('Tournament Log'!$B:$B,E705),IF(C705="Guest","Guest: "&amp;INDEX('Guest Log'!$H:$H,Q705),""))</f>
        <v/>
      </c>
      <c r="Q705" t="str">
        <f>IFERROR(MATCH($A705,'Guest Log'!$L$4:$L$203,0)+3,"")</f>
        <v/>
      </c>
    </row>
    <row r="706" spans="1:17" ht="15" customHeight="1" x14ac:dyDescent="0.2">
      <c r="A706" s="40">
        <f>705</f>
        <v>705</v>
      </c>
      <c r="B706" s="40" t="str">
        <f>IF(C706="","",IF(C706="Match",INDEX('Match Log'!$A:$A,D706),IF(C706="Tournament",INDEX('Tournament Log'!$A:$A,E706),INDEX('Guest Log'!$A:$A,Q706))))</f>
        <v/>
      </c>
      <c r="C706" s="40" t="str">
        <f t="shared" ref="C706:C769" si="55">IF(D706&lt;&gt;"","Match",IF(E706&lt;&gt;"","Tournament",IF(Q706&lt;&gt;"","Guest","")))</f>
        <v/>
      </c>
      <c r="D706" s="41" t="str">
        <f>IFERROR(MATCH($A706,'Match Log'!$K$3:$K$501,0)+2,"")</f>
        <v/>
      </c>
      <c r="E706" s="41" t="str">
        <f>IFERROR(MATCH($A706,'Tournament Log'!$O$4:$O$203,0)+3,"")</f>
        <v/>
      </c>
      <c r="F706" s="40" t="str">
        <f>IF(C706="","",IF(C706="Match",INDEX('Match Log'!$B:$B,D706),IF(C706="Tournament",INDEX('Tournament Log'!$C:$C,E706),INDEX('Guest Log'!$B:$B,Q706))))</f>
        <v/>
      </c>
      <c r="G706" s="40" t="str">
        <f>IF(C706="","",IF(C706="Match",INDEX('Match Log'!$C:$C,D706),IF(C706="Tournament",INDEX('Tournament Log'!$B:$B,E706)&amp;" (Phantom)",INDEX('Guest Log'!$H:$H,Q706)&amp;" (Guest)")))</f>
        <v/>
      </c>
      <c r="H706" s="40" t="str">
        <f t="array" ref="H706">IF(C706="","",IFERROR(LOOKUP(2,1/(($F$1:F705=F706)+($G$1:G705=F706)),IF($F$1:F705=F706,$N$1:N705,$O$1:O705)),1000))</f>
        <v/>
      </c>
      <c r="I706" s="40" t="str">
        <f t="array" ref="I706">IF(C706="","",IF(C706="Tournament",INDEX('Tournament Log'!$J:$J,E706),IF(C706="Guest",IF(INDEX('Guest Log'!$I:$I,Q706)="",1000,INDEX('Guest Log'!$I:$I,Q706)),IFERROR(LOOKUP(2,1/(($F$1:F705=G706)+($G$1:G705=G706)),IF($F$1:F705=G706,$N$1:N705,$O$1:O705)),1000))))</f>
        <v/>
      </c>
      <c r="J706" s="40" t="str">
        <f t="shared" ref="J706:J769" si="56">IF(C706="","",1/(1+10^((I706-H706)/400)))</f>
        <v/>
      </c>
      <c r="K706" s="12" t="str">
        <f>IF(C706="","",IF(C706="Match",IF(INDEX('Match Log'!$D:$D,D706)="Win",1,IF(INDEX('Match Log'!$D:$D,D706)="Draw",0.5,0)),IF(C706="Tournament",INDEX('Tournament Log'!$K:$K,E706),IF(INDEX('Guest Log'!$C:$C,Q706)="Win",1,IF(INDEX('Guest Log'!$C:$C,Q706)="Draw",0.5,0)))))</f>
        <v/>
      </c>
      <c r="L706" s="12" t="str">
        <f>IF(C706="","",IF(C706="Match",32,IF(C706="Tournament",MIN(32*INDEX('Tournament Log'!$D:$D,E706),96),32)))</f>
        <v/>
      </c>
      <c r="M706" s="12" t="str">
        <f t="shared" ref="M706:M769" si="57">IF(C706="","",ROUND(L706*(K706-J706),0))</f>
        <v/>
      </c>
      <c r="N706" s="12" t="str">
        <f t="shared" ref="N706:N769" si="58">IF(C706="","",H706+M706)</f>
        <v/>
      </c>
      <c r="O706" s="12" t="str">
        <f t="shared" ref="O706:O769" si="59">IF(C706="","",IF(C706="Match",I706-M706,""))</f>
        <v/>
      </c>
      <c r="P706" s="12" t="str">
        <f>IF(C706="Tournament",INDEX('Tournament Log'!$B:$B,E706),IF(C706="Guest","Guest: "&amp;INDEX('Guest Log'!$H:$H,Q706),""))</f>
        <v/>
      </c>
      <c r="Q706" t="str">
        <f>IFERROR(MATCH($A706,'Guest Log'!$L$4:$L$203,0)+3,"")</f>
        <v/>
      </c>
    </row>
    <row r="707" spans="1:17" ht="15" customHeight="1" x14ac:dyDescent="0.2">
      <c r="A707" s="40">
        <f>706</f>
        <v>706</v>
      </c>
      <c r="B707" s="40" t="str">
        <f>IF(C707="","",IF(C707="Match",INDEX('Match Log'!$A:$A,D707),IF(C707="Tournament",INDEX('Tournament Log'!$A:$A,E707),INDEX('Guest Log'!$A:$A,Q707))))</f>
        <v/>
      </c>
      <c r="C707" s="40" t="str">
        <f t="shared" si="55"/>
        <v/>
      </c>
      <c r="D707" s="41" t="str">
        <f>IFERROR(MATCH($A707,'Match Log'!$K$3:$K$501,0)+2,"")</f>
        <v/>
      </c>
      <c r="E707" s="41" t="str">
        <f>IFERROR(MATCH($A707,'Tournament Log'!$O$4:$O$203,0)+3,"")</f>
        <v/>
      </c>
      <c r="F707" s="40" t="str">
        <f>IF(C707="","",IF(C707="Match",INDEX('Match Log'!$B:$B,D707),IF(C707="Tournament",INDEX('Tournament Log'!$C:$C,E707),INDEX('Guest Log'!$B:$B,Q707))))</f>
        <v/>
      </c>
      <c r="G707" s="40" t="str">
        <f>IF(C707="","",IF(C707="Match",INDEX('Match Log'!$C:$C,D707),IF(C707="Tournament",INDEX('Tournament Log'!$B:$B,E707)&amp;" (Phantom)",INDEX('Guest Log'!$H:$H,Q707)&amp;" (Guest)")))</f>
        <v/>
      </c>
      <c r="H707" s="40" t="str">
        <f t="array" ref="H707">IF(C707="","",IFERROR(LOOKUP(2,1/(($F$1:F706=F707)+($G$1:G706=F707)),IF($F$1:F706=F707,$N$1:N706,$O$1:O706)),1000))</f>
        <v/>
      </c>
      <c r="I707" s="40" t="str">
        <f t="array" ref="I707">IF(C707="","",IF(C707="Tournament",INDEX('Tournament Log'!$J:$J,E707),IF(C707="Guest",IF(INDEX('Guest Log'!$I:$I,Q707)="",1000,INDEX('Guest Log'!$I:$I,Q707)),IFERROR(LOOKUP(2,1/(($F$1:F706=G707)+($G$1:G706=G707)),IF($F$1:F706=G707,$N$1:N706,$O$1:O706)),1000))))</f>
        <v/>
      </c>
      <c r="J707" s="40" t="str">
        <f t="shared" si="56"/>
        <v/>
      </c>
      <c r="K707" s="12" t="str">
        <f>IF(C707="","",IF(C707="Match",IF(INDEX('Match Log'!$D:$D,D707)="Win",1,IF(INDEX('Match Log'!$D:$D,D707)="Draw",0.5,0)),IF(C707="Tournament",INDEX('Tournament Log'!$K:$K,E707),IF(INDEX('Guest Log'!$C:$C,Q707)="Win",1,IF(INDEX('Guest Log'!$C:$C,Q707)="Draw",0.5,0)))))</f>
        <v/>
      </c>
      <c r="L707" s="12" t="str">
        <f>IF(C707="","",IF(C707="Match",32,IF(C707="Tournament",MIN(32*INDEX('Tournament Log'!$D:$D,E707),96),32)))</f>
        <v/>
      </c>
      <c r="M707" s="12" t="str">
        <f t="shared" si="57"/>
        <v/>
      </c>
      <c r="N707" s="12" t="str">
        <f t="shared" si="58"/>
        <v/>
      </c>
      <c r="O707" s="12" t="str">
        <f t="shared" si="59"/>
        <v/>
      </c>
      <c r="P707" s="12" t="str">
        <f>IF(C707="Tournament",INDEX('Tournament Log'!$B:$B,E707),IF(C707="Guest","Guest: "&amp;INDEX('Guest Log'!$H:$H,Q707),""))</f>
        <v/>
      </c>
      <c r="Q707" t="str">
        <f>IFERROR(MATCH($A707,'Guest Log'!$L$4:$L$203,0)+3,"")</f>
        <v/>
      </c>
    </row>
    <row r="708" spans="1:17" ht="15" customHeight="1" x14ac:dyDescent="0.2">
      <c r="A708" s="40">
        <f>707</f>
        <v>707</v>
      </c>
      <c r="B708" s="40" t="str">
        <f>IF(C708="","",IF(C708="Match",INDEX('Match Log'!$A:$A,D708),IF(C708="Tournament",INDEX('Tournament Log'!$A:$A,E708),INDEX('Guest Log'!$A:$A,Q708))))</f>
        <v/>
      </c>
      <c r="C708" s="40" t="str">
        <f t="shared" si="55"/>
        <v/>
      </c>
      <c r="D708" s="41" t="str">
        <f>IFERROR(MATCH($A708,'Match Log'!$K$3:$K$501,0)+2,"")</f>
        <v/>
      </c>
      <c r="E708" s="41" t="str">
        <f>IFERROR(MATCH($A708,'Tournament Log'!$O$4:$O$203,0)+3,"")</f>
        <v/>
      </c>
      <c r="F708" s="40" t="str">
        <f>IF(C708="","",IF(C708="Match",INDEX('Match Log'!$B:$B,D708),IF(C708="Tournament",INDEX('Tournament Log'!$C:$C,E708),INDEX('Guest Log'!$B:$B,Q708))))</f>
        <v/>
      </c>
      <c r="G708" s="40" t="str">
        <f>IF(C708="","",IF(C708="Match",INDEX('Match Log'!$C:$C,D708),IF(C708="Tournament",INDEX('Tournament Log'!$B:$B,E708)&amp;" (Phantom)",INDEX('Guest Log'!$H:$H,Q708)&amp;" (Guest)")))</f>
        <v/>
      </c>
      <c r="H708" s="40" t="str">
        <f t="array" ref="H708">IF(C708="","",IFERROR(LOOKUP(2,1/(($F$1:F707=F708)+($G$1:G707=F708)),IF($F$1:F707=F708,$N$1:N707,$O$1:O707)),1000))</f>
        <v/>
      </c>
      <c r="I708" s="40" t="str">
        <f t="array" ref="I708">IF(C708="","",IF(C708="Tournament",INDEX('Tournament Log'!$J:$J,E708),IF(C708="Guest",IF(INDEX('Guest Log'!$I:$I,Q708)="",1000,INDEX('Guest Log'!$I:$I,Q708)),IFERROR(LOOKUP(2,1/(($F$1:F707=G708)+($G$1:G707=G708)),IF($F$1:F707=G708,$N$1:N707,$O$1:O707)),1000))))</f>
        <v/>
      </c>
      <c r="J708" s="40" t="str">
        <f t="shared" si="56"/>
        <v/>
      </c>
      <c r="K708" s="12" t="str">
        <f>IF(C708="","",IF(C708="Match",IF(INDEX('Match Log'!$D:$D,D708)="Win",1,IF(INDEX('Match Log'!$D:$D,D708)="Draw",0.5,0)),IF(C708="Tournament",INDEX('Tournament Log'!$K:$K,E708),IF(INDEX('Guest Log'!$C:$C,Q708)="Win",1,IF(INDEX('Guest Log'!$C:$C,Q708)="Draw",0.5,0)))))</f>
        <v/>
      </c>
      <c r="L708" s="12" t="str">
        <f>IF(C708="","",IF(C708="Match",32,IF(C708="Tournament",MIN(32*INDEX('Tournament Log'!$D:$D,E708),96),32)))</f>
        <v/>
      </c>
      <c r="M708" s="12" t="str">
        <f t="shared" si="57"/>
        <v/>
      </c>
      <c r="N708" s="12" t="str">
        <f t="shared" si="58"/>
        <v/>
      </c>
      <c r="O708" s="12" t="str">
        <f t="shared" si="59"/>
        <v/>
      </c>
      <c r="P708" s="12" t="str">
        <f>IF(C708="Tournament",INDEX('Tournament Log'!$B:$B,E708),IF(C708="Guest","Guest: "&amp;INDEX('Guest Log'!$H:$H,Q708),""))</f>
        <v/>
      </c>
      <c r="Q708" t="str">
        <f>IFERROR(MATCH($A708,'Guest Log'!$L$4:$L$203,0)+3,"")</f>
        <v/>
      </c>
    </row>
    <row r="709" spans="1:17" ht="15" customHeight="1" x14ac:dyDescent="0.2">
      <c r="A709" s="40">
        <f>708</f>
        <v>708</v>
      </c>
      <c r="B709" s="40" t="str">
        <f>IF(C709="","",IF(C709="Match",INDEX('Match Log'!$A:$A,D709),IF(C709="Tournament",INDEX('Tournament Log'!$A:$A,E709),INDEX('Guest Log'!$A:$A,Q709))))</f>
        <v/>
      </c>
      <c r="C709" s="40" t="str">
        <f t="shared" si="55"/>
        <v/>
      </c>
      <c r="D709" s="41" t="str">
        <f>IFERROR(MATCH($A709,'Match Log'!$K$3:$K$501,0)+2,"")</f>
        <v/>
      </c>
      <c r="E709" s="41" t="str">
        <f>IFERROR(MATCH($A709,'Tournament Log'!$O$4:$O$203,0)+3,"")</f>
        <v/>
      </c>
      <c r="F709" s="40" t="str">
        <f>IF(C709="","",IF(C709="Match",INDEX('Match Log'!$B:$B,D709),IF(C709="Tournament",INDEX('Tournament Log'!$C:$C,E709),INDEX('Guest Log'!$B:$B,Q709))))</f>
        <v/>
      </c>
      <c r="G709" s="40" t="str">
        <f>IF(C709="","",IF(C709="Match",INDEX('Match Log'!$C:$C,D709),IF(C709="Tournament",INDEX('Tournament Log'!$B:$B,E709)&amp;" (Phantom)",INDEX('Guest Log'!$H:$H,Q709)&amp;" (Guest)")))</f>
        <v/>
      </c>
      <c r="H709" s="40" t="str">
        <f t="array" ref="H709">IF(C709="","",IFERROR(LOOKUP(2,1/(($F$1:F708=F709)+($G$1:G708=F709)),IF($F$1:F708=F709,$N$1:N708,$O$1:O708)),1000))</f>
        <v/>
      </c>
      <c r="I709" s="40" t="str">
        <f t="array" ref="I709">IF(C709="","",IF(C709="Tournament",INDEX('Tournament Log'!$J:$J,E709),IF(C709="Guest",IF(INDEX('Guest Log'!$I:$I,Q709)="",1000,INDEX('Guest Log'!$I:$I,Q709)),IFERROR(LOOKUP(2,1/(($F$1:F708=G709)+($G$1:G708=G709)),IF($F$1:F708=G709,$N$1:N708,$O$1:O708)),1000))))</f>
        <v/>
      </c>
      <c r="J709" s="40" t="str">
        <f t="shared" si="56"/>
        <v/>
      </c>
      <c r="K709" s="12" t="str">
        <f>IF(C709="","",IF(C709="Match",IF(INDEX('Match Log'!$D:$D,D709)="Win",1,IF(INDEX('Match Log'!$D:$D,D709)="Draw",0.5,0)),IF(C709="Tournament",INDEX('Tournament Log'!$K:$K,E709),IF(INDEX('Guest Log'!$C:$C,Q709)="Win",1,IF(INDEX('Guest Log'!$C:$C,Q709)="Draw",0.5,0)))))</f>
        <v/>
      </c>
      <c r="L709" s="12" t="str">
        <f>IF(C709="","",IF(C709="Match",32,IF(C709="Tournament",MIN(32*INDEX('Tournament Log'!$D:$D,E709),96),32)))</f>
        <v/>
      </c>
      <c r="M709" s="12" t="str">
        <f t="shared" si="57"/>
        <v/>
      </c>
      <c r="N709" s="12" t="str">
        <f t="shared" si="58"/>
        <v/>
      </c>
      <c r="O709" s="12" t="str">
        <f t="shared" si="59"/>
        <v/>
      </c>
      <c r="P709" s="12" t="str">
        <f>IF(C709="Tournament",INDEX('Tournament Log'!$B:$B,E709),IF(C709="Guest","Guest: "&amp;INDEX('Guest Log'!$H:$H,Q709),""))</f>
        <v/>
      </c>
      <c r="Q709" t="str">
        <f>IFERROR(MATCH($A709,'Guest Log'!$L$4:$L$203,0)+3,"")</f>
        <v/>
      </c>
    </row>
    <row r="710" spans="1:17" ht="15" customHeight="1" x14ac:dyDescent="0.2">
      <c r="A710" s="40">
        <f>709</f>
        <v>709</v>
      </c>
      <c r="B710" s="40" t="str">
        <f>IF(C710="","",IF(C710="Match",INDEX('Match Log'!$A:$A,D710),IF(C710="Tournament",INDEX('Tournament Log'!$A:$A,E710),INDEX('Guest Log'!$A:$A,Q710))))</f>
        <v/>
      </c>
      <c r="C710" s="40" t="str">
        <f t="shared" si="55"/>
        <v/>
      </c>
      <c r="D710" s="41" t="str">
        <f>IFERROR(MATCH($A710,'Match Log'!$K$3:$K$501,0)+2,"")</f>
        <v/>
      </c>
      <c r="E710" s="41" t="str">
        <f>IFERROR(MATCH($A710,'Tournament Log'!$O$4:$O$203,0)+3,"")</f>
        <v/>
      </c>
      <c r="F710" s="40" t="str">
        <f>IF(C710="","",IF(C710="Match",INDEX('Match Log'!$B:$B,D710),IF(C710="Tournament",INDEX('Tournament Log'!$C:$C,E710),INDEX('Guest Log'!$B:$B,Q710))))</f>
        <v/>
      </c>
      <c r="G710" s="40" t="str">
        <f>IF(C710="","",IF(C710="Match",INDEX('Match Log'!$C:$C,D710),IF(C710="Tournament",INDEX('Tournament Log'!$B:$B,E710)&amp;" (Phantom)",INDEX('Guest Log'!$H:$H,Q710)&amp;" (Guest)")))</f>
        <v/>
      </c>
      <c r="H710" s="40" t="str">
        <f t="array" ref="H710">IF(C710="","",IFERROR(LOOKUP(2,1/(($F$1:F709=F710)+($G$1:G709=F710)),IF($F$1:F709=F710,$N$1:N709,$O$1:O709)),1000))</f>
        <v/>
      </c>
      <c r="I710" s="40" t="str">
        <f t="array" ref="I710">IF(C710="","",IF(C710="Tournament",INDEX('Tournament Log'!$J:$J,E710),IF(C710="Guest",IF(INDEX('Guest Log'!$I:$I,Q710)="",1000,INDEX('Guest Log'!$I:$I,Q710)),IFERROR(LOOKUP(2,1/(($F$1:F709=G710)+($G$1:G709=G710)),IF($F$1:F709=G710,$N$1:N709,$O$1:O709)),1000))))</f>
        <v/>
      </c>
      <c r="J710" s="40" t="str">
        <f t="shared" si="56"/>
        <v/>
      </c>
      <c r="K710" s="12" t="str">
        <f>IF(C710="","",IF(C710="Match",IF(INDEX('Match Log'!$D:$D,D710)="Win",1,IF(INDEX('Match Log'!$D:$D,D710)="Draw",0.5,0)),IF(C710="Tournament",INDEX('Tournament Log'!$K:$K,E710),IF(INDEX('Guest Log'!$C:$C,Q710)="Win",1,IF(INDEX('Guest Log'!$C:$C,Q710)="Draw",0.5,0)))))</f>
        <v/>
      </c>
      <c r="L710" s="12" t="str">
        <f>IF(C710="","",IF(C710="Match",32,IF(C710="Tournament",MIN(32*INDEX('Tournament Log'!$D:$D,E710),96),32)))</f>
        <v/>
      </c>
      <c r="M710" s="12" t="str">
        <f t="shared" si="57"/>
        <v/>
      </c>
      <c r="N710" s="12" t="str">
        <f t="shared" si="58"/>
        <v/>
      </c>
      <c r="O710" s="12" t="str">
        <f t="shared" si="59"/>
        <v/>
      </c>
      <c r="P710" s="12" t="str">
        <f>IF(C710="Tournament",INDEX('Tournament Log'!$B:$B,E710),IF(C710="Guest","Guest: "&amp;INDEX('Guest Log'!$H:$H,Q710),""))</f>
        <v/>
      </c>
      <c r="Q710" t="str">
        <f>IFERROR(MATCH($A710,'Guest Log'!$L$4:$L$203,0)+3,"")</f>
        <v/>
      </c>
    </row>
    <row r="711" spans="1:17" ht="15" customHeight="1" x14ac:dyDescent="0.2">
      <c r="A711" s="40">
        <f>710</f>
        <v>710</v>
      </c>
      <c r="B711" s="40" t="str">
        <f>IF(C711="","",IF(C711="Match",INDEX('Match Log'!$A:$A,D711),IF(C711="Tournament",INDEX('Tournament Log'!$A:$A,E711),INDEX('Guest Log'!$A:$A,Q711))))</f>
        <v/>
      </c>
      <c r="C711" s="40" t="str">
        <f t="shared" si="55"/>
        <v/>
      </c>
      <c r="D711" s="41" t="str">
        <f>IFERROR(MATCH($A711,'Match Log'!$K$3:$K$501,0)+2,"")</f>
        <v/>
      </c>
      <c r="E711" s="41" t="str">
        <f>IFERROR(MATCH($A711,'Tournament Log'!$O$4:$O$203,0)+3,"")</f>
        <v/>
      </c>
      <c r="F711" s="40" t="str">
        <f>IF(C711="","",IF(C711="Match",INDEX('Match Log'!$B:$B,D711),IF(C711="Tournament",INDEX('Tournament Log'!$C:$C,E711),INDEX('Guest Log'!$B:$B,Q711))))</f>
        <v/>
      </c>
      <c r="G711" s="40" t="str">
        <f>IF(C711="","",IF(C711="Match",INDEX('Match Log'!$C:$C,D711),IF(C711="Tournament",INDEX('Tournament Log'!$B:$B,E711)&amp;" (Phantom)",INDEX('Guest Log'!$H:$H,Q711)&amp;" (Guest)")))</f>
        <v/>
      </c>
      <c r="H711" s="40" t="str">
        <f t="array" ref="H711">IF(C711="","",IFERROR(LOOKUP(2,1/(($F$1:F710=F711)+($G$1:G710=F711)),IF($F$1:F710=F711,$N$1:N710,$O$1:O710)),1000))</f>
        <v/>
      </c>
      <c r="I711" s="40" t="str">
        <f t="array" ref="I711">IF(C711="","",IF(C711="Tournament",INDEX('Tournament Log'!$J:$J,E711),IF(C711="Guest",IF(INDEX('Guest Log'!$I:$I,Q711)="",1000,INDEX('Guest Log'!$I:$I,Q711)),IFERROR(LOOKUP(2,1/(($F$1:F710=G711)+($G$1:G710=G711)),IF($F$1:F710=G711,$N$1:N710,$O$1:O710)),1000))))</f>
        <v/>
      </c>
      <c r="J711" s="40" t="str">
        <f t="shared" si="56"/>
        <v/>
      </c>
      <c r="K711" s="12" t="str">
        <f>IF(C711="","",IF(C711="Match",IF(INDEX('Match Log'!$D:$D,D711)="Win",1,IF(INDEX('Match Log'!$D:$D,D711)="Draw",0.5,0)),IF(C711="Tournament",INDEX('Tournament Log'!$K:$K,E711),IF(INDEX('Guest Log'!$C:$C,Q711)="Win",1,IF(INDEX('Guest Log'!$C:$C,Q711)="Draw",0.5,0)))))</f>
        <v/>
      </c>
      <c r="L711" s="12" t="str">
        <f>IF(C711="","",IF(C711="Match",32,IF(C711="Tournament",MIN(32*INDEX('Tournament Log'!$D:$D,E711),96),32)))</f>
        <v/>
      </c>
      <c r="M711" s="12" t="str">
        <f t="shared" si="57"/>
        <v/>
      </c>
      <c r="N711" s="12" t="str">
        <f t="shared" si="58"/>
        <v/>
      </c>
      <c r="O711" s="12" t="str">
        <f t="shared" si="59"/>
        <v/>
      </c>
      <c r="P711" s="12" t="str">
        <f>IF(C711="Tournament",INDEX('Tournament Log'!$B:$B,E711),IF(C711="Guest","Guest: "&amp;INDEX('Guest Log'!$H:$H,Q711),""))</f>
        <v/>
      </c>
      <c r="Q711" t="str">
        <f>IFERROR(MATCH($A711,'Guest Log'!$L$4:$L$203,0)+3,"")</f>
        <v/>
      </c>
    </row>
    <row r="712" spans="1:17" ht="15" customHeight="1" x14ac:dyDescent="0.2">
      <c r="A712" s="40">
        <f>711</f>
        <v>711</v>
      </c>
      <c r="B712" s="40" t="str">
        <f>IF(C712="","",IF(C712="Match",INDEX('Match Log'!$A:$A,D712),IF(C712="Tournament",INDEX('Tournament Log'!$A:$A,E712),INDEX('Guest Log'!$A:$A,Q712))))</f>
        <v/>
      </c>
      <c r="C712" s="40" t="str">
        <f t="shared" si="55"/>
        <v/>
      </c>
      <c r="D712" s="41" t="str">
        <f>IFERROR(MATCH($A712,'Match Log'!$K$3:$K$501,0)+2,"")</f>
        <v/>
      </c>
      <c r="E712" s="41" t="str">
        <f>IFERROR(MATCH($A712,'Tournament Log'!$O$4:$O$203,0)+3,"")</f>
        <v/>
      </c>
      <c r="F712" s="40" t="str">
        <f>IF(C712="","",IF(C712="Match",INDEX('Match Log'!$B:$B,D712),IF(C712="Tournament",INDEX('Tournament Log'!$C:$C,E712),INDEX('Guest Log'!$B:$B,Q712))))</f>
        <v/>
      </c>
      <c r="G712" s="40" t="str">
        <f>IF(C712="","",IF(C712="Match",INDEX('Match Log'!$C:$C,D712),IF(C712="Tournament",INDEX('Tournament Log'!$B:$B,E712)&amp;" (Phantom)",INDEX('Guest Log'!$H:$H,Q712)&amp;" (Guest)")))</f>
        <v/>
      </c>
      <c r="H712" s="40" t="str">
        <f t="array" ref="H712">IF(C712="","",IFERROR(LOOKUP(2,1/(($F$1:F711=F712)+($G$1:G711=F712)),IF($F$1:F711=F712,$N$1:N711,$O$1:O711)),1000))</f>
        <v/>
      </c>
      <c r="I712" s="40" t="str">
        <f t="array" ref="I712">IF(C712="","",IF(C712="Tournament",INDEX('Tournament Log'!$J:$J,E712),IF(C712="Guest",IF(INDEX('Guest Log'!$I:$I,Q712)="",1000,INDEX('Guest Log'!$I:$I,Q712)),IFERROR(LOOKUP(2,1/(($F$1:F711=G712)+($G$1:G711=G712)),IF($F$1:F711=G712,$N$1:N711,$O$1:O711)),1000))))</f>
        <v/>
      </c>
      <c r="J712" s="40" t="str">
        <f t="shared" si="56"/>
        <v/>
      </c>
      <c r="K712" s="12" t="str">
        <f>IF(C712="","",IF(C712="Match",IF(INDEX('Match Log'!$D:$D,D712)="Win",1,IF(INDEX('Match Log'!$D:$D,D712)="Draw",0.5,0)),IF(C712="Tournament",INDEX('Tournament Log'!$K:$K,E712),IF(INDEX('Guest Log'!$C:$C,Q712)="Win",1,IF(INDEX('Guest Log'!$C:$C,Q712)="Draw",0.5,0)))))</f>
        <v/>
      </c>
      <c r="L712" s="12" t="str">
        <f>IF(C712="","",IF(C712="Match",32,IF(C712="Tournament",MIN(32*INDEX('Tournament Log'!$D:$D,E712),96),32)))</f>
        <v/>
      </c>
      <c r="M712" s="12" t="str">
        <f t="shared" si="57"/>
        <v/>
      </c>
      <c r="N712" s="12" t="str">
        <f t="shared" si="58"/>
        <v/>
      </c>
      <c r="O712" s="12" t="str">
        <f t="shared" si="59"/>
        <v/>
      </c>
      <c r="P712" s="12" t="str">
        <f>IF(C712="Tournament",INDEX('Tournament Log'!$B:$B,E712),IF(C712="Guest","Guest: "&amp;INDEX('Guest Log'!$H:$H,Q712),""))</f>
        <v/>
      </c>
      <c r="Q712" t="str">
        <f>IFERROR(MATCH($A712,'Guest Log'!$L$4:$L$203,0)+3,"")</f>
        <v/>
      </c>
    </row>
    <row r="713" spans="1:17" ht="15" customHeight="1" x14ac:dyDescent="0.2">
      <c r="A713" s="40">
        <f>712</f>
        <v>712</v>
      </c>
      <c r="B713" s="40" t="str">
        <f>IF(C713="","",IF(C713="Match",INDEX('Match Log'!$A:$A,D713),IF(C713="Tournament",INDEX('Tournament Log'!$A:$A,E713),INDEX('Guest Log'!$A:$A,Q713))))</f>
        <v/>
      </c>
      <c r="C713" s="40" t="str">
        <f t="shared" si="55"/>
        <v/>
      </c>
      <c r="D713" s="41" t="str">
        <f>IFERROR(MATCH($A713,'Match Log'!$K$3:$K$501,0)+2,"")</f>
        <v/>
      </c>
      <c r="E713" s="41" t="str">
        <f>IFERROR(MATCH($A713,'Tournament Log'!$O$4:$O$203,0)+3,"")</f>
        <v/>
      </c>
      <c r="F713" s="40" t="str">
        <f>IF(C713="","",IF(C713="Match",INDEX('Match Log'!$B:$B,D713),IF(C713="Tournament",INDEX('Tournament Log'!$C:$C,E713),INDEX('Guest Log'!$B:$B,Q713))))</f>
        <v/>
      </c>
      <c r="G713" s="40" t="str">
        <f>IF(C713="","",IF(C713="Match",INDEX('Match Log'!$C:$C,D713),IF(C713="Tournament",INDEX('Tournament Log'!$B:$B,E713)&amp;" (Phantom)",INDEX('Guest Log'!$H:$H,Q713)&amp;" (Guest)")))</f>
        <v/>
      </c>
      <c r="H713" s="40" t="str">
        <f t="array" ref="H713">IF(C713="","",IFERROR(LOOKUP(2,1/(($F$1:F712=F713)+($G$1:G712=F713)),IF($F$1:F712=F713,$N$1:N712,$O$1:O712)),1000))</f>
        <v/>
      </c>
      <c r="I713" s="40" t="str">
        <f t="array" ref="I713">IF(C713="","",IF(C713="Tournament",INDEX('Tournament Log'!$J:$J,E713),IF(C713="Guest",IF(INDEX('Guest Log'!$I:$I,Q713)="",1000,INDEX('Guest Log'!$I:$I,Q713)),IFERROR(LOOKUP(2,1/(($F$1:F712=G713)+($G$1:G712=G713)),IF($F$1:F712=G713,$N$1:N712,$O$1:O712)),1000))))</f>
        <v/>
      </c>
      <c r="J713" s="40" t="str">
        <f t="shared" si="56"/>
        <v/>
      </c>
      <c r="K713" s="12" t="str">
        <f>IF(C713="","",IF(C713="Match",IF(INDEX('Match Log'!$D:$D,D713)="Win",1,IF(INDEX('Match Log'!$D:$D,D713)="Draw",0.5,0)),IF(C713="Tournament",INDEX('Tournament Log'!$K:$K,E713),IF(INDEX('Guest Log'!$C:$C,Q713)="Win",1,IF(INDEX('Guest Log'!$C:$C,Q713)="Draw",0.5,0)))))</f>
        <v/>
      </c>
      <c r="L713" s="12" t="str">
        <f>IF(C713="","",IF(C713="Match",32,IF(C713="Tournament",MIN(32*INDEX('Tournament Log'!$D:$D,E713),96),32)))</f>
        <v/>
      </c>
      <c r="M713" s="12" t="str">
        <f t="shared" si="57"/>
        <v/>
      </c>
      <c r="N713" s="12" t="str">
        <f t="shared" si="58"/>
        <v/>
      </c>
      <c r="O713" s="12" t="str">
        <f t="shared" si="59"/>
        <v/>
      </c>
      <c r="P713" s="12" t="str">
        <f>IF(C713="Tournament",INDEX('Tournament Log'!$B:$B,E713),IF(C713="Guest","Guest: "&amp;INDEX('Guest Log'!$H:$H,Q713),""))</f>
        <v/>
      </c>
      <c r="Q713" t="str">
        <f>IFERROR(MATCH($A713,'Guest Log'!$L$4:$L$203,0)+3,"")</f>
        <v/>
      </c>
    </row>
    <row r="714" spans="1:17" ht="15" customHeight="1" x14ac:dyDescent="0.2">
      <c r="A714" s="40">
        <f>713</f>
        <v>713</v>
      </c>
      <c r="B714" s="40" t="str">
        <f>IF(C714="","",IF(C714="Match",INDEX('Match Log'!$A:$A,D714),IF(C714="Tournament",INDEX('Tournament Log'!$A:$A,E714),INDEX('Guest Log'!$A:$A,Q714))))</f>
        <v/>
      </c>
      <c r="C714" s="40" t="str">
        <f t="shared" si="55"/>
        <v/>
      </c>
      <c r="D714" s="41" t="str">
        <f>IFERROR(MATCH($A714,'Match Log'!$K$3:$K$501,0)+2,"")</f>
        <v/>
      </c>
      <c r="E714" s="41" t="str">
        <f>IFERROR(MATCH($A714,'Tournament Log'!$O$4:$O$203,0)+3,"")</f>
        <v/>
      </c>
      <c r="F714" s="40" t="str">
        <f>IF(C714="","",IF(C714="Match",INDEX('Match Log'!$B:$B,D714),IF(C714="Tournament",INDEX('Tournament Log'!$C:$C,E714),INDEX('Guest Log'!$B:$B,Q714))))</f>
        <v/>
      </c>
      <c r="G714" s="40" t="str">
        <f>IF(C714="","",IF(C714="Match",INDEX('Match Log'!$C:$C,D714),IF(C714="Tournament",INDEX('Tournament Log'!$B:$B,E714)&amp;" (Phantom)",INDEX('Guest Log'!$H:$H,Q714)&amp;" (Guest)")))</f>
        <v/>
      </c>
      <c r="H714" s="40" t="str">
        <f t="array" ref="H714">IF(C714="","",IFERROR(LOOKUP(2,1/(($F$1:F713=F714)+($G$1:G713=F714)),IF($F$1:F713=F714,$N$1:N713,$O$1:O713)),1000))</f>
        <v/>
      </c>
      <c r="I714" s="40" t="str">
        <f t="array" ref="I714">IF(C714="","",IF(C714="Tournament",INDEX('Tournament Log'!$J:$J,E714),IF(C714="Guest",IF(INDEX('Guest Log'!$I:$I,Q714)="",1000,INDEX('Guest Log'!$I:$I,Q714)),IFERROR(LOOKUP(2,1/(($F$1:F713=G714)+($G$1:G713=G714)),IF($F$1:F713=G714,$N$1:N713,$O$1:O713)),1000))))</f>
        <v/>
      </c>
      <c r="J714" s="40" t="str">
        <f t="shared" si="56"/>
        <v/>
      </c>
      <c r="K714" s="12" t="str">
        <f>IF(C714="","",IF(C714="Match",IF(INDEX('Match Log'!$D:$D,D714)="Win",1,IF(INDEX('Match Log'!$D:$D,D714)="Draw",0.5,0)),IF(C714="Tournament",INDEX('Tournament Log'!$K:$K,E714),IF(INDEX('Guest Log'!$C:$C,Q714)="Win",1,IF(INDEX('Guest Log'!$C:$C,Q714)="Draw",0.5,0)))))</f>
        <v/>
      </c>
      <c r="L714" s="12" t="str">
        <f>IF(C714="","",IF(C714="Match",32,IF(C714="Tournament",MIN(32*INDEX('Tournament Log'!$D:$D,E714),96),32)))</f>
        <v/>
      </c>
      <c r="M714" s="12" t="str">
        <f t="shared" si="57"/>
        <v/>
      </c>
      <c r="N714" s="12" t="str">
        <f t="shared" si="58"/>
        <v/>
      </c>
      <c r="O714" s="12" t="str">
        <f t="shared" si="59"/>
        <v/>
      </c>
      <c r="P714" s="12" t="str">
        <f>IF(C714="Tournament",INDEX('Tournament Log'!$B:$B,E714),IF(C714="Guest","Guest: "&amp;INDEX('Guest Log'!$H:$H,Q714),""))</f>
        <v/>
      </c>
      <c r="Q714" t="str">
        <f>IFERROR(MATCH($A714,'Guest Log'!$L$4:$L$203,0)+3,"")</f>
        <v/>
      </c>
    </row>
    <row r="715" spans="1:17" ht="15" customHeight="1" x14ac:dyDescent="0.2">
      <c r="A715" s="40">
        <f>714</f>
        <v>714</v>
      </c>
      <c r="B715" s="40" t="str">
        <f>IF(C715="","",IF(C715="Match",INDEX('Match Log'!$A:$A,D715),IF(C715="Tournament",INDEX('Tournament Log'!$A:$A,E715),INDEX('Guest Log'!$A:$A,Q715))))</f>
        <v/>
      </c>
      <c r="C715" s="40" t="str">
        <f t="shared" si="55"/>
        <v/>
      </c>
      <c r="D715" s="41" t="str">
        <f>IFERROR(MATCH($A715,'Match Log'!$K$3:$K$501,0)+2,"")</f>
        <v/>
      </c>
      <c r="E715" s="41" t="str">
        <f>IFERROR(MATCH($A715,'Tournament Log'!$O$4:$O$203,0)+3,"")</f>
        <v/>
      </c>
      <c r="F715" s="40" t="str">
        <f>IF(C715="","",IF(C715="Match",INDEX('Match Log'!$B:$B,D715),IF(C715="Tournament",INDEX('Tournament Log'!$C:$C,E715),INDEX('Guest Log'!$B:$B,Q715))))</f>
        <v/>
      </c>
      <c r="G715" s="40" t="str">
        <f>IF(C715="","",IF(C715="Match",INDEX('Match Log'!$C:$C,D715),IF(C715="Tournament",INDEX('Tournament Log'!$B:$B,E715)&amp;" (Phantom)",INDEX('Guest Log'!$H:$H,Q715)&amp;" (Guest)")))</f>
        <v/>
      </c>
      <c r="H715" s="40" t="str">
        <f t="array" ref="H715">IF(C715="","",IFERROR(LOOKUP(2,1/(($F$1:F714=F715)+($G$1:G714=F715)),IF($F$1:F714=F715,$N$1:N714,$O$1:O714)),1000))</f>
        <v/>
      </c>
      <c r="I715" s="40" t="str">
        <f t="array" ref="I715">IF(C715="","",IF(C715="Tournament",INDEX('Tournament Log'!$J:$J,E715),IF(C715="Guest",IF(INDEX('Guest Log'!$I:$I,Q715)="",1000,INDEX('Guest Log'!$I:$I,Q715)),IFERROR(LOOKUP(2,1/(($F$1:F714=G715)+($G$1:G714=G715)),IF($F$1:F714=G715,$N$1:N714,$O$1:O714)),1000))))</f>
        <v/>
      </c>
      <c r="J715" s="40" t="str">
        <f t="shared" si="56"/>
        <v/>
      </c>
      <c r="K715" s="12" t="str">
        <f>IF(C715="","",IF(C715="Match",IF(INDEX('Match Log'!$D:$D,D715)="Win",1,IF(INDEX('Match Log'!$D:$D,D715)="Draw",0.5,0)),IF(C715="Tournament",INDEX('Tournament Log'!$K:$K,E715),IF(INDEX('Guest Log'!$C:$C,Q715)="Win",1,IF(INDEX('Guest Log'!$C:$C,Q715)="Draw",0.5,0)))))</f>
        <v/>
      </c>
      <c r="L715" s="12" t="str">
        <f>IF(C715="","",IF(C715="Match",32,IF(C715="Tournament",MIN(32*INDEX('Tournament Log'!$D:$D,E715),96),32)))</f>
        <v/>
      </c>
      <c r="M715" s="12" t="str">
        <f t="shared" si="57"/>
        <v/>
      </c>
      <c r="N715" s="12" t="str">
        <f t="shared" si="58"/>
        <v/>
      </c>
      <c r="O715" s="12" t="str">
        <f t="shared" si="59"/>
        <v/>
      </c>
      <c r="P715" s="12" t="str">
        <f>IF(C715="Tournament",INDEX('Tournament Log'!$B:$B,E715),IF(C715="Guest","Guest: "&amp;INDEX('Guest Log'!$H:$H,Q715),""))</f>
        <v/>
      </c>
      <c r="Q715" t="str">
        <f>IFERROR(MATCH($A715,'Guest Log'!$L$4:$L$203,0)+3,"")</f>
        <v/>
      </c>
    </row>
    <row r="716" spans="1:17" ht="15" customHeight="1" x14ac:dyDescent="0.2">
      <c r="A716" s="40">
        <f>715</f>
        <v>715</v>
      </c>
      <c r="B716" s="40" t="str">
        <f>IF(C716="","",IF(C716="Match",INDEX('Match Log'!$A:$A,D716),IF(C716="Tournament",INDEX('Tournament Log'!$A:$A,E716),INDEX('Guest Log'!$A:$A,Q716))))</f>
        <v/>
      </c>
      <c r="C716" s="40" t="str">
        <f t="shared" si="55"/>
        <v/>
      </c>
      <c r="D716" s="41" t="str">
        <f>IFERROR(MATCH($A716,'Match Log'!$K$3:$K$501,0)+2,"")</f>
        <v/>
      </c>
      <c r="E716" s="41" t="str">
        <f>IFERROR(MATCH($A716,'Tournament Log'!$O$4:$O$203,0)+3,"")</f>
        <v/>
      </c>
      <c r="F716" s="40" t="str">
        <f>IF(C716="","",IF(C716="Match",INDEX('Match Log'!$B:$B,D716),IF(C716="Tournament",INDEX('Tournament Log'!$C:$C,E716),INDEX('Guest Log'!$B:$B,Q716))))</f>
        <v/>
      </c>
      <c r="G716" s="40" t="str">
        <f>IF(C716="","",IF(C716="Match",INDEX('Match Log'!$C:$C,D716),IF(C716="Tournament",INDEX('Tournament Log'!$B:$B,E716)&amp;" (Phantom)",INDEX('Guest Log'!$H:$H,Q716)&amp;" (Guest)")))</f>
        <v/>
      </c>
      <c r="H716" s="40" t="str">
        <f t="array" ref="H716">IF(C716="","",IFERROR(LOOKUP(2,1/(($F$1:F715=F716)+($G$1:G715=F716)),IF($F$1:F715=F716,$N$1:N715,$O$1:O715)),1000))</f>
        <v/>
      </c>
      <c r="I716" s="40" t="str">
        <f t="array" ref="I716">IF(C716="","",IF(C716="Tournament",INDEX('Tournament Log'!$J:$J,E716),IF(C716="Guest",IF(INDEX('Guest Log'!$I:$I,Q716)="",1000,INDEX('Guest Log'!$I:$I,Q716)),IFERROR(LOOKUP(2,1/(($F$1:F715=G716)+($G$1:G715=G716)),IF($F$1:F715=G716,$N$1:N715,$O$1:O715)),1000))))</f>
        <v/>
      </c>
      <c r="J716" s="40" t="str">
        <f t="shared" si="56"/>
        <v/>
      </c>
      <c r="K716" s="12" t="str">
        <f>IF(C716="","",IF(C716="Match",IF(INDEX('Match Log'!$D:$D,D716)="Win",1,IF(INDEX('Match Log'!$D:$D,D716)="Draw",0.5,0)),IF(C716="Tournament",INDEX('Tournament Log'!$K:$K,E716),IF(INDEX('Guest Log'!$C:$C,Q716)="Win",1,IF(INDEX('Guest Log'!$C:$C,Q716)="Draw",0.5,0)))))</f>
        <v/>
      </c>
      <c r="L716" s="12" t="str">
        <f>IF(C716="","",IF(C716="Match",32,IF(C716="Tournament",MIN(32*INDEX('Tournament Log'!$D:$D,E716),96),32)))</f>
        <v/>
      </c>
      <c r="M716" s="12" t="str">
        <f t="shared" si="57"/>
        <v/>
      </c>
      <c r="N716" s="12" t="str">
        <f t="shared" si="58"/>
        <v/>
      </c>
      <c r="O716" s="12" t="str">
        <f t="shared" si="59"/>
        <v/>
      </c>
      <c r="P716" s="12" t="str">
        <f>IF(C716="Tournament",INDEX('Tournament Log'!$B:$B,E716),IF(C716="Guest","Guest: "&amp;INDEX('Guest Log'!$H:$H,Q716),""))</f>
        <v/>
      </c>
      <c r="Q716" t="str">
        <f>IFERROR(MATCH($A716,'Guest Log'!$L$4:$L$203,0)+3,"")</f>
        <v/>
      </c>
    </row>
    <row r="717" spans="1:17" ht="15" customHeight="1" x14ac:dyDescent="0.2">
      <c r="A717" s="40">
        <f>716</f>
        <v>716</v>
      </c>
      <c r="B717" s="40" t="str">
        <f>IF(C717="","",IF(C717="Match",INDEX('Match Log'!$A:$A,D717),IF(C717="Tournament",INDEX('Tournament Log'!$A:$A,E717),INDEX('Guest Log'!$A:$A,Q717))))</f>
        <v/>
      </c>
      <c r="C717" s="40" t="str">
        <f t="shared" si="55"/>
        <v/>
      </c>
      <c r="D717" s="41" t="str">
        <f>IFERROR(MATCH($A717,'Match Log'!$K$3:$K$501,0)+2,"")</f>
        <v/>
      </c>
      <c r="E717" s="41" t="str">
        <f>IFERROR(MATCH($A717,'Tournament Log'!$O$4:$O$203,0)+3,"")</f>
        <v/>
      </c>
      <c r="F717" s="40" t="str">
        <f>IF(C717="","",IF(C717="Match",INDEX('Match Log'!$B:$B,D717),IF(C717="Tournament",INDEX('Tournament Log'!$C:$C,E717),INDEX('Guest Log'!$B:$B,Q717))))</f>
        <v/>
      </c>
      <c r="G717" s="40" t="str">
        <f>IF(C717="","",IF(C717="Match",INDEX('Match Log'!$C:$C,D717),IF(C717="Tournament",INDEX('Tournament Log'!$B:$B,E717)&amp;" (Phantom)",INDEX('Guest Log'!$H:$H,Q717)&amp;" (Guest)")))</f>
        <v/>
      </c>
      <c r="H717" s="40" t="str">
        <f t="array" ref="H717">IF(C717="","",IFERROR(LOOKUP(2,1/(($F$1:F716=F717)+($G$1:G716=F717)),IF($F$1:F716=F717,$N$1:N716,$O$1:O716)),1000))</f>
        <v/>
      </c>
      <c r="I717" s="40" t="str">
        <f t="array" ref="I717">IF(C717="","",IF(C717="Tournament",INDEX('Tournament Log'!$J:$J,E717),IF(C717="Guest",IF(INDEX('Guest Log'!$I:$I,Q717)="",1000,INDEX('Guest Log'!$I:$I,Q717)),IFERROR(LOOKUP(2,1/(($F$1:F716=G717)+($G$1:G716=G717)),IF($F$1:F716=G717,$N$1:N716,$O$1:O716)),1000))))</f>
        <v/>
      </c>
      <c r="J717" s="40" t="str">
        <f t="shared" si="56"/>
        <v/>
      </c>
      <c r="K717" s="12" t="str">
        <f>IF(C717="","",IF(C717="Match",IF(INDEX('Match Log'!$D:$D,D717)="Win",1,IF(INDEX('Match Log'!$D:$D,D717)="Draw",0.5,0)),IF(C717="Tournament",INDEX('Tournament Log'!$K:$K,E717),IF(INDEX('Guest Log'!$C:$C,Q717)="Win",1,IF(INDEX('Guest Log'!$C:$C,Q717)="Draw",0.5,0)))))</f>
        <v/>
      </c>
      <c r="L717" s="12" t="str">
        <f>IF(C717="","",IF(C717="Match",32,IF(C717="Tournament",MIN(32*INDEX('Tournament Log'!$D:$D,E717),96),32)))</f>
        <v/>
      </c>
      <c r="M717" s="12" t="str">
        <f t="shared" si="57"/>
        <v/>
      </c>
      <c r="N717" s="12" t="str">
        <f t="shared" si="58"/>
        <v/>
      </c>
      <c r="O717" s="12" t="str">
        <f t="shared" si="59"/>
        <v/>
      </c>
      <c r="P717" s="12" t="str">
        <f>IF(C717="Tournament",INDEX('Tournament Log'!$B:$B,E717),IF(C717="Guest","Guest: "&amp;INDEX('Guest Log'!$H:$H,Q717),""))</f>
        <v/>
      </c>
      <c r="Q717" t="str">
        <f>IFERROR(MATCH($A717,'Guest Log'!$L$4:$L$203,0)+3,"")</f>
        <v/>
      </c>
    </row>
    <row r="718" spans="1:17" ht="15" customHeight="1" x14ac:dyDescent="0.2">
      <c r="A718" s="40">
        <f>717</f>
        <v>717</v>
      </c>
      <c r="B718" s="40" t="str">
        <f>IF(C718="","",IF(C718="Match",INDEX('Match Log'!$A:$A,D718),IF(C718="Tournament",INDEX('Tournament Log'!$A:$A,E718),INDEX('Guest Log'!$A:$A,Q718))))</f>
        <v/>
      </c>
      <c r="C718" s="40" t="str">
        <f t="shared" si="55"/>
        <v/>
      </c>
      <c r="D718" s="41" t="str">
        <f>IFERROR(MATCH($A718,'Match Log'!$K$3:$K$501,0)+2,"")</f>
        <v/>
      </c>
      <c r="E718" s="41" t="str">
        <f>IFERROR(MATCH($A718,'Tournament Log'!$O$4:$O$203,0)+3,"")</f>
        <v/>
      </c>
      <c r="F718" s="40" t="str">
        <f>IF(C718="","",IF(C718="Match",INDEX('Match Log'!$B:$B,D718),IF(C718="Tournament",INDEX('Tournament Log'!$C:$C,E718),INDEX('Guest Log'!$B:$B,Q718))))</f>
        <v/>
      </c>
      <c r="G718" s="40" t="str">
        <f>IF(C718="","",IF(C718="Match",INDEX('Match Log'!$C:$C,D718),IF(C718="Tournament",INDEX('Tournament Log'!$B:$B,E718)&amp;" (Phantom)",INDEX('Guest Log'!$H:$H,Q718)&amp;" (Guest)")))</f>
        <v/>
      </c>
      <c r="H718" s="40" t="str">
        <f t="array" ref="H718">IF(C718="","",IFERROR(LOOKUP(2,1/(($F$1:F717=F718)+($G$1:G717=F718)),IF($F$1:F717=F718,$N$1:N717,$O$1:O717)),1000))</f>
        <v/>
      </c>
      <c r="I718" s="40" t="str">
        <f t="array" ref="I718">IF(C718="","",IF(C718="Tournament",INDEX('Tournament Log'!$J:$J,E718),IF(C718="Guest",IF(INDEX('Guest Log'!$I:$I,Q718)="",1000,INDEX('Guest Log'!$I:$I,Q718)),IFERROR(LOOKUP(2,1/(($F$1:F717=G718)+($G$1:G717=G718)),IF($F$1:F717=G718,$N$1:N717,$O$1:O717)),1000))))</f>
        <v/>
      </c>
      <c r="J718" s="40" t="str">
        <f t="shared" si="56"/>
        <v/>
      </c>
      <c r="K718" s="12" t="str">
        <f>IF(C718="","",IF(C718="Match",IF(INDEX('Match Log'!$D:$D,D718)="Win",1,IF(INDEX('Match Log'!$D:$D,D718)="Draw",0.5,0)),IF(C718="Tournament",INDEX('Tournament Log'!$K:$K,E718),IF(INDEX('Guest Log'!$C:$C,Q718)="Win",1,IF(INDEX('Guest Log'!$C:$C,Q718)="Draw",0.5,0)))))</f>
        <v/>
      </c>
      <c r="L718" s="12" t="str">
        <f>IF(C718="","",IF(C718="Match",32,IF(C718="Tournament",MIN(32*INDEX('Tournament Log'!$D:$D,E718),96),32)))</f>
        <v/>
      </c>
      <c r="M718" s="12" t="str">
        <f t="shared" si="57"/>
        <v/>
      </c>
      <c r="N718" s="12" t="str">
        <f t="shared" si="58"/>
        <v/>
      </c>
      <c r="O718" s="12" t="str">
        <f t="shared" si="59"/>
        <v/>
      </c>
      <c r="P718" s="12" t="str">
        <f>IF(C718="Tournament",INDEX('Tournament Log'!$B:$B,E718),IF(C718="Guest","Guest: "&amp;INDEX('Guest Log'!$H:$H,Q718),""))</f>
        <v/>
      </c>
      <c r="Q718" t="str">
        <f>IFERROR(MATCH($A718,'Guest Log'!$L$4:$L$203,0)+3,"")</f>
        <v/>
      </c>
    </row>
    <row r="719" spans="1:17" ht="15" customHeight="1" x14ac:dyDescent="0.2">
      <c r="A719" s="40">
        <f>718</f>
        <v>718</v>
      </c>
      <c r="B719" s="40" t="str">
        <f>IF(C719="","",IF(C719="Match",INDEX('Match Log'!$A:$A,D719),IF(C719="Tournament",INDEX('Tournament Log'!$A:$A,E719),INDEX('Guest Log'!$A:$A,Q719))))</f>
        <v/>
      </c>
      <c r="C719" s="40" t="str">
        <f t="shared" si="55"/>
        <v/>
      </c>
      <c r="D719" s="41" t="str">
        <f>IFERROR(MATCH($A719,'Match Log'!$K$3:$K$501,0)+2,"")</f>
        <v/>
      </c>
      <c r="E719" s="41" t="str">
        <f>IFERROR(MATCH($A719,'Tournament Log'!$O$4:$O$203,0)+3,"")</f>
        <v/>
      </c>
      <c r="F719" s="40" t="str">
        <f>IF(C719="","",IF(C719="Match",INDEX('Match Log'!$B:$B,D719),IF(C719="Tournament",INDEX('Tournament Log'!$C:$C,E719),INDEX('Guest Log'!$B:$B,Q719))))</f>
        <v/>
      </c>
      <c r="G719" s="40" t="str">
        <f>IF(C719="","",IF(C719="Match",INDEX('Match Log'!$C:$C,D719),IF(C719="Tournament",INDEX('Tournament Log'!$B:$B,E719)&amp;" (Phantom)",INDEX('Guest Log'!$H:$H,Q719)&amp;" (Guest)")))</f>
        <v/>
      </c>
      <c r="H719" s="40" t="str">
        <f t="array" ref="H719">IF(C719="","",IFERROR(LOOKUP(2,1/(($F$1:F718=F719)+($G$1:G718=F719)),IF($F$1:F718=F719,$N$1:N718,$O$1:O718)),1000))</f>
        <v/>
      </c>
      <c r="I719" s="40" t="str">
        <f t="array" ref="I719">IF(C719="","",IF(C719="Tournament",INDEX('Tournament Log'!$J:$J,E719),IF(C719="Guest",IF(INDEX('Guest Log'!$I:$I,Q719)="",1000,INDEX('Guest Log'!$I:$I,Q719)),IFERROR(LOOKUP(2,1/(($F$1:F718=G719)+($G$1:G718=G719)),IF($F$1:F718=G719,$N$1:N718,$O$1:O718)),1000))))</f>
        <v/>
      </c>
      <c r="J719" s="40" t="str">
        <f t="shared" si="56"/>
        <v/>
      </c>
      <c r="K719" s="12" t="str">
        <f>IF(C719="","",IF(C719="Match",IF(INDEX('Match Log'!$D:$D,D719)="Win",1,IF(INDEX('Match Log'!$D:$D,D719)="Draw",0.5,0)),IF(C719="Tournament",INDEX('Tournament Log'!$K:$K,E719),IF(INDEX('Guest Log'!$C:$C,Q719)="Win",1,IF(INDEX('Guest Log'!$C:$C,Q719)="Draw",0.5,0)))))</f>
        <v/>
      </c>
      <c r="L719" s="12" t="str">
        <f>IF(C719="","",IF(C719="Match",32,IF(C719="Tournament",MIN(32*INDEX('Tournament Log'!$D:$D,E719),96),32)))</f>
        <v/>
      </c>
      <c r="M719" s="12" t="str">
        <f t="shared" si="57"/>
        <v/>
      </c>
      <c r="N719" s="12" t="str">
        <f t="shared" si="58"/>
        <v/>
      </c>
      <c r="O719" s="12" t="str">
        <f t="shared" si="59"/>
        <v/>
      </c>
      <c r="P719" s="12" t="str">
        <f>IF(C719="Tournament",INDEX('Tournament Log'!$B:$B,E719),IF(C719="Guest","Guest: "&amp;INDEX('Guest Log'!$H:$H,Q719),""))</f>
        <v/>
      </c>
      <c r="Q719" t="str">
        <f>IFERROR(MATCH($A719,'Guest Log'!$L$4:$L$203,0)+3,"")</f>
        <v/>
      </c>
    </row>
    <row r="720" spans="1:17" ht="15" customHeight="1" x14ac:dyDescent="0.2">
      <c r="A720" s="40">
        <f>719</f>
        <v>719</v>
      </c>
      <c r="B720" s="40" t="str">
        <f>IF(C720="","",IF(C720="Match",INDEX('Match Log'!$A:$A,D720),IF(C720="Tournament",INDEX('Tournament Log'!$A:$A,E720),INDEX('Guest Log'!$A:$A,Q720))))</f>
        <v/>
      </c>
      <c r="C720" s="40" t="str">
        <f t="shared" si="55"/>
        <v/>
      </c>
      <c r="D720" s="41" t="str">
        <f>IFERROR(MATCH($A720,'Match Log'!$K$3:$K$501,0)+2,"")</f>
        <v/>
      </c>
      <c r="E720" s="41" t="str">
        <f>IFERROR(MATCH($A720,'Tournament Log'!$O$4:$O$203,0)+3,"")</f>
        <v/>
      </c>
      <c r="F720" s="40" t="str">
        <f>IF(C720="","",IF(C720="Match",INDEX('Match Log'!$B:$B,D720),IF(C720="Tournament",INDEX('Tournament Log'!$C:$C,E720),INDEX('Guest Log'!$B:$B,Q720))))</f>
        <v/>
      </c>
      <c r="G720" s="40" t="str">
        <f>IF(C720="","",IF(C720="Match",INDEX('Match Log'!$C:$C,D720),IF(C720="Tournament",INDEX('Tournament Log'!$B:$B,E720)&amp;" (Phantom)",INDEX('Guest Log'!$H:$H,Q720)&amp;" (Guest)")))</f>
        <v/>
      </c>
      <c r="H720" s="40" t="str">
        <f t="array" ref="H720">IF(C720="","",IFERROR(LOOKUP(2,1/(($F$1:F719=F720)+($G$1:G719=F720)),IF($F$1:F719=F720,$N$1:N719,$O$1:O719)),1000))</f>
        <v/>
      </c>
      <c r="I720" s="40" t="str">
        <f t="array" ref="I720">IF(C720="","",IF(C720="Tournament",INDEX('Tournament Log'!$J:$J,E720),IF(C720="Guest",IF(INDEX('Guest Log'!$I:$I,Q720)="",1000,INDEX('Guest Log'!$I:$I,Q720)),IFERROR(LOOKUP(2,1/(($F$1:F719=G720)+($G$1:G719=G720)),IF($F$1:F719=G720,$N$1:N719,$O$1:O719)),1000))))</f>
        <v/>
      </c>
      <c r="J720" s="40" t="str">
        <f t="shared" si="56"/>
        <v/>
      </c>
      <c r="K720" s="12" t="str">
        <f>IF(C720="","",IF(C720="Match",IF(INDEX('Match Log'!$D:$D,D720)="Win",1,IF(INDEX('Match Log'!$D:$D,D720)="Draw",0.5,0)),IF(C720="Tournament",INDEX('Tournament Log'!$K:$K,E720),IF(INDEX('Guest Log'!$C:$C,Q720)="Win",1,IF(INDEX('Guest Log'!$C:$C,Q720)="Draw",0.5,0)))))</f>
        <v/>
      </c>
      <c r="L720" s="12" t="str">
        <f>IF(C720="","",IF(C720="Match",32,IF(C720="Tournament",MIN(32*INDEX('Tournament Log'!$D:$D,E720),96),32)))</f>
        <v/>
      </c>
      <c r="M720" s="12" t="str">
        <f t="shared" si="57"/>
        <v/>
      </c>
      <c r="N720" s="12" t="str">
        <f t="shared" si="58"/>
        <v/>
      </c>
      <c r="O720" s="12" t="str">
        <f t="shared" si="59"/>
        <v/>
      </c>
      <c r="P720" s="12" t="str">
        <f>IF(C720="Tournament",INDEX('Tournament Log'!$B:$B,E720),IF(C720="Guest","Guest: "&amp;INDEX('Guest Log'!$H:$H,Q720),""))</f>
        <v/>
      </c>
      <c r="Q720" t="str">
        <f>IFERROR(MATCH($A720,'Guest Log'!$L$4:$L$203,0)+3,"")</f>
        <v/>
      </c>
    </row>
    <row r="721" spans="1:17" ht="15" customHeight="1" x14ac:dyDescent="0.2">
      <c r="A721" s="40">
        <f>720</f>
        <v>720</v>
      </c>
      <c r="B721" s="40" t="str">
        <f>IF(C721="","",IF(C721="Match",INDEX('Match Log'!$A:$A,D721),IF(C721="Tournament",INDEX('Tournament Log'!$A:$A,E721),INDEX('Guest Log'!$A:$A,Q721))))</f>
        <v/>
      </c>
      <c r="C721" s="40" t="str">
        <f t="shared" si="55"/>
        <v/>
      </c>
      <c r="D721" s="41" t="str">
        <f>IFERROR(MATCH($A721,'Match Log'!$K$3:$K$501,0)+2,"")</f>
        <v/>
      </c>
      <c r="E721" s="41" t="str">
        <f>IFERROR(MATCH($A721,'Tournament Log'!$O$4:$O$203,0)+3,"")</f>
        <v/>
      </c>
      <c r="F721" s="40" t="str">
        <f>IF(C721="","",IF(C721="Match",INDEX('Match Log'!$B:$B,D721),IF(C721="Tournament",INDEX('Tournament Log'!$C:$C,E721),INDEX('Guest Log'!$B:$B,Q721))))</f>
        <v/>
      </c>
      <c r="G721" s="40" t="str">
        <f>IF(C721="","",IF(C721="Match",INDEX('Match Log'!$C:$C,D721),IF(C721="Tournament",INDEX('Tournament Log'!$B:$B,E721)&amp;" (Phantom)",INDEX('Guest Log'!$H:$H,Q721)&amp;" (Guest)")))</f>
        <v/>
      </c>
      <c r="H721" s="40" t="str">
        <f t="array" ref="H721">IF(C721="","",IFERROR(LOOKUP(2,1/(($F$1:F720=F721)+($G$1:G720=F721)),IF($F$1:F720=F721,$N$1:N720,$O$1:O720)),1000))</f>
        <v/>
      </c>
      <c r="I721" s="40" t="str">
        <f t="array" ref="I721">IF(C721="","",IF(C721="Tournament",INDEX('Tournament Log'!$J:$J,E721),IF(C721="Guest",IF(INDEX('Guest Log'!$I:$I,Q721)="",1000,INDEX('Guest Log'!$I:$I,Q721)),IFERROR(LOOKUP(2,1/(($F$1:F720=G721)+($G$1:G720=G721)),IF($F$1:F720=G721,$N$1:N720,$O$1:O720)),1000))))</f>
        <v/>
      </c>
      <c r="J721" s="40" t="str">
        <f t="shared" si="56"/>
        <v/>
      </c>
      <c r="K721" s="12" t="str">
        <f>IF(C721="","",IF(C721="Match",IF(INDEX('Match Log'!$D:$D,D721)="Win",1,IF(INDEX('Match Log'!$D:$D,D721)="Draw",0.5,0)),IF(C721="Tournament",INDEX('Tournament Log'!$K:$K,E721),IF(INDEX('Guest Log'!$C:$C,Q721)="Win",1,IF(INDEX('Guest Log'!$C:$C,Q721)="Draw",0.5,0)))))</f>
        <v/>
      </c>
      <c r="L721" s="12" t="str">
        <f>IF(C721="","",IF(C721="Match",32,IF(C721="Tournament",MIN(32*INDEX('Tournament Log'!$D:$D,E721),96),32)))</f>
        <v/>
      </c>
      <c r="M721" s="12" t="str">
        <f t="shared" si="57"/>
        <v/>
      </c>
      <c r="N721" s="12" t="str">
        <f t="shared" si="58"/>
        <v/>
      </c>
      <c r="O721" s="12" t="str">
        <f t="shared" si="59"/>
        <v/>
      </c>
      <c r="P721" s="12" t="str">
        <f>IF(C721="Tournament",INDEX('Tournament Log'!$B:$B,E721),IF(C721="Guest","Guest: "&amp;INDEX('Guest Log'!$H:$H,Q721),""))</f>
        <v/>
      </c>
      <c r="Q721" t="str">
        <f>IFERROR(MATCH($A721,'Guest Log'!$L$4:$L$203,0)+3,"")</f>
        <v/>
      </c>
    </row>
    <row r="722" spans="1:17" ht="15" customHeight="1" x14ac:dyDescent="0.2">
      <c r="A722" s="40">
        <f>721</f>
        <v>721</v>
      </c>
      <c r="B722" s="40" t="str">
        <f>IF(C722="","",IF(C722="Match",INDEX('Match Log'!$A:$A,D722),IF(C722="Tournament",INDEX('Tournament Log'!$A:$A,E722),INDEX('Guest Log'!$A:$A,Q722))))</f>
        <v/>
      </c>
      <c r="C722" s="40" t="str">
        <f t="shared" si="55"/>
        <v/>
      </c>
      <c r="D722" s="41" t="str">
        <f>IFERROR(MATCH($A722,'Match Log'!$K$3:$K$501,0)+2,"")</f>
        <v/>
      </c>
      <c r="E722" s="41" t="str">
        <f>IFERROR(MATCH($A722,'Tournament Log'!$O$4:$O$203,0)+3,"")</f>
        <v/>
      </c>
      <c r="F722" s="40" t="str">
        <f>IF(C722="","",IF(C722="Match",INDEX('Match Log'!$B:$B,D722),IF(C722="Tournament",INDEX('Tournament Log'!$C:$C,E722),INDEX('Guest Log'!$B:$B,Q722))))</f>
        <v/>
      </c>
      <c r="G722" s="40" t="str">
        <f>IF(C722="","",IF(C722="Match",INDEX('Match Log'!$C:$C,D722),IF(C722="Tournament",INDEX('Tournament Log'!$B:$B,E722)&amp;" (Phantom)",INDEX('Guest Log'!$H:$H,Q722)&amp;" (Guest)")))</f>
        <v/>
      </c>
      <c r="H722" s="40" t="str">
        <f t="array" ref="H722">IF(C722="","",IFERROR(LOOKUP(2,1/(($F$1:F721=F722)+($G$1:G721=F722)),IF($F$1:F721=F722,$N$1:N721,$O$1:O721)),1000))</f>
        <v/>
      </c>
      <c r="I722" s="40" t="str">
        <f t="array" ref="I722">IF(C722="","",IF(C722="Tournament",INDEX('Tournament Log'!$J:$J,E722),IF(C722="Guest",IF(INDEX('Guest Log'!$I:$I,Q722)="",1000,INDEX('Guest Log'!$I:$I,Q722)),IFERROR(LOOKUP(2,1/(($F$1:F721=G722)+($G$1:G721=G722)),IF($F$1:F721=G722,$N$1:N721,$O$1:O721)),1000))))</f>
        <v/>
      </c>
      <c r="J722" s="40" t="str">
        <f t="shared" si="56"/>
        <v/>
      </c>
      <c r="K722" s="12" t="str">
        <f>IF(C722="","",IF(C722="Match",IF(INDEX('Match Log'!$D:$D,D722)="Win",1,IF(INDEX('Match Log'!$D:$D,D722)="Draw",0.5,0)),IF(C722="Tournament",INDEX('Tournament Log'!$K:$K,E722),IF(INDEX('Guest Log'!$C:$C,Q722)="Win",1,IF(INDEX('Guest Log'!$C:$C,Q722)="Draw",0.5,0)))))</f>
        <v/>
      </c>
      <c r="L722" s="12" t="str">
        <f>IF(C722="","",IF(C722="Match",32,IF(C722="Tournament",MIN(32*INDEX('Tournament Log'!$D:$D,E722),96),32)))</f>
        <v/>
      </c>
      <c r="M722" s="12" t="str">
        <f t="shared" si="57"/>
        <v/>
      </c>
      <c r="N722" s="12" t="str">
        <f t="shared" si="58"/>
        <v/>
      </c>
      <c r="O722" s="12" t="str">
        <f t="shared" si="59"/>
        <v/>
      </c>
      <c r="P722" s="12" t="str">
        <f>IF(C722="Tournament",INDEX('Tournament Log'!$B:$B,E722),IF(C722="Guest","Guest: "&amp;INDEX('Guest Log'!$H:$H,Q722),""))</f>
        <v/>
      </c>
      <c r="Q722" t="str">
        <f>IFERROR(MATCH($A722,'Guest Log'!$L$4:$L$203,0)+3,"")</f>
        <v/>
      </c>
    </row>
    <row r="723" spans="1:17" ht="15" customHeight="1" x14ac:dyDescent="0.2">
      <c r="A723" s="40">
        <f>722</f>
        <v>722</v>
      </c>
      <c r="B723" s="40" t="str">
        <f>IF(C723="","",IF(C723="Match",INDEX('Match Log'!$A:$A,D723),IF(C723="Tournament",INDEX('Tournament Log'!$A:$A,E723),INDEX('Guest Log'!$A:$A,Q723))))</f>
        <v/>
      </c>
      <c r="C723" s="40" t="str">
        <f t="shared" si="55"/>
        <v/>
      </c>
      <c r="D723" s="41" t="str">
        <f>IFERROR(MATCH($A723,'Match Log'!$K$3:$K$501,0)+2,"")</f>
        <v/>
      </c>
      <c r="E723" s="41" t="str">
        <f>IFERROR(MATCH($A723,'Tournament Log'!$O$4:$O$203,0)+3,"")</f>
        <v/>
      </c>
      <c r="F723" s="40" t="str">
        <f>IF(C723="","",IF(C723="Match",INDEX('Match Log'!$B:$B,D723),IF(C723="Tournament",INDEX('Tournament Log'!$C:$C,E723),INDEX('Guest Log'!$B:$B,Q723))))</f>
        <v/>
      </c>
      <c r="G723" s="40" t="str">
        <f>IF(C723="","",IF(C723="Match",INDEX('Match Log'!$C:$C,D723),IF(C723="Tournament",INDEX('Tournament Log'!$B:$B,E723)&amp;" (Phantom)",INDEX('Guest Log'!$H:$H,Q723)&amp;" (Guest)")))</f>
        <v/>
      </c>
      <c r="H723" s="40" t="str">
        <f t="array" ref="H723">IF(C723="","",IFERROR(LOOKUP(2,1/(($F$1:F722=F723)+($G$1:G722=F723)),IF($F$1:F722=F723,$N$1:N722,$O$1:O722)),1000))</f>
        <v/>
      </c>
      <c r="I723" s="40" t="str">
        <f t="array" ref="I723">IF(C723="","",IF(C723="Tournament",INDEX('Tournament Log'!$J:$J,E723),IF(C723="Guest",IF(INDEX('Guest Log'!$I:$I,Q723)="",1000,INDEX('Guest Log'!$I:$I,Q723)),IFERROR(LOOKUP(2,1/(($F$1:F722=G723)+($G$1:G722=G723)),IF($F$1:F722=G723,$N$1:N722,$O$1:O722)),1000))))</f>
        <v/>
      </c>
      <c r="J723" s="40" t="str">
        <f t="shared" si="56"/>
        <v/>
      </c>
      <c r="K723" s="12" t="str">
        <f>IF(C723="","",IF(C723="Match",IF(INDEX('Match Log'!$D:$D,D723)="Win",1,IF(INDEX('Match Log'!$D:$D,D723)="Draw",0.5,0)),IF(C723="Tournament",INDEX('Tournament Log'!$K:$K,E723),IF(INDEX('Guest Log'!$C:$C,Q723)="Win",1,IF(INDEX('Guest Log'!$C:$C,Q723)="Draw",0.5,0)))))</f>
        <v/>
      </c>
      <c r="L723" s="12" t="str">
        <f>IF(C723="","",IF(C723="Match",32,IF(C723="Tournament",MIN(32*INDEX('Tournament Log'!$D:$D,E723),96),32)))</f>
        <v/>
      </c>
      <c r="M723" s="12" t="str">
        <f t="shared" si="57"/>
        <v/>
      </c>
      <c r="N723" s="12" t="str">
        <f t="shared" si="58"/>
        <v/>
      </c>
      <c r="O723" s="12" t="str">
        <f t="shared" si="59"/>
        <v/>
      </c>
      <c r="P723" s="12" t="str">
        <f>IF(C723="Tournament",INDEX('Tournament Log'!$B:$B,E723),IF(C723="Guest","Guest: "&amp;INDEX('Guest Log'!$H:$H,Q723),""))</f>
        <v/>
      </c>
      <c r="Q723" t="str">
        <f>IFERROR(MATCH($A723,'Guest Log'!$L$4:$L$203,0)+3,"")</f>
        <v/>
      </c>
    </row>
    <row r="724" spans="1:17" ht="15" customHeight="1" x14ac:dyDescent="0.2">
      <c r="A724" s="40">
        <f>723</f>
        <v>723</v>
      </c>
      <c r="B724" s="40" t="str">
        <f>IF(C724="","",IF(C724="Match",INDEX('Match Log'!$A:$A,D724),IF(C724="Tournament",INDEX('Tournament Log'!$A:$A,E724),INDEX('Guest Log'!$A:$A,Q724))))</f>
        <v/>
      </c>
      <c r="C724" s="40" t="str">
        <f t="shared" si="55"/>
        <v/>
      </c>
      <c r="D724" s="41" t="str">
        <f>IFERROR(MATCH($A724,'Match Log'!$K$3:$K$501,0)+2,"")</f>
        <v/>
      </c>
      <c r="E724" s="41" t="str">
        <f>IFERROR(MATCH($A724,'Tournament Log'!$O$4:$O$203,0)+3,"")</f>
        <v/>
      </c>
      <c r="F724" s="40" t="str">
        <f>IF(C724="","",IF(C724="Match",INDEX('Match Log'!$B:$B,D724),IF(C724="Tournament",INDEX('Tournament Log'!$C:$C,E724),INDEX('Guest Log'!$B:$B,Q724))))</f>
        <v/>
      </c>
      <c r="G724" s="40" t="str">
        <f>IF(C724="","",IF(C724="Match",INDEX('Match Log'!$C:$C,D724),IF(C724="Tournament",INDEX('Tournament Log'!$B:$B,E724)&amp;" (Phantom)",INDEX('Guest Log'!$H:$H,Q724)&amp;" (Guest)")))</f>
        <v/>
      </c>
      <c r="H724" s="40" t="str">
        <f t="array" ref="H724">IF(C724="","",IFERROR(LOOKUP(2,1/(($F$1:F723=F724)+($G$1:G723=F724)),IF($F$1:F723=F724,$N$1:N723,$O$1:O723)),1000))</f>
        <v/>
      </c>
      <c r="I724" s="40" t="str">
        <f t="array" ref="I724">IF(C724="","",IF(C724="Tournament",INDEX('Tournament Log'!$J:$J,E724),IF(C724="Guest",IF(INDEX('Guest Log'!$I:$I,Q724)="",1000,INDEX('Guest Log'!$I:$I,Q724)),IFERROR(LOOKUP(2,1/(($F$1:F723=G724)+($G$1:G723=G724)),IF($F$1:F723=G724,$N$1:N723,$O$1:O723)),1000))))</f>
        <v/>
      </c>
      <c r="J724" s="40" t="str">
        <f t="shared" si="56"/>
        <v/>
      </c>
      <c r="K724" s="12" t="str">
        <f>IF(C724="","",IF(C724="Match",IF(INDEX('Match Log'!$D:$D,D724)="Win",1,IF(INDEX('Match Log'!$D:$D,D724)="Draw",0.5,0)),IF(C724="Tournament",INDEX('Tournament Log'!$K:$K,E724),IF(INDEX('Guest Log'!$C:$C,Q724)="Win",1,IF(INDEX('Guest Log'!$C:$C,Q724)="Draw",0.5,0)))))</f>
        <v/>
      </c>
      <c r="L724" s="12" t="str">
        <f>IF(C724="","",IF(C724="Match",32,IF(C724="Tournament",MIN(32*INDEX('Tournament Log'!$D:$D,E724),96),32)))</f>
        <v/>
      </c>
      <c r="M724" s="12" t="str">
        <f t="shared" si="57"/>
        <v/>
      </c>
      <c r="N724" s="12" t="str">
        <f t="shared" si="58"/>
        <v/>
      </c>
      <c r="O724" s="12" t="str">
        <f t="shared" si="59"/>
        <v/>
      </c>
      <c r="P724" s="12" t="str">
        <f>IF(C724="Tournament",INDEX('Tournament Log'!$B:$B,E724),IF(C724="Guest","Guest: "&amp;INDEX('Guest Log'!$H:$H,Q724),""))</f>
        <v/>
      </c>
      <c r="Q724" t="str">
        <f>IFERROR(MATCH($A724,'Guest Log'!$L$4:$L$203,0)+3,"")</f>
        <v/>
      </c>
    </row>
    <row r="725" spans="1:17" ht="15" customHeight="1" x14ac:dyDescent="0.2">
      <c r="A725" s="40">
        <f>724</f>
        <v>724</v>
      </c>
      <c r="B725" s="40" t="str">
        <f>IF(C725="","",IF(C725="Match",INDEX('Match Log'!$A:$A,D725),IF(C725="Tournament",INDEX('Tournament Log'!$A:$A,E725),INDEX('Guest Log'!$A:$A,Q725))))</f>
        <v/>
      </c>
      <c r="C725" s="40" t="str">
        <f t="shared" si="55"/>
        <v/>
      </c>
      <c r="D725" s="41" t="str">
        <f>IFERROR(MATCH($A725,'Match Log'!$K$3:$K$501,0)+2,"")</f>
        <v/>
      </c>
      <c r="E725" s="41" t="str">
        <f>IFERROR(MATCH($A725,'Tournament Log'!$O$4:$O$203,0)+3,"")</f>
        <v/>
      </c>
      <c r="F725" s="40" t="str">
        <f>IF(C725="","",IF(C725="Match",INDEX('Match Log'!$B:$B,D725),IF(C725="Tournament",INDEX('Tournament Log'!$C:$C,E725),INDEX('Guest Log'!$B:$B,Q725))))</f>
        <v/>
      </c>
      <c r="G725" s="40" t="str">
        <f>IF(C725="","",IF(C725="Match",INDEX('Match Log'!$C:$C,D725),IF(C725="Tournament",INDEX('Tournament Log'!$B:$B,E725)&amp;" (Phantom)",INDEX('Guest Log'!$H:$H,Q725)&amp;" (Guest)")))</f>
        <v/>
      </c>
      <c r="H725" s="40" t="str">
        <f t="array" ref="H725">IF(C725="","",IFERROR(LOOKUP(2,1/(($F$1:F724=F725)+($G$1:G724=F725)),IF($F$1:F724=F725,$N$1:N724,$O$1:O724)),1000))</f>
        <v/>
      </c>
      <c r="I725" s="40" t="str">
        <f t="array" ref="I725">IF(C725="","",IF(C725="Tournament",INDEX('Tournament Log'!$J:$J,E725),IF(C725="Guest",IF(INDEX('Guest Log'!$I:$I,Q725)="",1000,INDEX('Guest Log'!$I:$I,Q725)),IFERROR(LOOKUP(2,1/(($F$1:F724=G725)+($G$1:G724=G725)),IF($F$1:F724=G725,$N$1:N724,$O$1:O724)),1000))))</f>
        <v/>
      </c>
      <c r="J725" s="40" t="str">
        <f t="shared" si="56"/>
        <v/>
      </c>
      <c r="K725" s="12" t="str">
        <f>IF(C725="","",IF(C725="Match",IF(INDEX('Match Log'!$D:$D,D725)="Win",1,IF(INDEX('Match Log'!$D:$D,D725)="Draw",0.5,0)),IF(C725="Tournament",INDEX('Tournament Log'!$K:$K,E725),IF(INDEX('Guest Log'!$C:$C,Q725)="Win",1,IF(INDEX('Guest Log'!$C:$C,Q725)="Draw",0.5,0)))))</f>
        <v/>
      </c>
      <c r="L725" s="12" t="str">
        <f>IF(C725="","",IF(C725="Match",32,IF(C725="Tournament",MIN(32*INDEX('Tournament Log'!$D:$D,E725),96),32)))</f>
        <v/>
      </c>
      <c r="M725" s="12" t="str">
        <f t="shared" si="57"/>
        <v/>
      </c>
      <c r="N725" s="12" t="str">
        <f t="shared" si="58"/>
        <v/>
      </c>
      <c r="O725" s="12" t="str">
        <f t="shared" si="59"/>
        <v/>
      </c>
      <c r="P725" s="12" t="str">
        <f>IF(C725="Tournament",INDEX('Tournament Log'!$B:$B,E725),IF(C725="Guest","Guest: "&amp;INDEX('Guest Log'!$H:$H,Q725),""))</f>
        <v/>
      </c>
      <c r="Q725" t="str">
        <f>IFERROR(MATCH($A725,'Guest Log'!$L$4:$L$203,0)+3,"")</f>
        <v/>
      </c>
    </row>
    <row r="726" spans="1:17" ht="15" customHeight="1" x14ac:dyDescent="0.2">
      <c r="A726" s="40">
        <f>725</f>
        <v>725</v>
      </c>
      <c r="B726" s="40" t="str">
        <f>IF(C726="","",IF(C726="Match",INDEX('Match Log'!$A:$A,D726),IF(C726="Tournament",INDEX('Tournament Log'!$A:$A,E726),INDEX('Guest Log'!$A:$A,Q726))))</f>
        <v/>
      </c>
      <c r="C726" s="40" t="str">
        <f t="shared" si="55"/>
        <v/>
      </c>
      <c r="D726" s="41" t="str">
        <f>IFERROR(MATCH($A726,'Match Log'!$K$3:$K$501,0)+2,"")</f>
        <v/>
      </c>
      <c r="E726" s="41" t="str">
        <f>IFERROR(MATCH($A726,'Tournament Log'!$O$4:$O$203,0)+3,"")</f>
        <v/>
      </c>
      <c r="F726" s="40" t="str">
        <f>IF(C726="","",IF(C726="Match",INDEX('Match Log'!$B:$B,D726),IF(C726="Tournament",INDEX('Tournament Log'!$C:$C,E726),INDEX('Guest Log'!$B:$B,Q726))))</f>
        <v/>
      </c>
      <c r="G726" s="40" t="str">
        <f>IF(C726="","",IF(C726="Match",INDEX('Match Log'!$C:$C,D726),IF(C726="Tournament",INDEX('Tournament Log'!$B:$B,E726)&amp;" (Phantom)",INDEX('Guest Log'!$H:$H,Q726)&amp;" (Guest)")))</f>
        <v/>
      </c>
      <c r="H726" s="40" t="str">
        <f t="array" ref="H726">IF(C726="","",IFERROR(LOOKUP(2,1/(($F$1:F725=F726)+($G$1:G725=F726)),IF($F$1:F725=F726,$N$1:N725,$O$1:O725)),1000))</f>
        <v/>
      </c>
      <c r="I726" s="40" t="str">
        <f t="array" ref="I726">IF(C726="","",IF(C726="Tournament",INDEX('Tournament Log'!$J:$J,E726),IF(C726="Guest",IF(INDEX('Guest Log'!$I:$I,Q726)="",1000,INDEX('Guest Log'!$I:$I,Q726)),IFERROR(LOOKUP(2,1/(($F$1:F725=G726)+($G$1:G725=G726)),IF($F$1:F725=G726,$N$1:N725,$O$1:O725)),1000))))</f>
        <v/>
      </c>
      <c r="J726" s="40" t="str">
        <f t="shared" si="56"/>
        <v/>
      </c>
      <c r="K726" s="12" t="str">
        <f>IF(C726="","",IF(C726="Match",IF(INDEX('Match Log'!$D:$D,D726)="Win",1,IF(INDEX('Match Log'!$D:$D,D726)="Draw",0.5,0)),IF(C726="Tournament",INDEX('Tournament Log'!$K:$K,E726),IF(INDEX('Guest Log'!$C:$C,Q726)="Win",1,IF(INDEX('Guest Log'!$C:$C,Q726)="Draw",0.5,0)))))</f>
        <v/>
      </c>
      <c r="L726" s="12" t="str">
        <f>IF(C726="","",IF(C726="Match",32,IF(C726="Tournament",MIN(32*INDEX('Tournament Log'!$D:$D,E726),96),32)))</f>
        <v/>
      </c>
      <c r="M726" s="12" t="str">
        <f t="shared" si="57"/>
        <v/>
      </c>
      <c r="N726" s="12" t="str">
        <f t="shared" si="58"/>
        <v/>
      </c>
      <c r="O726" s="12" t="str">
        <f t="shared" si="59"/>
        <v/>
      </c>
      <c r="P726" s="12" t="str">
        <f>IF(C726="Tournament",INDEX('Tournament Log'!$B:$B,E726),IF(C726="Guest","Guest: "&amp;INDEX('Guest Log'!$H:$H,Q726),""))</f>
        <v/>
      </c>
      <c r="Q726" t="str">
        <f>IFERROR(MATCH($A726,'Guest Log'!$L$4:$L$203,0)+3,"")</f>
        <v/>
      </c>
    </row>
    <row r="727" spans="1:17" ht="15" customHeight="1" x14ac:dyDescent="0.2">
      <c r="A727" s="40">
        <f>726</f>
        <v>726</v>
      </c>
      <c r="B727" s="40" t="str">
        <f>IF(C727="","",IF(C727="Match",INDEX('Match Log'!$A:$A,D727),IF(C727="Tournament",INDEX('Tournament Log'!$A:$A,E727),INDEX('Guest Log'!$A:$A,Q727))))</f>
        <v/>
      </c>
      <c r="C727" s="40" t="str">
        <f t="shared" si="55"/>
        <v/>
      </c>
      <c r="D727" s="41" t="str">
        <f>IFERROR(MATCH($A727,'Match Log'!$K$3:$K$501,0)+2,"")</f>
        <v/>
      </c>
      <c r="E727" s="41" t="str">
        <f>IFERROR(MATCH($A727,'Tournament Log'!$O$4:$O$203,0)+3,"")</f>
        <v/>
      </c>
      <c r="F727" s="40" t="str">
        <f>IF(C727="","",IF(C727="Match",INDEX('Match Log'!$B:$B,D727),IF(C727="Tournament",INDEX('Tournament Log'!$C:$C,E727),INDEX('Guest Log'!$B:$B,Q727))))</f>
        <v/>
      </c>
      <c r="G727" s="40" t="str">
        <f>IF(C727="","",IF(C727="Match",INDEX('Match Log'!$C:$C,D727),IF(C727="Tournament",INDEX('Tournament Log'!$B:$B,E727)&amp;" (Phantom)",INDEX('Guest Log'!$H:$H,Q727)&amp;" (Guest)")))</f>
        <v/>
      </c>
      <c r="H727" s="40" t="str">
        <f t="array" ref="H727">IF(C727="","",IFERROR(LOOKUP(2,1/(($F$1:F726=F727)+($G$1:G726=F727)),IF($F$1:F726=F727,$N$1:N726,$O$1:O726)),1000))</f>
        <v/>
      </c>
      <c r="I727" s="40" t="str">
        <f t="array" ref="I727">IF(C727="","",IF(C727="Tournament",INDEX('Tournament Log'!$J:$J,E727),IF(C727="Guest",IF(INDEX('Guest Log'!$I:$I,Q727)="",1000,INDEX('Guest Log'!$I:$I,Q727)),IFERROR(LOOKUP(2,1/(($F$1:F726=G727)+($G$1:G726=G727)),IF($F$1:F726=G727,$N$1:N726,$O$1:O726)),1000))))</f>
        <v/>
      </c>
      <c r="J727" s="40" t="str">
        <f t="shared" si="56"/>
        <v/>
      </c>
      <c r="K727" s="12" t="str">
        <f>IF(C727="","",IF(C727="Match",IF(INDEX('Match Log'!$D:$D,D727)="Win",1,IF(INDEX('Match Log'!$D:$D,D727)="Draw",0.5,0)),IF(C727="Tournament",INDEX('Tournament Log'!$K:$K,E727),IF(INDEX('Guest Log'!$C:$C,Q727)="Win",1,IF(INDEX('Guest Log'!$C:$C,Q727)="Draw",0.5,0)))))</f>
        <v/>
      </c>
      <c r="L727" s="12" t="str">
        <f>IF(C727="","",IF(C727="Match",32,IF(C727="Tournament",MIN(32*INDEX('Tournament Log'!$D:$D,E727),96),32)))</f>
        <v/>
      </c>
      <c r="M727" s="12" t="str">
        <f t="shared" si="57"/>
        <v/>
      </c>
      <c r="N727" s="12" t="str">
        <f t="shared" si="58"/>
        <v/>
      </c>
      <c r="O727" s="12" t="str">
        <f t="shared" si="59"/>
        <v/>
      </c>
      <c r="P727" s="12" t="str">
        <f>IF(C727="Tournament",INDEX('Tournament Log'!$B:$B,E727),IF(C727="Guest","Guest: "&amp;INDEX('Guest Log'!$H:$H,Q727),""))</f>
        <v/>
      </c>
      <c r="Q727" t="str">
        <f>IFERROR(MATCH($A727,'Guest Log'!$L$4:$L$203,0)+3,"")</f>
        <v/>
      </c>
    </row>
    <row r="728" spans="1:17" ht="15" customHeight="1" x14ac:dyDescent="0.2">
      <c r="A728" s="40">
        <f>727</f>
        <v>727</v>
      </c>
      <c r="B728" s="40" t="str">
        <f>IF(C728="","",IF(C728="Match",INDEX('Match Log'!$A:$A,D728),IF(C728="Tournament",INDEX('Tournament Log'!$A:$A,E728),INDEX('Guest Log'!$A:$A,Q728))))</f>
        <v/>
      </c>
      <c r="C728" s="40" t="str">
        <f t="shared" si="55"/>
        <v/>
      </c>
      <c r="D728" s="41" t="str">
        <f>IFERROR(MATCH($A728,'Match Log'!$K$3:$K$501,0)+2,"")</f>
        <v/>
      </c>
      <c r="E728" s="41" t="str">
        <f>IFERROR(MATCH($A728,'Tournament Log'!$O$4:$O$203,0)+3,"")</f>
        <v/>
      </c>
      <c r="F728" s="40" t="str">
        <f>IF(C728="","",IF(C728="Match",INDEX('Match Log'!$B:$B,D728),IF(C728="Tournament",INDEX('Tournament Log'!$C:$C,E728),INDEX('Guest Log'!$B:$B,Q728))))</f>
        <v/>
      </c>
      <c r="G728" s="40" t="str">
        <f>IF(C728="","",IF(C728="Match",INDEX('Match Log'!$C:$C,D728),IF(C728="Tournament",INDEX('Tournament Log'!$B:$B,E728)&amp;" (Phantom)",INDEX('Guest Log'!$H:$H,Q728)&amp;" (Guest)")))</f>
        <v/>
      </c>
      <c r="H728" s="40" t="str">
        <f t="array" ref="H728">IF(C728="","",IFERROR(LOOKUP(2,1/(($F$1:F727=F728)+($G$1:G727=F728)),IF($F$1:F727=F728,$N$1:N727,$O$1:O727)),1000))</f>
        <v/>
      </c>
      <c r="I728" s="40" t="str">
        <f t="array" ref="I728">IF(C728="","",IF(C728="Tournament",INDEX('Tournament Log'!$J:$J,E728),IF(C728="Guest",IF(INDEX('Guest Log'!$I:$I,Q728)="",1000,INDEX('Guest Log'!$I:$I,Q728)),IFERROR(LOOKUP(2,1/(($F$1:F727=G728)+($G$1:G727=G728)),IF($F$1:F727=G728,$N$1:N727,$O$1:O727)),1000))))</f>
        <v/>
      </c>
      <c r="J728" s="40" t="str">
        <f t="shared" si="56"/>
        <v/>
      </c>
      <c r="K728" s="12" t="str">
        <f>IF(C728="","",IF(C728="Match",IF(INDEX('Match Log'!$D:$D,D728)="Win",1,IF(INDEX('Match Log'!$D:$D,D728)="Draw",0.5,0)),IF(C728="Tournament",INDEX('Tournament Log'!$K:$K,E728),IF(INDEX('Guest Log'!$C:$C,Q728)="Win",1,IF(INDEX('Guest Log'!$C:$C,Q728)="Draw",0.5,0)))))</f>
        <v/>
      </c>
      <c r="L728" s="12" t="str">
        <f>IF(C728="","",IF(C728="Match",32,IF(C728="Tournament",MIN(32*INDEX('Tournament Log'!$D:$D,E728),96),32)))</f>
        <v/>
      </c>
      <c r="M728" s="12" t="str">
        <f t="shared" si="57"/>
        <v/>
      </c>
      <c r="N728" s="12" t="str">
        <f t="shared" si="58"/>
        <v/>
      </c>
      <c r="O728" s="12" t="str">
        <f t="shared" si="59"/>
        <v/>
      </c>
      <c r="P728" s="12" t="str">
        <f>IF(C728="Tournament",INDEX('Tournament Log'!$B:$B,E728),IF(C728="Guest","Guest: "&amp;INDEX('Guest Log'!$H:$H,Q728),""))</f>
        <v/>
      </c>
      <c r="Q728" t="str">
        <f>IFERROR(MATCH($A728,'Guest Log'!$L$4:$L$203,0)+3,"")</f>
        <v/>
      </c>
    </row>
    <row r="729" spans="1:17" ht="15" customHeight="1" x14ac:dyDescent="0.2">
      <c r="A729" s="40">
        <f>728</f>
        <v>728</v>
      </c>
      <c r="B729" s="40" t="str">
        <f>IF(C729="","",IF(C729="Match",INDEX('Match Log'!$A:$A,D729),IF(C729="Tournament",INDEX('Tournament Log'!$A:$A,E729),INDEX('Guest Log'!$A:$A,Q729))))</f>
        <v/>
      </c>
      <c r="C729" s="40" t="str">
        <f t="shared" si="55"/>
        <v/>
      </c>
      <c r="D729" s="41" t="str">
        <f>IFERROR(MATCH($A729,'Match Log'!$K$3:$K$501,0)+2,"")</f>
        <v/>
      </c>
      <c r="E729" s="41" t="str">
        <f>IFERROR(MATCH($A729,'Tournament Log'!$O$4:$O$203,0)+3,"")</f>
        <v/>
      </c>
      <c r="F729" s="40" t="str">
        <f>IF(C729="","",IF(C729="Match",INDEX('Match Log'!$B:$B,D729),IF(C729="Tournament",INDEX('Tournament Log'!$C:$C,E729),INDEX('Guest Log'!$B:$B,Q729))))</f>
        <v/>
      </c>
      <c r="G729" s="40" t="str">
        <f>IF(C729="","",IF(C729="Match",INDEX('Match Log'!$C:$C,D729),IF(C729="Tournament",INDEX('Tournament Log'!$B:$B,E729)&amp;" (Phantom)",INDEX('Guest Log'!$H:$H,Q729)&amp;" (Guest)")))</f>
        <v/>
      </c>
      <c r="H729" s="40" t="str">
        <f t="array" ref="H729">IF(C729="","",IFERROR(LOOKUP(2,1/(($F$1:F728=F729)+($G$1:G728=F729)),IF($F$1:F728=F729,$N$1:N728,$O$1:O728)),1000))</f>
        <v/>
      </c>
      <c r="I729" s="40" t="str">
        <f t="array" ref="I729">IF(C729="","",IF(C729="Tournament",INDEX('Tournament Log'!$J:$J,E729),IF(C729="Guest",IF(INDEX('Guest Log'!$I:$I,Q729)="",1000,INDEX('Guest Log'!$I:$I,Q729)),IFERROR(LOOKUP(2,1/(($F$1:F728=G729)+($G$1:G728=G729)),IF($F$1:F728=G729,$N$1:N728,$O$1:O728)),1000))))</f>
        <v/>
      </c>
      <c r="J729" s="40" t="str">
        <f t="shared" si="56"/>
        <v/>
      </c>
      <c r="K729" s="12" t="str">
        <f>IF(C729="","",IF(C729="Match",IF(INDEX('Match Log'!$D:$D,D729)="Win",1,IF(INDEX('Match Log'!$D:$D,D729)="Draw",0.5,0)),IF(C729="Tournament",INDEX('Tournament Log'!$K:$K,E729),IF(INDEX('Guest Log'!$C:$C,Q729)="Win",1,IF(INDEX('Guest Log'!$C:$C,Q729)="Draw",0.5,0)))))</f>
        <v/>
      </c>
      <c r="L729" s="12" t="str">
        <f>IF(C729="","",IF(C729="Match",32,IF(C729="Tournament",MIN(32*INDEX('Tournament Log'!$D:$D,E729),96),32)))</f>
        <v/>
      </c>
      <c r="M729" s="12" t="str">
        <f t="shared" si="57"/>
        <v/>
      </c>
      <c r="N729" s="12" t="str">
        <f t="shared" si="58"/>
        <v/>
      </c>
      <c r="O729" s="12" t="str">
        <f t="shared" si="59"/>
        <v/>
      </c>
      <c r="P729" s="12" t="str">
        <f>IF(C729="Tournament",INDEX('Tournament Log'!$B:$B,E729),IF(C729="Guest","Guest: "&amp;INDEX('Guest Log'!$H:$H,Q729),""))</f>
        <v/>
      </c>
      <c r="Q729" t="str">
        <f>IFERROR(MATCH($A729,'Guest Log'!$L$4:$L$203,0)+3,"")</f>
        <v/>
      </c>
    </row>
    <row r="730" spans="1:17" ht="15" customHeight="1" x14ac:dyDescent="0.2">
      <c r="A730" s="40">
        <f>729</f>
        <v>729</v>
      </c>
      <c r="B730" s="40" t="str">
        <f>IF(C730="","",IF(C730="Match",INDEX('Match Log'!$A:$A,D730),IF(C730="Tournament",INDEX('Tournament Log'!$A:$A,E730),INDEX('Guest Log'!$A:$A,Q730))))</f>
        <v/>
      </c>
      <c r="C730" s="40" t="str">
        <f t="shared" si="55"/>
        <v/>
      </c>
      <c r="D730" s="41" t="str">
        <f>IFERROR(MATCH($A730,'Match Log'!$K$3:$K$501,0)+2,"")</f>
        <v/>
      </c>
      <c r="E730" s="41" t="str">
        <f>IFERROR(MATCH($A730,'Tournament Log'!$O$4:$O$203,0)+3,"")</f>
        <v/>
      </c>
      <c r="F730" s="40" t="str">
        <f>IF(C730="","",IF(C730="Match",INDEX('Match Log'!$B:$B,D730),IF(C730="Tournament",INDEX('Tournament Log'!$C:$C,E730),INDEX('Guest Log'!$B:$B,Q730))))</f>
        <v/>
      </c>
      <c r="G730" s="40" t="str">
        <f>IF(C730="","",IF(C730="Match",INDEX('Match Log'!$C:$C,D730),IF(C730="Tournament",INDEX('Tournament Log'!$B:$B,E730)&amp;" (Phantom)",INDEX('Guest Log'!$H:$H,Q730)&amp;" (Guest)")))</f>
        <v/>
      </c>
      <c r="H730" s="40" t="str">
        <f t="array" ref="H730">IF(C730="","",IFERROR(LOOKUP(2,1/(($F$1:F729=F730)+($G$1:G729=F730)),IF($F$1:F729=F730,$N$1:N729,$O$1:O729)),1000))</f>
        <v/>
      </c>
      <c r="I730" s="40" t="str">
        <f t="array" ref="I730">IF(C730="","",IF(C730="Tournament",INDEX('Tournament Log'!$J:$J,E730),IF(C730="Guest",IF(INDEX('Guest Log'!$I:$I,Q730)="",1000,INDEX('Guest Log'!$I:$I,Q730)),IFERROR(LOOKUP(2,1/(($F$1:F729=G730)+($G$1:G729=G730)),IF($F$1:F729=G730,$N$1:N729,$O$1:O729)),1000))))</f>
        <v/>
      </c>
      <c r="J730" s="40" t="str">
        <f t="shared" si="56"/>
        <v/>
      </c>
      <c r="K730" s="12" t="str">
        <f>IF(C730="","",IF(C730="Match",IF(INDEX('Match Log'!$D:$D,D730)="Win",1,IF(INDEX('Match Log'!$D:$D,D730)="Draw",0.5,0)),IF(C730="Tournament",INDEX('Tournament Log'!$K:$K,E730),IF(INDEX('Guest Log'!$C:$C,Q730)="Win",1,IF(INDEX('Guest Log'!$C:$C,Q730)="Draw",0.5,0)))))</f>
        <v/>
      </c>
      <c r="L730" s="12" t="str">
        <f>IF(C730="","",IF(C730="Match",32,IF(C730="Tournament",MIN(32*INDEX('Tournament Log'!$D:$D,E730),96),32)))</f>
        <v/>
      </c>
      <c r="M730" s="12" t="str">
        <f t="shared" si="57"/>
        <v/>
      </c>
      <c r="N730" s="12" t="str">
        <f t="shared" si="58"/>
        <v/>
      </c>
      <c r="O730" s="12" t="str">
        <f t="shared" si="59"/>
        <v/>
      </c>
      <c r="P730" s="12" t="str">
        <f>IF(C730="Tournament",INDEX('Tournament Log'!$B:$B,E730),IF(C730="Guest","Guest: "&amp;INDEX('Guest Log'!$H:$H,Q730),""))</f>
        <v/>
      </c>
      <c r="Q730" t="str">
        <f>IFERROR(MATCH($A730,'Guest Log'!$L$4:$L$203,0)+3,"")</f>
        <v/>
      </c>
    </row>
    <row r="731" spans="1:17" ht="15" customHeight="1" x14ac:dyDescent="0.2">
      <c r="A731" s="40">
        <f>730</f>
        <v>730</v>
      </c>
      <c r="B731" s="40" t="str">
        <f>IF(C731="","",IF(C731="Match",INDEX('Match Log'!$A:$A,D731),IF(C731="Tournament",INDEX('Tournament Log'!$A:$A,E731),INDEX('Guest Log'!$A:$A,Q731))))</f>
        <v/>
      </c>
      <c r="C731" s="40" t="str">
        <f t="shared" si="55"/>
        <v/>
      </c>
      <c r="D731" s="41" t="str">
        <f>IFERROR(MATCH($A731,'Match Log'!$K$3:$K$501,0)+2,"")</f>
        <v/>
      </c>
      <c r="E731" s="41" t="str">
        <f>IFERROR(MATCH($A731,'Tournament Log'!$O$4:$O$203,0)+3,"")</f>
        <v/>
      </c>
      <c r="F731" s="40" t="str">
        <f>IF(C731="","",IF(C731="Match",INDEX('Match Log'!$B:$B,D731),IF(C731="Tournament",INDEX('Tournament Log'!$C:$C,E731),INDEX('Guest Log'!$B:$B,Q731))))</f>
        <v/>
      </c>
      <c r="G731" s="40" t="str">
        <f>IF(C731="","",IF(C731="Match",INDEX('Match Log'!$C:$C,D731),IF(C731="Tournament",INDEX('Tournament Log'!$B:$B,E731)&amp;" (Phantom)",INDEX('Guest Log'!$H:$H,Q731)&amp;" (Guest)")))</f>
        <v/>
      </c>
      <c r="H731" s="40" t="str">
        <f t="array" ref="H731">IF(C731="","",IFERROR(LOOKUP(2,1/(($F$1:F730=F731)+($G$1:G730=F731)),IF($F$1:F730=F731,$N$1:N730,$O$1:O730)),1000))</f>
        <v/>
      </c>
      <c r="I731" s="40" t="str">
        <f t="array" ref="I731">IF(C731="","",IF(C731="Tournament",INDEX('Tournament Log'!$J:$J,E731),IF(C731="Guest",IF(INDEX('Guest Log'!$I:$I,Q731)="",1000,INDEX('Guest Log'!$I:$I,Q731)),IFERROR(LOOKUP(2,1/(($F$1:F730=G731)+($G$1:G730=G731)),IF($F$1:F730=G731,$N$1:N730,$O$1:O730)),1000))))</f>
        <v/>
      </c>
      <c r="J731" s="40" t="str">
        <f t="shared" si="56"/>
        <v/>
      </c>
      <c r="K731" s="12" t="str">
        <f>IF(C731="","",IF(C731="Match",IF(INDEX('Match Log'!$D:$D,D731)="Win",1,IF(INDEX('Match Log'!$D:$D,D731)="Draw",0.5,0)),IF(C731="Tournament",INDEX('Tournament Log'!$K:$K,E731),IF(INDEX('Guest Log'!$C:$C,Q731)="Win",1,IF(INDEX('Guest Log'!$C:$C,Q731)="Draw",0.5,0)))))</f>
        <v/>
      </c>
      <c r="L731" s="12" t="str">
        <f>IF(C731="","",IF(C731="Match",32,IF(C731="Tournament",MIN(32*INDEX('Tournament Log'!$D:$D,E731),96),32)))</f>
        <v/>
      </c>
      <c r="M731" s="12" t="str">
        <f t="shared" si="57"/>
        <v/>
      </c>
      <c r="N731" s="12" t="str">
        <f t="shared" si="58"/>
        <v/>
      </c>
      <c r="O731" s="12" t="str">
        <f t="shared" si="59"/>
        <v/>
      </c>
      <c r="P731" s="12" t="str">
        <f>IF(C731="Tournament",INDEX('Tournament Log'!$B:$B,E731),IF(C731="Guest","Guest: "&amp;INDEX('Guest Log'!$H:$H,Q731),""))</f>
        <v/>
      </c>
      <c r="Q731" t="str">
        <f>IFERROR(MATCH($A731,'Guest Log'!$L$4:$L$203,0)+3,"")</f>
        <v/>
      </c>
    </row>
    <row r="732" spans="1:17" ht="15" customHeight="1" x14ac:dyDescent="0.2">
      <c r="A732" s="40">
        <f>731</f>
        <v>731</v>
      </c>
      <c r="B732" s="40" t="str">
        <f>IF(C732="","",IF(C732="Match",INDEX('Match Log'!$A:$A,D732),IF(C732="Tournament",INDEX('Tournament Log'!$A:$A,E732),INDEX('Guest Log'!$A:$A,Q732))))</f>
        <v/>
      </c>
      <c r="C732" s="40" t="str">
        <f t="shared" si="55"/>
        <v/>
      </c>
      <c r="D732" s="41" t="str">
        <f>IFERROR(MATCH($A732,'Match Log'!$K$3:$K$501,0)+2,"")</f>
        <v/>
      </c>
      <c r="E732" s="41" t="str">
        <f>IFERROR(MATCH($A732,'Tournament Log'!$O$4:$O$203,0)+3,"")</f>
        <v/>
      </c>
      <c r="F732" s="40" t="str">
        <f>IF(C732="","",IF(C732="Match",INDEX('Match Log'!$B:$B,D732),IF(C732="Tournament",INDEX('Tournament Log'!$C:$C,E732),INDEX('Guest Log'!$B:$B,Q732))))</f>
        <v/>
      </c>
      <c r="G732" s="40" t="str">
        <f>IF(C732="","",IF(C732="Match",INDEX('Match Log'!$C:$C,D732),IF(C732="Tournament",INDEX('Tournament Log'!$B:$B,E732)&amp;" (Phantom)",INDEX('Guest Log'!$H:$H,Q732)&amp;" (Guest)")))</f>
        <v/>
      </c>
      <c r="H732" s="40" t="str">
        <f t="array" ref="H732">IF(C732="","",IFERROR(LOOKUP(2,1/(($F$1:F731=F732)+($G$1:G731=F732)),IF($F$1:F731=F732,$N$1:N731,$O$1:O731)),1000))</f>
        <v/>
      </c>
      <c r="I732" s="40" t="str">
        <f t="array" ref="I732">IF(C732="","",IF(C732="Tournament",INDEX('Tournament Log'!$J:$J,E732),IF(C732="Guest",IF(INDEX('Guest Log'!$I:$I,Q732)="",1000,INDEX('Guest Log'!$I:$I,Q732)),IFERROR(LOOKUP(2,1/(($F$1:F731=G732)+($G$1:G731=G732)),IF($F$1:F731=G732,$N$1:N731,$O$1:O731)),1000))))</f>
        <v/>
      </c>
      <c r="J732" s="40" t="str">
        <f t="shared" si="56"/>
        <v/>
      </c>
      <c r="K732" s="12" t="str">
        <f>IF(C732="","",IF(C732="Match",IF(INDEX('Match Log'!$D:$D,D732)="Win",1,IF(INDEX('Match Log'!$D:$D,D732)="Draw",0.5,0)),IF(C732="Tournament",INDEX('Tournament Log'!$K:$K,E732),IF(INDEX('Guest Log'!$C:$C,Q732)="Win",1,IF(INDEX('Guest Log'!$C:$C,Q732)="Draw",0.5,0)))))</f>
        <v/>
      </c>
      <c r="L732" s="12" t="str">
        <f>IF(C732="","",IF(C732="Match",32,IF(C732="Tournament",MIN(32*INDEX('Tournament Log'!$D:$D,E732),96),32)))</f>
        <v/>
      </c>
      <c r="M732" s="12" t="str">
        <f t="shared" si="57"/>
        <v/>
      </c>
      <c r="N732" s="12" t="str">
        <f t="shared" si="58"/>
        <v/>
      </c>
      <c r="O732" s="12" t="str">
        <f t="shared" si="59"/>
        <v/>
      </c>
      <c r="P732" s="12" t="str">
        <f>IF(C732="Tournament",INDEX('Tournament Log'!$B:$B,E732),IF(C732="Guest","Guest: "&amp;INDEX('Guest Log'!$H:$H,Q732),""))</f>
        <v/>
      </c>
      <c r="Q732" t="str">
        <f>IFERROR(MATCH($A732,'Guest Log'!$L$4:$L$203,0)+3,"")</f>
        <v/>
      </c>
    </row>
    <row r="733" spans="1:17" ht="15" customHeight="1" x14ac:dyDescent="0.2">
      <c r="A733" s="40">
        <f>732</f>
        <v>732</v>
      </c>
      <c r="B733" s="40" t="str">
        <f>IF(C733="","",IF(C733="Match",INDEX('Match Log'!$A:$A,D733),IF(C733="Tournament",INDEX('Tournament Log'!$A:$A,E733),INDEX('Guest Log'!$A:$A,Q733))))</f>
        <v/>
      </c>
      <c r="C733" s="40" t="str">
        <f t="shared" si="55"/>
        <v/>
      </c>
      <c r="D733" s="41" t="str">
        <f>IFERROR(MATCH($A733,'Match Log'!$K$3:$K$501,0)+2,"")</f>
        <v/>
      </c>
      <c r="E733" s="41" t="str">
        <f>IFERROR(MATCH($A733,'Tournament Log'!$O$4:$O$203,0)+3,"")</f>
        <v/>
      </c>
      <c r="F733" s="40" t="str">
        <f>IF(C733="","",IF(C733="Match",INDEX('Match Log'!$B:$B,D733),IF(C733="Tournament",INDEX('Tournament Log'!$C:$C,E733),INDEX('Guest Log'!$B:$B,Q733))))</f>
        <v/>
      </c>
      <c r="G733" s="40" t="str">
        <f>IF(C733="","",IF(C733="Match",INDEX('Match Log'!$C:$C,D733),IF(C733="Tournament",INDEX('Tournament Log'!$B:$B,E733)&amp;" (Phantom)",INDEX('Guest Log'!$H:$H,Q733)&amp;" (Guest)")))</f>
        <v/>
      </c>
      <c r="H733" s="40" t="str">
        <f t="array" ref="H733">IF(C733="","",IFERROR(LOOKUP(2,1/(($F$1:F732=F733)+($G$1:G732=F733)),IF($F$1:F732=F733,$N$1:N732,$O$1:O732)),1000))</f>
        <v/>
      </c>
      <c r="I733" s="40" t="str">
        <f t="array" ref="I733">IF(C733="","",IF(C733="Tournament",INDEX('Tournament Log'!$J:$J,E733),IF(C733="Guest",IF(INDEX('Guest Log'!$I:$I,Q733)="",1000,INDEX('Guest Log'!$I:$I,Q733)),IFERROR(LOOKUP(2,1/(($F$1:F732=G733)+($G$1:G732=G733)),IF($F$1:F732=G733,$N$1:N732,$O$1:O732)),1000))))</f>
        <v/>
      </c>
      <c r="J733" s="40" t="str">
        <f t="shared" si="56"/>
        <v/>
      </c>
      <c r="K733" s="12" t="str">
        <f>IF(C733="","",IF(C733="Match",IF(INDEX('Match Log'!$D:$D,D733)="Win",1,IF(INDEX('Match Log'!$D:$D,D733)="Draw",0.5,0)),IF(C733="Tournament",INDEX('Tournament Log'!$K:$K,E733),IF(INDEX('Guest Log'!$C:$C,Q733)="Win",1,IF(INDEX('Guest Log'!$C:$C,Q733)="Draw",0.5,0)))))</f>
        <v/>
      </c>
      <c r="L733" s="12" t="str">
        <f>IF(C733="","",IF(C733="Match",32,IF(C733="Tournament",MIN(32*INDEX('Tournament Log'!$D:$D,E733),96),32)))</f>
        <v/>
      </c>
      <c r="M733" s="12" t="str">
        <f t="shared" si="57"/>
        <v/>
      </c>
      <c r="N733" s="12" t="str">
        <f t="shared" si="58"/>
        <v/>
      </c>
      <c r="O733" s="12" t="str">
        <f t="shared" si="59"/>
        <v/>
      </c>
      <c r="P733" s="12" t="str">
        <f>IF(C733="Tournament",INDEX('Tournament Log'!$B:$B,E733),IF(C733="Guest","Guest: "&amp;INDEX('Guest Log'!$H:$H,Q733),""))</f>
        <v/>
      </c>
      <c r="Q733" t="str">
        <f>IFERROR(MATCH($A733,'Guest Log'!$L$4:$L$203,0)+3,"")</f>
        <v/>
      </c>
    </row>
    <row r="734" spans="1:17" ht="15" customHeight="1" x14ac:dyDescent="0.2">
      <c r="A734" s="40">
        <f>733</f>
        <v>733</v>
      </c>
      <c r="B734" s="40" t="str">
        <f>IF(C734="","",IF(C734="Match",INDEX('Match Log'!$A:$A,D734),IF(C734="Tournament",INDEX('Tournament Log'!$A:$A,E734),INDEX('Guest Log'!$A:$A,Q734))))</f>
        <v/>
      </c>
      <c r="C734" s="40" t="str">
        <f t="shared" si="55"/>
        <v/>
      </c>
      <c r="D734" s="41" t="str">
        <f>IFERROR(MATCH($A734,'Match Log'!$K$3:$K$501,0)+2,"")</f>
        <v/>
      </c>
      <c r="E734" s="41" t="str">
        <f>IFERROR(MATCH($A734,'Tournament Log'!$O$4:$O$203,0)+3,"")</f>
        <v/>
      </c>
      <c r="F734" s="40" t="str">
        <f>IF(C734="","",IF(C734="Match",INDEX('Match Log'!$B:$B,D734),IF(C734="Tournament",INDEX('Tournament Log'!$C:$C,E734),INDEX('Guest Log'!$B:$B,Q734))))</f>
        <v/>
      </c>
      <c r="G734" s="40" t="str">
        <f>IF(C734="","",IF(C734="Match",INDEX('Match Log'!$C:$C,D734),IF(C734="Tournament",INDEX('Tournament Log'!$B:$B,E734)&amp;" (Phantom)",INDEX('Guest Log'!$H:$H,Q734)&amp;" (Guest)")))</f>
        <v/>
      </c>
      <c r="H734" s="40" t="str">
        <f t="array" ref="H734">IF(C734="","",IFERROR(LOOKUP(2,1/(($F$1:F733=F734)+($G$1:G733=F734)),IF($F$1:F733=F734,$N$1:N733,$O$1:O733)),1000))</f>
        <v/>
      </c>
      <c r="I734" s="40" t="str">
        <f t="array" ref="I734">IF(C734="","",IF(C734="Tournament",INDEX('Tournament Log'!$J:$J,E734),IF(C734="Guest",IF(INDEX('Guest Log'!$I:$I,Q734)="",1000,INDEX('Guest Log'!$I:$I,Q734)),IFERROR(LOOKUP(2,1/(($F$1:F733=G734)+($G$1:G733=G734)),IF($F$1:F733=G734,$N$1:N733,$O$1:O733)),1000))))</f>
        <v/>
      </c>
      <c r="J734" s="40" t="str">
        <f t="shared" si="56"/>
        <v/>
      </c>
      <c r="K734" s="12" t="str">
        <f>IF(C734="","",IF(C734="Match",IF(INDEX('Match Log'!$D:$D,D734)="Win",1,IF(INDEX('Match Log'!$D:$D,D734)="Draw",0.5,0)),IF(C734="Tournament",INDEX('Tournament Log'!$K:$K,E734),IF(INDEX('Guest Log'!$C:$C,Q734)="Win",1,IF(INDEX('Guest Log'!$C:$C,Q734)="Draw",0.5,0)))))</f>
        <v/>
      </c>
      <c r="L734" s="12" t="str">
        <f>IF(C734="","",IF(C734="Match",32,IF(C734="Tournament",MIN(32*INDEX('Tournament Log'!$D:$D,E734),96),32)))</f>
        <v/>
      </c>
      <c r="M734" s="12" t="str">
        <f t="shared" si="57"/>
        <v/>
      </c>
      <c r="N734" s="12" t="str">
        <f t="shared" si="58"/>
        <v/>
      </c>
      <c r="O734" s="12" t="str">
        <f t="shared" si="59"/>
        <v/>
      </c>
      <c r="P734" s="12" t="str">
        <f>IF(C734="Tournament",INDEX('Tournament Log'!$B:$B,E734),IF(C734="Guest","Guest: "&amp;INDEX('Guest Log'!$H:$H,Q734),""))</f>
        <v/>
      </c>
      <c r="Q734" t="str">
        <f>IFERROR(MATCH($A734,'Guest Log'!$L$4:$L$203,0)+3,"")</f>
        <v/>
      </c>
    </row>
    <row r="735" spans="1:17" ht="15" customHeight="1" x14ac:dyDescent="0.2">
      <c r="A735" s="40">
        <f>734</f>
        <v>734</v>
      </c>
      <c r="B735" s="40" t="str">
        <f>IF(C735="","",IF(C735="Match",INDEX('Match Log'!$A:$A,D735),IF(C735="Tournament",INDEX('Tournament Log'!$A:$A,E735),INDEX('Guest Log'!$A:$A,Q735))))</f>
        <v/>
      </c>
      <c r="C735" s="40" t="str">
        <f t="shared" si="55"/>
        <v/>
      </c>
      <c r="D735" s="41" t="str">
        <f>IFERROR(MATCH($A735,'Match Log'!$K$3:$K$501,0)+2,"")</f>
        <v/>
      </c>
      <c r="E735" s="41" t="str">
        <f>IFERROR(MATCH($A735,'Tournament Log'!$O$4:$O$203,0)+3,"")</f>
        <v/>
      </c>
      <c r="F735" s="40" t="str">
        <f>IF(C735="","",IF(C735="Match",INDEX('Match Log'!$B:$B,D735),IF(C735="Tournament",INDEX('Tournament Log'!$C:$C,E735),INDEX('Guest Log'!$B:$B,Q735))))</f>
        <v/>
      </c>
      <c r="G735" s="40" t="str">
        <f>IF(C735="","",IF(C735="Match",INDEX('Match Log'!$C:$C,D735),IF(C735="Tournament",INDEX('Tournament Log'!$B:$B,E735)&amp;" (Phantom)",INDEX('Guest Log'!$H:$H,Q735)&amp;" (Guest)")))</f>
        <v/>
      </c>
      <c r="H735" s="40" t="str">
        <f t="array" ref="H735">IF(C735="","",IFERROR(LOOKUP(2,1/(($F$1:F734=F735)+($G$1:G734=F735)),IF($F$1:F734=F735,$N$1:N734,$O$1:O734)),1000))</f>
        <v/>
      </c>
      <c r="I735" s="40" t="str">
        <f t="array" ref="I735">IF(C735="","",IF(C735="Tournament",INDEX('Tournament Log'!$J:$J,E735),IF(C735="Guest",IF(INDEX('Guest Log'!$I:$I,Q735)="",1000,INDEX('Guest Log'!$I:$I,Q735)),IFERROR(LOOKUP(2,1/(($F$1:F734=G735)+($G$1:G734=G735)),IF($F$1:F734=G735,$N$1:N734,$O$1:O734)),1000))))</f>
        <v/>
      </c>
      <c r="J735" s="40" t="str">
        <f t="shared" si="56"/>
        <v/>
      </c>
      <c r="K735" s="12" t="str">
        <f>IF(C735="","",IF(C735="Match",IF(INDEX('Match Log'!$D:$D,D735)="Win",1,IF(INDEX('Match Log'!$D:$D,D735)="Draw",0.5,0)),IF(C735="Tournament",INDEX('Tournament Log'!$K:$K,E735),IF(INDEX('Guest Log'!$C:$C,Q735)="Win",1,IF(INDEX('Guest Log'!$C:$C,Q735)="Draw",0.5,0)))))</f>
        <v/>
      </c>
      <c r="L735" s="12" t="str">
        <f>IF(C735="","",IF(C735="Match",32,IF(C735="Tournament",MIN(32*INDEX('Tournament Log'!$D:$D,E735),96),32)))</f>
        <v/>
      </c>
      <c r="M735" s="12" t="str">
        <f t="shared" si="57"/>
        <v/>
      </c>
      <c r="N735" s="12" t="str">
        <f t="shared" si="58"/>
        <v/>
      </c>
      <c r="O735" s="12" t="str">
        <f t="shared" si="59"/>
        <v/>
      </c>
      <c r="P735" s="12" t="str">
        <f>IF(C735="Tournament",INDEX('Tournament Log'!$B:$B,E735),IF(C735="Guest","Guest: "&amp;INDEX('Guest Log'!$H:$H,Q735),""))</f>
        <v/>
      </c>
      <c r="Q735" t="str">
        <f>IFERROR(MATCH($A735,'Guest Log'!$L$4:$L$203,0)+3,"")</f>
        <v/>
      </c>
    </row>
    <row r="736" spans="1:17" ht="15" customHeight="1" x14ac:dyDescent="0.2">
      <c r="A736" s="40">
        <f>735</f>
        <v>735</v>
      </c>
      <c r="B736" s="40" t="str">
        <f>IF(C736="","",IF(C736="Match",INDEX('Match Log'!$A:$A,D736),IF(C736="Tournament",INDEX('Tournament Log'!$A:$A,E736),INDEX('Guest Log'!$A:$A,Q736))))</f>
        <v/>
      </c>
      <c r="C736" s="40" t="str">
        <f t="shared" si="55"/>
        <v/>
      </c>
      <c r="D736" s="41" t="str">
        <f>IFERROR(MATCH($A736,'Match Log'!$K$3:$K$501,0)+2,"")</f>
        <v/>
      </c>
      <c r="E736" s="41" t="str">
        <f>IFERROR(MATCH($A736,'Tournament Log'!$O$4:$O$203,0)+3,"")</f>
        <v/>
      </c>
      <c r="F736" s="40" t="str">
        <f>IF(C736="","",IF(C736="Match",INDEX('Match Log'!$B:$B,D736),IF(C736="Tournament",INDEX('Tournament Log'!$C:$C,E736),INDEX('Guest Log'!$B:$B,Q736))))</f>
        <v/>
      </c>
      <c r="G736" s="40" t="str">
        <f>IF(C736="","",IF(C736="Match",INDEX('Match Log'!$C:$C,D736),IF(C736="Tournament",INDEX('Tournament Log'!$B:$B,E736)&amp;" (Phantom)",INDEX('Guest Log'!$H:$H,Q736)&amp;" (Guest)")))</f>
        <v/>
      </c>
      <c r="H736" s="40" t="str">
        <f t="array" ref="H736">IF(C736="","",IFERROR(LOOKUP(2,1/(($F$1:F735=F736)+($G$1:G735=F736)),IF($F$1:F735=F736,$N$1:N735,$O$1:O735)),1000))</f>
        <v/>
      </c>
      <c r="I736" s="40" t="str">
        <f t="array" ref="I736">IF(C736="","",IF(C736="Tournament",INDEX('Tournament Log'!$J:$J,E736),IF(C736="Guest",IF(INDEX('Guest Log'!$I:$I,Q736)="",1000,INDEX('Guest Log'!$I:$I,Q736)),IFERROR(LOOKUP(2,1/(($F$1:F735=G736)+($G$1:G735=G736)),IF($F$1:F735=G736,$N$1:N735,$O$1:O735)),1000))))</f>
        <v/>
      </c>
      <c r="J736" s="40" t="str">
        <f t="shared" si="56"/>
        <v/>
      </c>
      <c r="K736" s="12" t="str">
        <f>IF(C736="","",IF(C736="Match",IF(INDEX('Match Log'!$D:$D,D736)="Win",1,IF(INDEX('Match Log'!$D:$D,D736)="Draw",0.5,0)),IF(C736="Tournament",INDEX('Tournament Log'!$K:$K,E736),IF(INDEX('Guest Log'!$C:$C,Q736)="Win",1,IF(INDEX('Guest Log'!$C:$C,Q736)="Draw",0.5,0)))))</f>
        <v/>
      </c>
      <c r="L736" s="12" t="str">
        <f>IF(C736="","",IF(C736="Match",32,IF(C736="Tournament",MIN(32*INDEX('Tournament Log'!$D:$D,E736),96),32)))</f>
        <v/>
      </c>
      <c r="M736" s="12" t="str">
        <f t="shared" si="57"/>
        <v/>
      </c>
      <c r="N736" s="12" t="str">
        <f t="shared" si="58"/>
        <v/>
      </c>
      <c r="O736" s="12" t="str">
        <f t="shared" si="59"/>
        <v/>
      </c>
      <c r="P736" s="12" t="str">
        <f>IF(C736="Tournament",INDEX('Tournament Log'!$B:$B,E736),IF(C736="Guest","Guest: "&amp;INDEX('Guest Log'!$H:$H,Q736),""))</f>
        <v/>
      </c>
      <c r="Q736" t="str">
        <f>IFERROR(MATCH($A736,'Guest Log'!$L$4:$L$203,0)+3,"")</f>
        <v/>
      </c>
    </row>
    <row r="737" spans="1:17" ht="15" customHeight="1" x14ac:dyDescent="0.2">
      <c r="A737" s="40">
        <f>736</f>
        <v>736</v>
      </c>
      <c r="B737" s="40" t="str">
        <f>IF(C737="","",IF(C737="Match",INDEX('Match Log'!$A:$A,D737),IF(C737="Tournament",INDEX('Tournament Log'!$A:$A,E737),INDEX('Guest Log'!$A:$A,Q737))))</f>
        <v/>
      </c>
      <c r="C737" s="40" t="str">
        <f t="shared" si="55"/>
        <v/>
      </c>
      <c r="D737" s="41" t="str">
        <f>IFERROR(MATCH($A737,'Match Log'!$K$3:$K$501,0)+2,"")</f>
        <v/>
      </c>
      <c r="E737" s="41" t="str">
        <f>IFERROR(MATCH($A737,'Tournament Log'!$O$4:$O$203,0)+3,"")</f>
        <v/>
      </c>
      <c r="F737" s="40" t="str">
        <f>IF(C737="","",IF(C737="Match",INDEX('Match Log'!$B:$B,D737),IF(C737="Tournament",INDEX('Tournament Log'!$C:$C,E737),INDEX('Guest Log'!$B:$B,Q737))))</f>
        <v/>
      </c>
      <c r="G737" s="40" t="str">
        <f>IF(C737="","",IF(C737="Match",INDEX('Match Log'!$C:$C,D737),IF(C737="Tournament",INDEX('Tournament Log'!$B:$B,E737)&amp;" (Phantom)",INDEX('Guest Log'!$H:$H,Q737)&amp;" (Guest)")))</f>
        <v/>
      </c>
      <c r="H737" s="40" t="str">
        <f t="array" ref="H737">IF(C737="","",IFERROR(LOOKUP(2,1/(($F$1:F736=F737)+($G$1:G736=F737)),IF($F$1:F736=F737,$N$1:N736,$O$1:O736)),1000))</f>
        <v/>
      </c>
      <c r="I737" s="40" t="str">
        <f t="array" ref="I737">IF(C737="","",IF(C737="Tournament",INDEX('Tournament Log'!$J:$J,E737),IF(C737="Guest",IF(INDEX('Guest Log'!$I:$I,Q737)="",1000,INDEX('Guest Log'!$I:$I,Q737)),IFERROR(LOOKUP(2,1/(($F$1:F736=G737)+($G$1:G736=G737)),IF($F$1:F736=G737,$N$1:N736,$O$1:O736)),1000))))</f>
        <v/>
      </c>
      <c r="J737" s="40" t="str">
        <f t="shared" si="56"/>
        <v/>
      </c>
      <c r="K737" s="12" t="str">
        <f>IF(C737="","",IF(C737="Match",IF(INDEX('Match Log'!$D:$D,D737)="Win",1,IF(INDEX('Match Log'!$D:$D,D737)="Draw",0.5,0)),IF(C737="Tournament",INDEX('Tournament Log'!$K:$K,E737),IF(INDEX('Guest Log'!$C:$C,Q737)="Win",1,IF(INDEX('Guest Log'!$C:$C,Q737)="Draw",0.5,0)))))</f>
        <v/>
      </c>
      <c r="L737" s="12" t="str">
        <f>IF(C737="","",IF(C737="Match",32,IF(C737="Tournament",MIN(32*INDEX('Tournament Log'!$D:$D,E737),96),32)))</f>
        <v/>
      </c>
      <c r="M737" s="12" t="str">
        <f t="shared" si="57"/>
        <v/>
      </c>
      <c r="N737" s="12" t="str">
        <f t="shared" si="58"/>
        <v/>
      </c>
      <c r="O737" s="12" t="str">
        <f t="shared" si="59"/>
        <v/>
      </c>
      <c r="P737" s="12" t="str">
        <f>IF(C737="Tournament",INDEX('Tournament Log'!$B:$B,E737),IF(C737="Guest","Guest: "&amp;INDEX('Guest Log'!$H:$H,Q737),""))</f>
        <v/>
      </c>
      <c r="Q737" t="str">
        <f>IFERROR(MATCH($A737,'Guest Log'!$L$4:$L$203,0)+3,"")</f>
        <v/>
      </c>
    </row>
    <row r="738" spans="1:17" ht="15" customHeight="1" x14ac:dyDescent="0.2">
      <c r="A738" s="40">
        <f>737</f>
        <v>737</v>
      </c>
      <c r="B738" s="40" t="str">
        <f>IF(C738="","",IF(C738="Match",INDEX('Match Log'!$A:$A,D738),IF(C738="Tournament",INDEX('Tournament Log'!$A:$A,E738),INDEX('Guest Log'!$A:$A,Q738))))</f>
        <v/>
      </c>
      <c r="C738" s="40" t="str">
        <f t="shared" si="55"/>
        <v/>
      </c>
      <c r="D738" s="41" t="str">
        <f>IFERROR(MATCH($A738,'Match Log'!$K$3:$K$501,0)+2,"")</f>
        <v/>
      </c>
      <c r="E738" s="41" t="str">
        <f>IFERROR(MATCH($A738,'Tournament Log'!$O$4:$O$203,0)+3,"")</f>
        <v/>
      </c>
      <c r="F738" s="40" t="str">
        <f>IF(C738="","",IF(C738="Match",INDEX('Match Log'!$B:$B,D738),IF(C738="Tournament",INDEX('Tournament Log'!$C:$C,E738),INDEX('Guest Log'!$B:$B,Q738))))</f>
        <v/>
      </c>
      <c r="G738" s="40" t="str">
        <f>IF(C738="","",IF(C738="Match",INDEX('Match Log'!$C:$C,D738),IF(C738="Tournament",INDEX('Tournament Log'!$B:$B,E738)&amp;" (Phantom)",INDEX('Guest Log'!$H:$H,Q738)&amp;" (Guest)")))</f>
        <v/>
      </c>
      <c r="H738" s="40" t="str">
        <f t="array" ref="H738">IF(C738="","",IFERROR(LOOKUP(2,1/(($F$1:F737=F738)+($G$1:G737=F738)),IF($F$1:F737=F738,$N$1:N737,$O$1:O737)),1000))</f>
        <v/>
      </c>
      <c r="I738" s="40" t="str">
        <f t="array" ref="I738">IF(C738="","",IF(C738="Tournament",INDEX('Tournament Log'!$J:$J,E738),IF(C738="Guest",IF(INDEX('Guest Log'!$I:$I,Q738)="",1000,INDEX('Guest Log'!$I:$I,Q738)),IFERROR(LOOKUP(2,1/(($F$1:F737=G738)+($G$1:G737=G738)),IF($F$1:F737=G738,$N$1:N737,$O$1:O737)),1000))))</f>
        <v/>
      </c>
      <c r="J738" s="40" t="str">
        <f t="shared" si="56"/>
        <v/>
      </c>
      <c r="K738" s="12" t="str">
        <f>IF(C738="","",IF(C738="Match",IF(INDEX('Match Log'!$D:$D,D738)="Win",1,IF(INDEX('Match Log'!$D:$D,D738)="Draw",0.5,0)),IF(C738="Tournament",INDEX('Tournament Log'!$K:$K,E738),IF(INDEX('Guest Log'!$C:$C,Q738)="Win",1,IF(INDEX('Guest Log'!$C:$C,Q738)="Draw",0.5,0)))))</f>
        <v/>
      </c>
      <c r="L738" s="12" t="str">
        <f>IF(C738="","",IF(C738="Match",32,IF(C738="Tournament",MIN(32*INDEX('Tournament Log'!$D:$D,E738),96),32)))</f>
        <v/>
      </c>
      <c r="M738" s="12" t="str">
        <f t="shared" si="57"/>
        <v/>
      </c>
      <c r="N738" s="12" t="str">
        <f t="shared" si="58"/>
        <v/>
      </c>
      <c r="O738" s="12" t="str">
        <f t="shared" si="59"/>
        <v/>
      </c>
      <c r="P738" s="12" t="str">
        <f>IF(C738="Tournament",INDEX('Tournament Log'!$B:$B,E738),IF(C738="Guest","Guest: "&amp;INDEX('Guest Log'!$H:$H,Q738),""))</f>
        <v/>
      </c>
      <c r="Q738" t="str">
        <f>IFERROR(MATCH($A738,'Guest Log'!$L$4:$L$203,0)+3,"")</f>
        <v/>
      </c>
    </row>
    <row r="739" spans="1:17" ht="15" customHeight="1" x14ac:dyDescent="0.2">
      <c r="A739" s="40">
        <f>738</f>
        <v>738</v>
      </c>
      <c r="B739" s="40" t="str">
        <f>IF(C739="","",IF(C739="Match",INDEX('Match Log'!$A:$A,D739),IF(C739="Tournament",INDEX('Tournament Log'!$A:$A,E739),INDEX('Guest Log'!$A:$A,Q739))))</f>
        <v/>
      </c>
      <c r="C739" s="40" t="str">
        <f t="shared" si="55"/>
        <v/>
      </c>
      <c r="D739" s="41" t="str">
        <f>IFERROR(MATCH($A739,'Match Log'!$K$3:$K$501,0)+2,"")</f>
        <v/>
      </c>
      <c r="E739" s="41" t="str">
        <f>IFERROR(MATCH($A739,'Tournament Log'!$O$4:$O$203,0)+3,"")</f>
        <v/>
      </c>
      <c r="F739" s="40" t="str">
        <f>IF(C739="","",IF(C739="Match",INDEX('Match Log'!$B:$B,D739),IF(C739="Tournament",INDEX('Tournament Log'!$C:$C,E739),INDEX('Guest Log'!$B:$B,Q739))))</f>
        <v/>
      </c>
      <c r="G739" s="40" t="str">
        <f>IF(C739="","",IF(C739="Match",INDEX('Match Log'!$C:$C,D739),IF(C739="Tournament",INDEX('Tournament Log'!$B:$B,E739)&amp;" (Phantom)",INDEX('Guest Log'!$H:$H,Q739)&amp;" (Guest)")))</f>
        <v/>
      </c>
      <c r="H739" s="40" t="str">
        <f t="array" ref="H739">IF(C739="","",IFERROR(LOOKUP(2,1/(($F$1:F738=F739)+($G$1:G738=F739)),IF($F$1:F738=F739,$N$1:N738,$O$1:O738)),1000))</f>
        <v/>
      </c>
      <c r="I739" s="40" t="str">
        <f t="array" ref="I739">IF(C739="","",IF(C739="Tournament",INDEX('Tournament Log'!$J:$J,E739),IF(C739="Guest",IF(INDEX('Guest Log'!$I:$I,Q739)="",1000,INDEX('Guest Log'!$I:$I,Q739)),IFERROR(LOOKUP(2,1/(($F$1:F738=G739)+($G$1:G738=G739)),IF($F$1:F738=G739,$N$1:N738,$O$1:O738)),1000))))</f>
        <v/>
      </c>
      <c r="J739" s="40" t="str">
        <f t="shared" si="56"/>
        <v/>
      </c>
      <c r="K739" s="12" t="str">
        <f>IF(C739="","",IF(C739="Match",IF(INDEX('Match Log'!$D:$D,D739)="Win",1,IF(INDEX('Match Log'!$D:$D,D739)="Draw",0.5,0)),IF(C739="Tournament",INDEX('Tournament Log'!$K:$K,E739),IF(INDEX('Guest Log'!$C:$C,Q739)="Win",1,IF(INDEX('Guest Log'!$C:$C,Q739)="Draw",0.5,0)))))</f>
        <v/>
      </c>
      <c r="L739" s="12" t="str">
        <f>IF(C739="","",IF(C739="Match",32,IF(C739="Tournament",MIN(32*INDEX('Tournament Log'!$D:$D,E739),96),32)))</f>
        <v/>
      </c>
      <c r="M739" s="12" t="str">
        <f t="shared" si="57"/>
        <v/>
      </c>
      <c r="N739" s="12" t="str">
        <f t="shared" si="58"/>
        <v/>
      </c>
      <c r="O739" s="12" t="str">
        <f t="shared" si="59"/>
        <v/>
      </c>
      <c r="P739" s="12" t="str">
        <f>IF(C739="Tournament",INDEX('Tournament Log'!$B:$B,E739),IF(C739="Guest","Guest: "&amp;INDEX('Guest Log'!$H:$H,Q739),""))</f>
        <v/>
      </c>
      <c r="Q739" t="str">
        <f>IFERROR(MATCH($A739,'Guest Log'!$L$4:$L$203,0)+3,"")</f>
        <v/>
      </c>
    </row>
    <row r="740" spans="1:17" ht="15" customHeight="1" x14ac:dyDescent="0.2">
      <c r="A740" s="40">
        <f>739</f>
        <v>739</v>
      </c>
      <c r="B740" s="40" t="str">
        <f>IF(C740="","",IF(C740="Match",INDEX('Match Log'!$A:$A,D740),IF(C740="Tournament",INDEX('Tournament Log'!$A:$A,E740),INDEX('Guest Log'!$A:$A,Q740))))</f>
        <v/>
      </c>
      <c r="C740" s="40" t="str">
        <f t="shared" si="55"/>
        <v/>
      </c>
      <c r="D740" s="41" t="str">
        <f>IFERROR(MATCH($A740,'Match Log'!$K$3:$K$501,0)+2,"")</f>
        <v/>
      </c>
      <c r="E740" s="41" t="str">
        <f>IFERROR(MATCH($A740,'Tournament Log'!$O$4:$O$203,0)+3,"")</f>
        <v/>
      </c>
      <c r="F740" s="40" t="str">
        <f>IF(C740="","",IF(C740="Match",INDEX('Match Log'!$B:$B,D740),IF(C740="Tournament",INDEX('Tournament Log'!$C:$C,E740),INDEX('Guest Log'!$B:$B,Q740))))</f>
        <v/>
      </c>
      <c r="G740" s="40" t="str">
        <f>IF(C740="","",IF(C740="Match",INDEX('Match Log'!$C:$C,D740),IF(C740="Tournament",INDEX('Tournament Log'!$B:$B,E740)&amp;" (Phantom)",INDEX('Guest Log'!$H:$H,Q740)&amp;" (Guest)")))</f>
        <v/>
      </c>
      <c r="H740" s="40" t="str">
        <f t="array" ref="H740">IF(C740="","",IFERROR(LOOKUP(2,1/(($F$1:F739=F740)+($G$1:G739=F740)),IF($F$1:F739=F740,$N$1:N739,$O$1:O739)),1000))</f>
        <v/>
      </c>
      <c r="I740" s="40" t="str">
        <f t="array" ref="I740">IF(C740="","",IF(C740="Tournament",INDEX('Tournament Log'!$J:$J,E740),IF(C740="Guest",IF(INDEX('Guest Log'!$I:$I,Q740)="",1000,INDEX('Guest Log'!$I:$I,Q740)),IFERROR(LOOKUP(2,1/(($F$1:F739=G740)+($G$1:G739=G740)),IF($F$1:F739=G740,$N$1:N739,$O$1:O739)),1000))))</f>
        <v/>
      </c>
      <c r="J740" s="40" t="str">
        <f t="shared" si="56"/>
        <v/>
      </c>
      <c r="K740" s="12" t="str">
        <f>IF(C740="","",IF(C740="Match",IF(INDEX('Match Log'!$D:$D,D740)="Win",1,IF(INDEX('Match Log'!$D:$D,D740)="Draw",0.5,0)),IF(C740="Tournament",INDEX('Tournament Log'!$K:$K,E740),IF(INDEX('Guest Log'!$C:$C,Q740)="Win",1,IF(INDEX('Guest Log'!$C:$C,Q740)="Draw",0.5,0)))))</f>
        <v/>
      </c>
      <c r="L740" s="12" t="str">
        <f>IF(C740="","",IF(C740="Match",32,IF(C740="Tournament",MIN(32*INDEX('Tournament Log'!$D:$D,E740),96),32)))</f>
        <v/>
      </c>
      <c r="M740" s="12" t="str">
        <f t="shared" si="57"/>
        <v/>
      </c>
      <c r="N740" s="12" t="str">
        <f t="shared" si="58"/>
        <v/>
      </c>
      <c r="O740" s="12" t="str">
        <f t="shared" si="59"/>
        <v/>
      </c>
      <c r="P740" s="12" t="str">
        <f>IF(C740="Tournament",INDEX('Tournament Log'!$B:$B,E740),IF(C740="Guest","Guest: "&amp;INDEX('Guest Log'!$H:$H,Q740),""))</f>
        <v/>
      </c>
      <c r="Q740" t="str">
        <f>IFERROR(MATCH($A740,'Guest Log'!$L$4:$L$203,0)+3,"")</f>
        <v/>
      </c>
    </row>
    <row r="741" spans="1:17" ht="15" customHeight="1" x14ac:dyDescent="0.2">
      <c r="A741" s="40">
        <f>740</f>
        <v>740</v>
      </c>
      <c r="B741" s="40" t="str">
        <f>IF(C741="","",IF(C741="Match",INDEX('Match Log'!$A:$A,D741),IF(C741="Tournament",INDEX('Tournament Log'!$A:$A,E741),INDEX('Guest Log'!$A:$A,Q741))))</f>
        <v/>
      </c>
      <c r="C741" s="40" t="str">
        <f t="shared" si="55"/>
        <v/>
      </c>
      <c r="D741" s="41" t="str">
        <f>IFERROR(MATCH($A741,'Match Log'!$K$3:$K$501,0)+2,"")</f>
        <v/>
      </c>
      <c r="E741" s="41" t="str">
        <f>IFERROR(MATCH($A741,'Tournament Log'!$O$4:$O$203,0)+3,"")</f>
        <v/>
      </c>
      <c r="F741" s="40" t="str">
        <f>IF(C741="","",IF(C741="Match",INDEX('Match Log'!$B:$B,D741),IF(C741="Tournament",INDEX('Tournament Log'!$C:$C,E741),INDEX('Guest Log'!$B:$B,Q741))))</f>
        <v/>
      </c>
      <c r="G741" s="40" t="str">
        <f>IF(C741="","",IF(C741="Match",INDEX('Match Log'!$C:$C,D741),IF(C741="Tournament",INDEX('Tournament Log'!$B:$B,E741)&amp;" (Phantom)",INDEX('Guest Log'!$H:$H,Q741)&amp;" (Guest)")))</f>
        <v/>
      </c>
      <c r="H741" s="40" t="str">
        <f t="array" ref="H741">IF(C741="","",IFERROR(LOOKUP(2,1/(($F$1:F740=F741)+($G$1:G740=F741)),IF($F$1:F740=F741,$N$1:N740,$O$1:O740)),1000))</f>
        <v/>
      </c>
      <c r="I741" s="40" t="str">
        <f t="array" ref="I741">IF(C741="","",IF(C741="Tournament",INDEX('Tournament Log'!$J:$J,E741),IF(C741="Guest",IF(INDEX('Guest Log'!$I:$I,Q741)="",1000,INDEX('Guest Log'!$I:$I,Q741)),IFERROR(LOOKUP(2,1/(($F$1:F740=G741)+($G$1:G740=G741)),IF($F$1:F740=G741,$N$1:N740,$O$1:O740)),1000))))</f>
        <v/>
      </c>
      <c r="J741" s="40" t="str">
        <f t="shared" si="56"/>
        <v/>
      </c>
      <c r="K741" s="12" t="str">
        <f>IF(C741="","",IF(C741="Match",IF(INDEX('Match Log'!$D:$D,D741)="Win",1,IF(INDEX('Match Log'!$D:$D,D741)="Draw",0.5,0)),IF(C741="Tournament",INDEX('Tournament Log'!$K:$K,E741),IF(INDEX('Guest Log'!$C:$C,Q741)="Win",1,IF(INDEX('Guest Log'!$C:$C,Q741)="Draw",0.5,0)))))</f>
        <v/>
      </c>
      <c r="L741" s="12" t="str">
        <f>IF(C741="","",IF(C741="Match",32,IF(C741="Tournament",MIN(32*INDEX('Tournament Log'!$D:$D,E741),96),32)))</f>
        <v/>
      </c>
      <c r="M741" s="12" t="str">
        <f t="shared" si="57"/>
        <v/>
      </c>
      <c r="N741" s="12" t="str">
        <f t="shared" si="58"/>
        <v/>
      </c>
      <c r="O741" s="12" t="str">
        <f t="shared" si="59"/>
        <v/>
      </c>
      <c r="P741" s="12" t="str">
        <f>IF(C741="Tournament",INDEX('Tournament Log'!$B:$B,E741),IF(C741="Guest","Guest: "&amp;INDEX('Guest Log'!$H:$H,Q741),""))</f>
        <v/>
      </c>
      <c r="Q741" t="str">
        <f>IFERROR(MATCH($A741,'Guest Log'!$L$4:$L$203,0)+3,"")</f>
        <v/>
      </c>
    </row>
    <row r="742" spans="1:17" ht="15" customHeight="1" x14ac:dyDescent="0.2">
      <c r="A742" s="40">
        <f>741</f>
        <v>741</v>
      </c>
      <c r="B742" s="40" t="str">
        <f>IF(C742="","",IF(C742="Match",INDEX('Match Log'!$A:$A,D742),IF(C742="Tournament",INDEX('Tournament Log'!$A:$A,E742),INDEX('Guest Log'!$A:$A,Q742))))</f>
        <v/>
      </c>
      <c r="C742" s="40" t="str">
        <f t="shared" si="55"/>
        <v/>
      </c>
      <c r="D742" s="41" t="str">
        <f>IFERROR(MATCH($A742,'Match Log'!$K$3:$K$501,0)+2,"")</f>
        <v/>
      </c>
      <c r="E742" s="41" t="str">
        <f>IFERROR(MATCH($A742,'Tournament Log'!$O$4:$O$203,0)+3,"")</f>
        <v/>
      </c>
      <c r="F742" s="40" t="str">
        <f>IF(C742="","",IF(C742="Match",INDEX('Match Log'!$B:$B,D742),IF(C742="Tournament",INDEX('Tournament Log'!$C:$C,E742),INDEX('Guest Log'!$B:$B,Q742))))</f>
        <v/>
      </c>
      <c r="G742" s="40" t="str">
        <f>IF(C742="","",IF(C742="Match",INDEX('Match Log'!$C:$C,D742),IF(C742="Tournament",INDEX('Tournament Log'!$B:$B,E742)&amp;" (Phantom)",INDEX('Guest Log'!$H:$H,Q742)&amp;" (Guest)")))</f>
        <v/>
      </c>
      <c r="H742" s="40" t="str">
        <f t="array" ref="H742">IF(C742="","",IFERROR(LOOKUP(2,1/(($F$1:F741=F742)+($G$1:G741=F742)),IF($F$1:F741=F742,$N$1:N741,$O$1:O741)),1000))</f>
        <v/>
      </c>
      <c r="I742" s="40" t="str">
        <f t="array" ref="I742">IF(C742="","",IF(C742="Tournament",INDEX('Tournament Log'!$J:$J,E742),IF(C742="Guest",IF(INDEX('Guest Log'!$I:$I,Q742)="",1000,INDEX('Guest Log'!$I:$I,Q742)),IFERROR(LOOKUP(2,1/(($F$1:F741=G742)+($G$1:G741=G742)),IF($F$1:F741=G742,$N$1:N741,$O$1:O741)),1000))))</f>
        <v/>
      </c>
      <c r="J742" s="40" t="str">
        <f t="shared" si="56"/>
        <v/>
      </c>
      <c r="K742" s="12" t="str">
        <f>IF(C742="","",IF(C742="Match",IF(INDEX('Match Log'!$D:$D,D742)="Win",1,IF(INDEX('Match Log'!$D:$D,D742)="Draw",0.5,0)),IF(C742="Tournament",INDEX('Tournament Log'!$K:$K,E742),IF(INDEX('Guest Log'!$C:$C,Q742)="Win",1,IF(INDEX('Guest Log'!$C:$C,Q742)="Draw",0.5,0)))))</f>
        <v/>
      </c>
      <c r="L742" s="12" t="str">
        <f>IF(C742="","",IF(C742="Match",32,IF(C742="Tournament",MIN(32*INDEX('Tournament Log'!$D:$D,E742),96),32)))</f>
        <v/>
      </c>
      <c r="M742" s="12" t="str">
        <f t="shared" si="57"/>
        <v/>
      </c>
      <c r="N742" s="12" t="str">
        <f t="shared" si="58"/>
        <v/>
      </c>
      <c r="O742" s="12" t="str">
        <f t="shared" si="59"/>
        <v/>
      </c>
      <c r="P742" s="12" t="str">
        <f>IF(C742="Tournament",INDEX('Tournament Log'!$B:$B,E742),IF(C742="Guest","Guest: "&amp;INDEX('Guest Log'!$H:$H,Q742),""))</f>
        <v/>
      </c>
      <c r="Q742" t="str">
        <f>IFERROR(MATCH($A742,'Guest Log'!$L$4:$L$203,0)+3,"")</f>
        <v/>
      </c>
    </row>
    <row r="743" spans="1:17" ht="15" customHeight="1" x14ac:dyDescent="0.2">
      <c r="A743" s="40">
        <f>742</f>
        <v>742</v>
      </c>
      <c r="B743" s="40" t="str">
        <f>IF(C743="","",IF(C743="Match",INDEX('Match Log'!$A:$A,D743),IF(C743="Tournament",INDEX('Tournament Log'!$A:$A,E743),INDEX('Guest Log'!$A:$A,Q743))))</f>
        <v/>
      </c>
      <c r="C743" s="40" t="str">
        <f t="shared" si="55"/>
        <v/>
      </c>
      <c r="D743" s="41" t="str">
        <f>IFERROR(MATCH($A743,'Match Log'!$K$3:$K$501,0)+2,"")</f>
        <v/>
      </c>
      <c r="E743" s="41" t="str">
        <f>IFERROR(MATCH($A743,'Tournament Log'!$O$4:$O$203,0)+3,"")</f>
        <v/>
      </c>
      <c r="F743" s="40" t="str">
        <f>IF(C743="","",IF(C743="Match",INDEX('Match Log'!$B:$B,D743),IF(C743="Tournament",INDEX('Tournament Log'!$C:$C,E743),INDEX('Guest Log'!$B:$B,Q743))))</f>
        <v/>
      </c>
      <c r="G743" s="40" t="str">
        <f>IF(C743="","",IF(C743="Match",INDEX('Match Log'!$C:$C,D743),IF(C743="Tournament",INDEX('Tournament Log'!$B:$B,E743)&amp;" (Phantom)",INDEX('Guest Log'!$H:$H,Q743)&amp;" (Guest)")))</f>
        <v/>
      </c>
      <c r="H743" s="40" t="str">
        <f t="array" ref="H743">IF(C743="","",IFERROR(LOOKUP(2,1/(($F$1:F742=F743)+($G$1:G742=F743)),IF($F$1:F742=F743,$N$1:N742,$O$1:O742)),1000))</f>
        <v/>
      </c>
      <c r="I743" s="40" t="str">
        <f t="array" ref="I743">IF(C743="","",IF(C743="Tournament",INDEX('Tournament Log'!$J:$J,E743),IF(C743="Guest",IF(INDEX('Guest Log'!$I:$I,Q743)="",1000,INDEX('Guest Log'!$I:$I,Q743)),IFERROR(LOOKUP(2,1/(($F$1:F742=G743)+($G$1:G742=G743)),IF($F$1:F742=G743,$N$1:N742,$O$1:O742)),1000))))</f>
        <v/>
      </c>
      <c r="J743" s="40" t="str">
        <f t="shared" si="56"/>
        <v/>
      </c>
      <c r="K743" s="12" t="str">
        <f>IF(C743="","",IF(C743="Match",IF(INDEX('Match Log'!$D:$D,D743)="Win",1,IF(INDEX('Match Log'!$D:$D,D743)="Draw",0.5,0)),IF(C743="Tournament",INDEX('Tournament Log'!$K:$K,E743),IF(INDEX('Guest Log'!$C:$C,Q743)="Win",1,IF(INDEX('Guest Log'!$C:$C,Q743)="Draw",0.5,0)))))</f>
        <v/>
      </c>
      <c r="L743" s="12" t="str">
        <f>IF(C743="","",IF(C743="Match",32,IF(C743="Tournament",MIN(32*INDEX('Tournament Log'!$D:$D,E743),96),32)))</f>
        <v/>
      </c>
      <c r="M743" s="12" t="str">
        <f t="shared" si="57"/>
        <v/>
      </c>
      <c r="N743" s="12" t="str">
        <f t="shared" si="58"/>
        <v/>
      </c>
      <c r="O743" s="12" t="str">
        <f t="shared" si="59"/>
        <v/>
      </c>
      <c r="P743" s="12" t="str">
        <f>IF(C743="Tournament",INDEX('Tournament Log'!$B:$B,E743),IF(C743="Guest","Guest: "&amp;INDEX('Guest Log'!$H:$H,Q743),""))</f>
        <v/>
      </c>
      <c r="Q743" t="str">
        <f>IFERROR(MATCH($A743,'Guest Log'!$L$4:$L$203,0)+3,"")</f>
        <v/>
      </c>
    </row>
    <row r="744" spans="1:17" ht="15" customHeight="1" x14ac:dyDescent="0.2">
      <c r="A744" s="40">
        <f>743</f>
        <v>743</v>
      </c>
      <c r="B744" s="40" t="str">
        <f>IF(C744="","",IF(C744="Match",INDEX('Match Log'!$A:$A,D744),IF(C744="Tournament",INDEX('Tournament Log'!$A:$A,E744),INDEX('Guest Log'!$A:$A,Q744))))</f>
        <v/>
      </c>
      <c r="C744" s="40" t="str">
        <f t="shared" si="55"/>
        <v/>
      </c>
      <c r="D744" s="41" t="str">
        <f>IFERROR(MATCH($A744,'Match Log'!$K$3:$K$501,0)+2,"")</f>
        <v/>
      </c>
      <c r="E744" s="41" t="str">
        <f>IFERROR(MATCH($A744,'Tournament Log'!$O$4:$O$203,0)+3,"")</f>
        <v/>
      </c>
      <c r="F744" s="40" t="str">
        <f>IF(C744="","",IF(C744="Match",INDEX('Match Log'!$B:$B,D744),IF(C744="Tournament",INDEX('Tournament Log'!$C:$C,E744),INDEX('Guest Log'!$B:$B,Q744))))</f>
        <v/>
      </c>
      <c r="G744" s="40" t="str">
        <f>IF(C744="","",IF(C744="Match",INDEX('Match Log'!$C:$C,D744),IF(C744="Tournament",INDEX('Tournament Log'!$B:$B,E744)&amp;" (Phantom)",INDEX('Guest Log'!$H:$H,Q744)&amp;" (Guest)")))</f>
        <v/>
      </c>
      <c r="H744" s="40" t="str">
        <f t="array" ref="H744">IF(C744="","",IFERROR(LOOKUP(2,1/(($F$1:F743=F744)+($G$1:G743=F744)),IF($F$1:F743=F744,$N$1:N743,$O$1:O743)),1000))</f>
        <v/>
      </c>
      <c r="I744" s="40" t="str">
        <f t="array" ref="I744">IF(C744="","",IF(C744="Tournament",INDEX('Tournament Log'!$J:$J,E744),IF(C744="Guest",IF(INDEX('Guest Log'!$I:$I,Q744)="",1000,INDEX('Guest Log'!$I:$I,Q744)),IFERROR(LOOKUP(2,1/(($F$1:F743=G744)+($G$1:G743=G744)),IF($F$1:F743=G744,$N$1:N743,$O$1:O743)),1000))))</f>
        <v/>
      </c>
      <c r="J744" s="40" t="str">
        <f t="shared" si="56"/>
        <v/>
      </c>
      <c r="K744" s="12" t="str">
        <f>IF(C744="","",IF(C744="Match",IF(INDEX('Match Log'!$D:$D,D744)="Win",1,IF(INDEX('Match Log'!$D:$D,D744)="Draw",0.5,0)),IF(C744="Tournament",INDEX('Tournament Log'!$K:$K,E744),IF(INDEX('Guest Log'!$C:$C,Q744)="Win",1,IF(INDEX('Guest Log'!$C:$C,Q744)="Draw",0.5,0)))))</f>
        <v/>
      </c>
      <c r="L744" s="12" t="str">
        <f>IF(C744="","",IF(C744="Match",32,IF(C744="Tournament",MIN(32*INDEX('Tournament Log'!$D:$D,E744),96),32)))</f>
        <v/>
      </c>
      <c r="M744" s="12" t="str">
        <f t="shared" si="57"/>
        <v/>
      </c>
      <c r="N744" s="12" t="str">
        <f t="shared" si="58"/>
        <v/>
      </c>
      <c r="O744" s="12" t="str">
        <f t="shared" si="59"/>
        <v/>
      </c>
      <c r="P744" s="12" t="str">
        <f>IF(C744="Tournament",INDEX('Tournament Log'!$B:$B,E744),IF(C744="Guest","Guest: "&amp;INDEX('Guest Log'!$H:$H,Q744),""))</f>
        <v/>
      </c>
      <c r="Q744" t="str">
        <f>IFERROR(MATCH($A744,'Guest Log'!$L$4:$L$203,0)+3,"")</f>
        <v/>
      </c>
    </row>
    <row r="745" spans="1:17" ht="15" customHeight="1" x14ac:dyDescent="0.2">
      <c r="A745" s="40">
        <f>744</f>
        <v>744</v>
      </c>
      <c r="B745" s="40" t="str">
        <f>IF(C745="","",IF(C745="Match",INDEX('Match Log'!$A:$A,D745),IF(C745="Tournament",INDEX('Tournament Log'!$A:$A,E745),INDEX('Guest Log'!$A:$A,Q745))))</f>
        <v/>
      </c>
      <c r="C745" s="40" t="str">
        <f t="shared" si="55"/>
        <v/>
      </c>
      <c r="D745" s="41" t="str">
        <f>IFERROR(MATCH($A745,'Match Log'!$K$3:$K$501,0)+2,"")</f>
        <v/>
      </c>
      <c r="E745" s="41" t="str">
        <f>IFERROR(MATCH($A745,'Tournament Log'!$O$4:$O$203,0)+3,"")</f>
        <v/>
      </c>
      <c r="F745" s="40" t="str">
        <f>IF(C745="","",IF(C745="Match",INDEX('Match Log'!$B:$B,D745),IF(C745="Tournament",INDEX('Tournament Log'!$C:$C,E745),INDEX('Guest Log'!$B:$B,Q745))))</f>
        <v/>
      </c>
      <c r="G745" s="40" t="str">
        <f>IF(C745="","",IF(C745="Match",INDEX('Match Log'!$C:$C,D745),IF(C745="Tournament",INDEX('Tournament Log'!$B:$B,E745)&amp;" (Phantom)",INDEX('Guest Log'!$H:$H,Q745)&amp;" (Guest)")))</f>
        <v/>
      </c>
      <c r="H745" s="40" t="str">
        <f t="array" ref="H745">IF(C745="","",IFERROR(LOOKUP(2,1/(($F$1:F744=F745)+($G$1:G744=F745)),IF($F$1:F744=F745,$N$1:N744,$O$1:O744)),1000))</f>
        <v/>
      </c>
      <c r="I745" s="40" t="str">
        <f t="array" ref="I745">IF(C745="","",IF(C745="Tournament",INDEX('Tournament Log'!$J:$J,E745),IF(C745="Guest",IF(INDEX('Guest Log'!$I:$I,Q745)="",1000,INDEX('Guest Log'!$I:$I,Q745)),IFERROR(LOOKUP(2,1/(($F$1:F744=G745)+($G$1:G744=G745)),IF($F$1:F744=G745,$N$1:N744,$O$1:O744)),1000))))</f>
        <v/>
      </c>
      <c r="J745" s="40" t="str">
        <f t="shared" si="56"/>
        <v/>
      </c>
      <c r="K745" s="12" t="str">
        <f>IF(C745="","",IF(C745="Match",IF(INDEX('Match Log'!$D:$D,D745)="Win",1,IF(INDEX('Match Log'!$D:$D,D745)="Draw",0.5,0)),IF(C745="Tournament",INDEX('Tournament Log'!$K:$K,E745),IF(INDEX('Guest Log'!$C:$C,Q745)="Win",1,IF(INDEX('Guest Log'!$C:$C,Q745)="Draw",0.5,0)))))</f>
        <v/>
      </c>
      <c r="L745" s="12" t="str">
        <f>IF(C745="","",IF(C745="Match",32,IF(C745="Tournament",MIN(32*INDEX('Tournament Log'!$D:$D,E745),96),32)))</f>
        <v/>
      </c>
      <c r="M745" s="12" t="str">
        <f t="shared" si="57"/>
        <v/>
      </c>
      <c r="N745" s="12" t="str">
        <f t="shared" si="58"/>
        <v/>
      </c>
      <c r="O745" s="12" t="str">
        <f t="shared" si="59"/>
        <v/>
      </c>
      <c r="P745" s="12" t="str">
        <f>IF(C745="Tournament",INDEX('Tournament Log'!$B:$B,E745),IF(C745="Guest","Guest: "&amp;INDEX('Guest Log'!$H:$H,Q745),""))</f>
        <v/>
      </c>
      <c r="Q745" t="str">
        <f>IFERROR(MATCH($A745,'Guest Log'!$L$4:$L$203,0)+3,"")</f>
        <v/>
      </c>
    </row>
    <row r="746" spans="1:17" ht="15" customHeight="1" x14ac:dyDescent="0.2">
      <c r="A746" s="40">
        <f>745</f>
        <v>745</v>
      </c>
      <c r="B746" s="40" t="str">
        <f>IF(C746="","",IF(C746="Match",INDEX('Match Log'!$A:$A,D746),IF(C746="Tournament",INDEX('Tournament Log'!$A:$A,E746),INDEX('Guest Log'!$A:$A,Q746))))</f>
        <v/>
      </c>
      <c r="C746" s="40" t="str">
        <f t="shared" si="55"/>
        <v/>
      </c>
      <c r="D746" s="41" t="str">
        <f>IFERROR(MATCH($A746,'Match Log'!$K$3:$K$501,0)+2,"")</f>
        <v/>
      </c>
      <c r="E746" s="41" t="str">
        <f>IFERROR(MATCH($A746,'Tournament Log'!$O$4:$O$203,0)+3,"")</f>
        <v/>
      </c>
      <c r="F746" s="40" t="str">
        <f>IF(C746="","",IF(C746="Match",INDEX('Match Log'!$B:$B,D746),IF(C746="Tournament",INDEX('Tournament Log'!$C:$C,E746),INDEX('Guest Log'!$B:$B,Q746))))</f>
        <v/>
      </c>
      <c r="G746" s="40" t="str">
        <f>IF(C746="","",IF(C746="Match",INDEX('Match Log'!$C:$C,D746),IF(C746="Tournament",INDEX('Tournament Log'!$B:$B,E746)&amp;" (Phantom)",INDEX('Guest Log'!$H:$H,Q746)&amp;" (Guest)")))</f>
        <v/>
      </c>
      <c r="H746" s="40" t="str">
        <f t="array" ref="H746">IF(C746="","",IFERROR(LOOKUP(2,1/(($F$1:F745=F746)+($G$1:G745=F746)),IF($F$1:F745=F746,$N$1:N745,$O$1:O745)),1000))</f>
        <v/>
      </c>
      <c r="I746" s="40" t="str">
        <f t="array" ref="I746">IF(C746="","",IF(C746="Tournament",INDEX('Tournament Log'!$J:$J,E746),IF(C746="Guest",IF(INDEX('Guest Log'!$I:$I,Q746)="",1000,INDEX('Guest Log'!$I:$I,Q746)),IFERROR(LOOKUP(2,1/(($F$1:F745=G746)+($G$1:G745=G746)),IF($F$1:F745=G746,$N$1:N745,$O$1:O745)),1000))))</f>
        <v/>
      </c>
      <c r="J746" s="40" t="str">
        <f t="shared" si="56"/>
        <v/>
      </c>
      <c r="K746" s="12" t="str">
        <f>IF(C746="","",IF(C746="Match",IF(INDEX('Match Log'!$D:$D,D746)="Win",1,IF(INDEX('Match Log'!$D:$D,D746)="Draw",0.5,0)),IF(C746="Tournament",INDEX('Tournament Log'!$K:$K,E746),IF(INDEX('Guest Log'!$C:$C,Q746)="Win",1,IF(INDEX('Guest Log'!$C:$C,Q746)="Draw",0.5,0)))))</f>
        <v/>
      </c>
      <c r="L746" s="12" t="str">
        <f>IF(C746="","",IF(C746="Match",32,IF(C746="Tournament",MIN(32*INDEX('Tournament Log'!$D:$D,E746),96),32)))</f>
        <v/>
      </c>
      <c r="M746" s="12" t="str">
        <f t="shared" si="57"/>
        <v/>
      </c>
      <c r="N746" s="12" t="str">
        <f t="shared" si="58"/>
        <v/>
      </c>
      <c r="O746" s="12" t="str">
        <f t="shared" si="59"/>
        <v/>
      </c>
      <c r="P746" s="12" t="str">
        <f>IF(C746="Tournament",INDEX('Tournament Log'!$B:$B,E746),IF(C746="Guest","Guest: "&amp;INDEX('Guest Log'!$H:$H,Q746),""))</f>
        <v/>
      </c>
      <c r="Q746" t="str">
        <f>IFERROR(MATCH($A746,'Guest Log'!$L$4:$L$203,0)+3,"")</f>
        <v/>
      </c>
    </row>
    <row r="747" spans="1:17" ht="15" customHeight="1" x14ac:dyDescent="0.2">
      <c r="A747" s="40">
        <f>746</f>
        <v>746</v>
      </c>
      <c r="B747" s="40" t="str">
        <f>IF(C747="","",IF(C747="Match",INDEX('Match Log'!$A:$A,D747),IF(C747="Tournament",INDEX('Tournament Log'!$A:$A,E747),INDEX('Guest Log'!$A:$A,Q747))))</f>
        <v/>
      </c>
      <c r="C747" s="40" t="str">
        <f t="shared" si="55"/>
        <v/>
      </c>
      <c r="D747" s="41" t="str">
        <f>IFERROR(MATCH($A747,'Match Log'!$K$3:$K$501,0)+2,"")</f>
        <v/>
      </c>
      <c r="E747" s="41" t="str">
        <f>IFERROR(MATCH($A747,'Tournament Log'!$O$4:$O$203,0)+3,"")</f>
        <v/>
      </c>
      <c r="F747" s="40" t="str">
        <f>IF(C747="","",IF(C747="Match",INDEX('Match Log'!$B:$B,D747),IF(C747="Tournament",INDEX('Tournament Log'!$C:$C,E747),INDEX('Guest Log'!$B:$B,Q747))))</f>
        <v/>
      </c>
      <c r="G747" s="40" t="str">
        <f>IF(C747="","",IF(C747="Match",INDEX('Match Log'!$C:$C,D747),IF(C747="Tournament",INDEX('Tournament Log'!$B:$B,E747)&amp;" (Phantom)",INDEX('Guest Log'!$H:$H,Q747)&amp;" (Guest)")))</f>
        <v/>
      </c>
      <c r="H747" s="40" t="str">
        <f t="array" ref="H747">IF(C747="","",IFERROR(LOOKUP(2,1/(($F$1:F746=F747)+($G$1:G746=F747)),IF($F$1:F746=F747,$N$1:N746,$O$1:O746)),1000))</f>
        <v/>
      </c>
      <c r="I747" s="40" t="str">
        <f t="array" ref="I747">IF(C747="","",IF(C747="Tournament",INDEX('Tournament Log'!$J:$J,E747),IF(C747="Guest",IF(INDEX('Guest Log'!$I:$I,Q747)="",1000,INDEX('Guest Log'!$I:$I,Q747)),IFERROR(LOOKUP(2,1/(($F$1:F746=G747)+($G$1:G746=G747)),IF($F$1:F746=G747,$N$1:N746,$O$1:O746)),1000))))</f>
        <v/>
      </c>
      <c r="J747" s="40" t="str">
        <f t="shared" si="56"/>
        <v/>
      </c>
      <c r="K747" s="12" t="str">
        <f>IF(C747="","",IF(C747="Match",IF(INDEX('Match Log'!$D:$D,D747)="Win",1,IF(INDEX('Match Log'!$D:$D,D747)="Draw",0.5,0)),IF(C747="Tournament",INDEX('Tournament Log'!$K:$K,E747),IF(INDEX('Guest Log'!$C:$C,Q747)="Win",1,IF(INDEX('Guest Log'!$C:$C,Q747)="Draw",0.5,0)))))</f>
        <v/>
      </c>
      <c r="L747" s="12" t="str">
        <f>IF(C747="","",IF(C747="Match",32,IF(C747="Tournament",MIN(32*INDEX('Tournament Log'!$D:$D,E747),96),32)))</f>
        <v/>
      </c>
      <c r="M747" s="12" t="str">
        <f t="shared" si="57"/>
        <v/>
      </c>
      <c r="N747" s="12" t="str">
        <f t="shared" si="58"/>
        <v/>
      </c>
      <c r="O747" s="12" t="str">
        <f t="shared" si="59"/>
        <v/>
      </c>
      <c r="P747" s="12" t="str">
        <f>IF(C747="Tournament",INDEX('Tournament Log'!$B:$B,E747),IF(C747="Guest","Guest: "&amp;INDEX('Guest Log'!$H:$H,Q747),""))</f>
        <v/>
      </c>
      <c r="Q747" t="str">
        <f>IFERROR(MATCH($A747,'Guest Log'!$L$4:$L$203,0)+3,"")</f>
        <v/>
      </c>
    </row>
    <row r="748" spans="1:17" ht="15" customHeight="1" x14ac:dyDescent="0.2">
      <c r="A748" s="40">
        <f>747</f>
        <v>747</v>
      </c>
      <c r="B748" s="40" t="str">
        <f>IF(C748="","",IF(C748="Match",INDEX('Match Log'!$A:$A,D748),IF(C748="Tournament",INDEX('Tournament Log'!$A:$A,E748),INDEX('Guest Log'!$A:$A,Q748))))</f>
        <v/>
      </c>
      <c r="C748" s="40" t="str">
        <f t="shared" si="55"/>
        <v/>
      </c>
      <c r="D748" s="41" t="str">
        <f>IFERROR(MATCH($A748,'Match Log'!$K$3:$K$501,0)+2,"")</f>
        <v/>
      </c>
      <c r="E748" s="41" t="str">
        <f>IFERROR(MATCH($A748,'Tournament Log'!$O$4:$O$203,0)+3,"")</f>
        <v/>
      </c>
      <c r="F748" s="40" t="str">
        <f>IF(C748="","",IF(C748="Match",INDEX('Match Log'!$B:$B,D748),IF(C748="Tournament",INDEX('Tournament Log'!$C:$C,E748),INDEX('Guest Log'!$B:$B,Q748))))</f>
        <v/>
      </c>
      <c r="G748" s="40" t="str">
        <f>IF(C748="","",IF(C748="Match",INDEX('Match Log'!$C:$C,D748),IF(C748="Tournament",INDEX('Tournament Log'!$B:$B,E748)&amp;" (Phantom)",INDEX('Guest Log'!$H:$H,Q748)&amp;" (Guest)")))</f>
        <v/>
      </c>
      <c r="H748" s="40" t="str">
        <f t="array" ref="H748">IF(C748="","",IFERROR(LOOKUP(2,1/(($F$1:F747=F748)+($G$1:G747=F748)),IF($F$1:F747=F748,$N$1:N747,$O$1:O747)),1000))</f>
        <v/>
      </c>
      <c r="I748" s="40" t="str">
        <f t="array" ref="I748">IF(C748="","",IF(C748="Tournament",INDEX('Tournament Log'!$J:$J,E748),IF(C748="Guest",IF(INDEX('Guest Log'!$I:$I,Q748)="",1000,INDEX('Guest Log'!$I:$I,Q748)),IFERROR(LOOKUP(2,1/(($F$1:F747=G748)+($G$1:G747=G748)),IF($F$1:F747=G748,$N$1:N747,$O$1:O747)),1000))))</f>
        <v/>
      </c>
      <c r="J748" s="40" t="str">
        <f t="shared" si="56"/>
        <v/>
      </c>
      <c r="K748" s="12" t="str">
        <f>IF(C748="","",IF(C748="Match",IF(INDEX('Match Log'!$D:$D,D748)="Win",1,IF(INDEX('Match Log'!$D:$D,D748)="Draw",0.5,0)),IF(C748="Tournament",INDEX('Tournament Log'!$K:$K,E748),IF(INDEX('Guest Log'!$C:$C,Q748)="Win",1,IF(INDEX('Guest Log'!$C:$C,Q748)="Draw",0.5,0)))))</f>
        <v/>
      </c>
      <c r="L748" s="12" t="str">
        <f>IF(C748="","",IF(C748="Match",32,IF(C748="Tournament",MIN(32*INDEX('Tournament Log'!$D:$D,E748),96),32)))</f>
        <v/>
      </c>
      <c r="M748" s="12" t="str">
        <f t="shared" si="57"/>
        <v/>
      </c>
      <c r="N748" s="12" t="str">
        <f t="shared" si="58"/>
        <v/>
      </c>
      <c r="O748" s="12" t="str">
        <f t="shared" si="59"/>
        <v/>
      </c>
      <c r="P748" s="12" t="str">
        <f>IF(C748="Tournament",INDEX('Tournament Log'!$B:$B,E748),IF(C748="Guest","Guest: "&amp;INDEX('Guest Log'!$H:$H,Q748),""))</f>
        <v/>
      </c>
      <c r="Q748" t="str">
        <f>IFERROR(MATCH($A748,'Guest Log'!$L$4:$L$203,0)+3,"")</f>
        <v/>
      </c>
    </row>
    <row r="749" spans="1:17" ht="15" customHeight="1" x14ac:dyDescent="0.2">
      <c r="A749" s="40">
        <f>748</f>
        <v>748</v>
      </c>
      <c r="B749" s="40" t="str">
        <f>IF(C749="","",IF(C749="Match",INDEX('Match Log'!$A:$A,D749),IF(C749="Tournament",INDEX('Tournament Log'!$A:$A,E749),INDEX('Guest Log'!$A:$A,Q749))))</f>
        <v/>
      </c>
      <c r="C749" s="40" t="str">
        <f t="shared" si="55"/>
        <v/>
      </c>
      <c r="D749" s="41" t="str">
        <f>IFERROR(MATCH($A749,'Match Log'!$K$3:$K$501,0)+2,"")</f>
        <v/>
      </c>
      <c r="E749" s="41" t="str">
        <f>IFERROR(MATCH($A749,'Tournament Log'!$O$4:$O$203,0)+3,"")</f>
        <v/>
      </c>
      <c r="F749" s="40" t="str">
        <f>IF(C749="","",IF(C749="Match",INDEX('Match Log'!$B:$B,D749),IF(C749="Tournament",INDEX('Tournament Log'!$C:$C,E749),INDEX('Guest Log'!$B:$B,Q749))))</f>
        <v/>
      </c>
      <c r="G749" s="40" t="str">
        <f>IF(C749="","",IF(C749="Match",INDEX('Match Log'!$C:$C,D749),IF(C749="Tournament",INDEX('Tournament Log'!$B:$B,E749)&amp;" (Phantom)",INDEX('Guest Log'!$H:$H,Q749)&amp;" (Guest)")))</f>
        <v/>
      </c>
      <c r="H749" s="40" t="str">
        <f t="array" ref="H749">IF(C749="","",IFERROR(LOOKUP(2,1/(($F$1:F748=F749)+($G$1:G748=F749)),IF($F$1:F748=F749,$N$1:N748,$O$1:O748)),1000))</f>
        <v/>
      </c>
      <c r="I749" s="40" t="str">
        <f t="array" ref="I749">IF(C749="","",IF(C749="Tournament",INDEX('Tournament Log'!$J:$J,E749),IF(C749="Guest",IF(INDEX('Guest Log'!$I:$I,Q749)="",1000,INDEX('Guest Log'!$I:$I,Q749)),IFERROR(LOOKUP(2,1/(($F$1:F748=G749)+($G$1:G748=G749)),IF($F$1:F748=G749,$N$1:N748,$O$1:O748)),1000))))</f>
        <v/>
      </c>
      <c r="J749" s="40" t="str">
        <f t="shared" si="56"/>
        <v/>
      </c>
      <c r="K749" s="12" t="str">
        <f>IF(C749="","",IF(C749="Match",IF(INDEX('Match Log'!$D:$D,D749)="Win",1,IF(INDEX('Match Log'!$D:$D,D749)="Draw",0.5,0)),IF(C749="Tournament",INDEX('Tournament Log'!$K:$K,E749),IF(INDEX('Guest Log'!$C:$C,Q749)="Win",1,IF(INDEX('Guest Log'!$C:$C,Q749)="Draw",0.5,0)))))</f>
        <v/>
      </c>
      <c r="L749" s="12" t="str">
        <f>IF(C749="","",IF(C749="Match",32,IF(C749="Tournament",MIN(32*INDEX('Tournament Log'!$D:$D,E749),96),32)))</f>
        <v/>
      </c>
      <c r="M749" s="12" t="str">
        <f t="shared" si="57"/>
        <v/>
      </c>
      <c r="N749" s="12" t="str">
        <f t="shared" si="58"/>
        <v/>
      </c>
      <c r="O749" s="12" t="str">
        <f t="shared" si="59"/>
        <v/>
      </c>
      <c r="P749" s="12" t="str">
        <f>IF(C749="Tournament",INDEX('Tournament Log'!$B:$B,E749),IF(C749="Guest","Guest: "&amp;INDEX('Guest Log'!$H:$H,Q749),""))</f>
        <v/>
      </c>
      <c r="Q749" t="str">
        <f>IFERROR(MATCH($A749,'Guest Log'!$L$4:$L$203,0)+3,"")</f>
        <v/>
      </c>
    </row>
    <row r="750" spans="1:17" ht="15" customHeight="1" x14ac:dyDescent="0.2">
      <c r="A750" s="40">
        <f>749</f>
        <v>749</v>
      </c>
      <c r="B750" s="40" t="str">
        <f>IF(C750="","",IF(C750="Match",INDEX('Match Log'!$A:$A,D750),IF(C750="Tournament",INDEX('Tournament Log'!$A:$A,E750),INDEX('Guest Log'!$A:$A,Q750))))</f>
        <v/>
      </c>
      <c r="C750" s="40" t="str">
        <f t="shared" si="55"/>
        <v/>
      </c>
      <c r="D750" s="41" t="str">
        <f>IFERROR(MATCH($A750,'Match Log'!$K$3:$K$501,0)+2,"")</f>
        <v/>
      </c>
      <c r="E750" s="41" t="str">
        <f>IFERROR(MATCH($A750,'Tournament Log'!$O$4:$O$203,0)+3,"")</f>
        <v/>
      </c>
      <c r="F750" s="40" t="str">
        <f>IF(C750="","",IF(C750="Match",INDEX('Match Log'!$B:$B,D750),IF(C750="Tournament",INDEX('Tournament Log'!$C:$C,E750),INDEX('Guest Log'!$B:$B,Q750))))</f>
        <v/>
      </c>
      <c r="G750" s="40" t="str">
        <f>IF(C750="","",IF(C750="Match",INDEX('Match Log'!$C:$C,D750),IF(C750="Tournament",INDEX('Tournament Log'!$B:$B,E750)&amp;" (Phantom)",INDEX('Guest Log'!$H:$H,Q750)&amp;" (Guest)")))</f>
        <v/>
      </c>
      <c r="H750" s="40" t="str">
        <f t="array" ref="H750">IF(C750="","",IFERROR(LOOKUP(2,1/(($F$1:F749=F750)+($G$1:G749=F750)),IF($F$1:F749=F750,$N$1:N749,$O$1:O749)),1000))</f>
        <v/>
      </c>
      <c r="I750" s="40" t="str">
        <f t="array" ref="I750">IF(C750="","",IF(C750="Tournament",INDEX('Tournament Log'!$J:$J,E750),IF(C750="Guest",IF(INDEX('Guest Log'!$I:$I,Q750)="",1000,INDEX('Guest Log'!$I:$I,Q750)),IFERROR(LOOKUP(2,1/(($F$1:F749=G750)+($G$1:G749=G750)),IF($F$1:F749=G750,$N$1:N749,$O$1:O749)),1000))))</f>
        <v/>
      </c>
      <c r="J750" s="40" t="str">
        <f t="shared" si="56"/>
        <v/>
      </c>
      <c r="K750" s="12" t="str">
        <f>IF(C750="","",IF(C750="Match",IF(INDEX('Match Log'!$D:$D,D750)="Win",1,IF(INDEX('Match Log'!$D:$D,D750)="Draw",0.5,0)),IF(C750="Tournament",INDEX('Tournament Log'!$K:$K,E750),IF(INDEX('Guest Log'!$C:$C,Q750)="Win",1,IF(INDEX('Guest Log'!$C:$C,Q750)="Draw",0.5,0)))))</f>
        <v/>
      </c>
      <c r="L750" s="12" t="str">
        <f>IF(C750="","",IF(C750="Match",32,IF(C750="Tournament",MIN(32*INDEX('Tournament Log'!$D:$D,E750),96),32)))</f>
        <v/>
      </c>
      <c r="M750" s="12" t="str">
        <f t="shared" si="57"/>
        <v/>
      </c>
      <c r="N750" s="12" t="str">
        <f t="shared" si="58"/>
        <v/>
      </c>
      <c r="O750" s="12" t="str">
        <f t="shared" si="59"/>
        <v/>
      </c>
      <c r="P750" s="12" t="str">
        <f>IF(C750="Tournament",INDEX('Tournament Log'!$B:$B,E750),IF(C750="Guest","Guest: "&amp;INDEX('Guest Log'!$H:$H,Q750),""))</f>
        <v/>
      </c>
      <c r="Q750" t="str">
        <f>IFERROR(MATCH($A750,'Guest Log'!$L$4:$L$203,0)+3,"")</f>
        <v/>
      </c>
    </row>
    <row r="751" spans="1:17" ht="15" customHeight="1" x14ac:dyDescent="0.2">
      <c r="A751" s="40">
        <f>750</f>
        <v>750</v>
      </c>
      <c r="B751" s="40" t="str">
        <f>IF(C751="","",IF(C751="Match",INDEX('Match Log'!$A:$A,D751),IF(C751="Tournament",INDEX('Tournament Log'!$A:$A,E751),INDEX('Guest Log'!$A:$A,Q751))))</f>
        <v/>
      </c>
      <c r="C751" s="40" t="str">
        <f t="shared" si="55"/>
        <v/>
      </c>
      <c r="D751" s="41" t="str">
        <f>IFERROR(MATCH($A751,'Match Log'!$K$3:$K$501,0)+2,"")</f>
        <v/>
      </c>
      <c r="E751" s="41" t="str">
        <f>IFERROR(MATCH($A751,'Tournament Log'!$O$4:$O$203,0)+3,"")</f>
        <v/>
      </c>
      <c r="F751" s="40" t="str">
        <f>IF(C751="","",IF(C751="Match",INDEX('Match Log'!$B:$B,D751),IF(C751="Tournament",INDEX('Tournament Log'!$C:$C,E751),INDEX('Guest Log'!$B:$B,Q751))))</f>
        <v/>
      </c>
      <c r="G751" s="40" t="str">
        <f>IF(C751="","",IF(C751="Match",INDEX('Match Log'!$C:$C,D751),IF(C751="Tournament",INDEX('Tournament Log'!$B:$B,E751)&amp;" (Phantom)",INDEX('Guest Log'!$H:$H,Q751)&amp;" (Guest)")))</f>
        <v/>
      </c>
      <c r="H751" s="40" t="str">
        <f t="array" ref="H751">IF(C751="","",IFERROR(LOOKUP(2,1/(($F$1:F750=F751)+($G$1:G750=F751)),IF($F$1:F750=F751,$N$1:N750,$O$1:O750)),1000))</f>
        <v/>
      </c>
      <c r="I751" s="40" t="str">
        <f t="array" ref="I751">IF(C751="","",IF(C751="Tournament",INDEX('Tournament Log'!$J:$J,E751),IF(C751="Guest",IF(INDEX('Guest Log'!$I:$I,Q751)="",1000,INDEX('Guest Log'!$I:$I,Q751)),IFERROR(LOOKUP(2,1/(($F$1:F750=G751)+($G$1:G750=G751)),IF($F$1:F750=G751,$N$1:N750,$O$1:O750)),1000))))</f>
        <v/>
      </c>
      <c r="J751" s="40" t="str">
        <f t="shared" si="56"/>
        <v/>
      </c>
      <c r="K751" s="12" t="str">
        <f>IF(C751="","",IF(C751="Match",IF(INDEX('Match Log'!$D:$D,D751)="Win",1,IF(INDEX('Match Log'!$D:$D,D751)="Draw",0.5,0)),IF(C751="Tournament",INDEX('Tournament Log'!$K:$K,E751),IF(INDEX('Guest Log'!$C:$C,Q751)="Win",1,IF(INDEX('Guest Log'!$C:$C,Q751)="Draw",0.5,0)))))</f>
        <v/>
      </c>
      <c r="L751" s="12" t="str">
        <f>IF(C751="","",IF(C751="Match",32,IF(C751="Tournament",MIN(32*INDEX('Tournament Log'!$D:$D,E751),96),32)))</f>
        <v/>
      </c>
      <c r="M751" s="12" t="str">
        <f t="shared" si="57"/>
        <v/>
      </c>
      <c r="N751" s="12" t="str">
        <f t="shared" si="58"/>
        <v/>
      </c>
      <c r="O751" s="12" t="str">
        <f t="shared" si="59"/>
        <v/>
      </c>
      <c r="P751" s="12" t="str">
        <f>IF(C751="Tournament",INDEX('Tournament Log'!$B:$B,E751),IF(C751="Guest","Guest: "&amp;INDEX('Guest Log'!$H:$H,Q751),""))</f>
        <v/>
      </c>
      <c r="Q751" t="str">
        <f>IFERROR(MATCH($A751,'Guest Log'!$L$4:$L$203,0)+3,"")</f>
        <v/>
      </c>
    </row>
    <row r="752" spans="1:17" ht="15" customHeight="1" x14ac:dyDescent="0.2">
      <c r="A752" s="40">
        <f>751</f>
        <v>751</v>
      </c>
      <c r="B752" s="40" t="str">
        <f>IF(C752="","",IF(C752="Match",INDEX('Match Log'!$A:$A,D752),IF(C752="Tournament",INDEX('Tournament Log'!$A:$A,E752),INDEX('Guest Log'!$A:$A,Q752))))</f>
        <v/>
      </c>
      <c r="C752" s="40" t="str">
        <f t="shared" si="55"/>
        <v/>
      </c>
      <c r="D752" s="41" t="str">
        <f>IFERROR(MATCH($A752,'Match Log'!$K$3:$K$501,0)+2,"")</f>
        <v/>
      </c>
      <c r="E752" s="41" t="str">
        <f>IFERROR(MATCH($A752,'Tournament Log'!$O$4:$O$203,0)+3,"")</f>
        <v/>
      </c>
      <c r="F752" s="40" t="str">
        <f>IF(C752="","",IF(C752="Match",INDEX('Match Log'!$B:$B,D752),IF(C752="Tournament",INDEX('Tournament Log'!$C:$C,E752),INDEX('Guest Log'!$B:$B,Q752))))</f>
        <v/>
      </c>
      <c r="G752" s="40" t="str">
        <f>IF(C752="","",IF(C752="Match",INDEX('Match Log'!$C:$C,D752),IF(C752="Tournament",INDEX('Tournament Log'!$B:$B,E752)&amp;" (Phantom)",INDEX('Guest Log'!$H:$H,Q752)&amp;" (Guest)")))</f>
        <v/>
      </c>
      <c r="H752" s="40" t="str">
        <f t="array" ref="H752">IF(C752="","",IFERROR(LOOKUP(2,1/(($F$1:F751=F752)+($G$1:G751=F752)),IF($F$1:F751=F752,$N$1:N751,$O$1:O751)),1000))</f>
        <v/>
      </c>
      <c r="I752" s="40" t="str">
        <f t="array" ref="I752">IF(C752="","",IF(C752="Tournament",INDEX('Tournament Log'!$J:$J,E752),IF(C752="Guest",IF(INDEX('Guest Log'!$I:$I,Q752)="",1000,INDEX('Guest Log'!$I:$I,Q752)),IFERROR(LOOKUP(2,1/(($F$1:F751=G752)+($G$1:G751=G752)),IF($F$1:F751=G752,$N$1:N751,$O$1:O751)),1000))))</f>
        <v/>
      </c>
      <c r="J752" s="40" t="str">
        <f t="shared" si="56"/>
        <v/>
      </c>
      <c r="K752" s="12" t="str">
        <f>IF(C752="","",IF(C752="Match",IF(INDEX('Match Log'!$D:$D,D752)="Win",1,IF(INDEX('Match Log'!$D:$D,D752)="Draw",0.5,0)),IF(C752="Tournament",INDEX('Tournament Log'!$K:$K,E752),IF(INDEX('Guest Log'!$C:$C,Q752)="Win",1,IF(INDEX('Guest Log'!$C:$C,Q752)="Draw",0.5,0)))))</f>
        <v/>
      </c>
      <c r="L752" s="12" t="str">
        <f>IF(C752="","",IF(C752="Match",32,IF(C752="Tournament",MIN(32*INDEX('Tournament Log'!$D:$D,E752),96),32)))</f>
        <v/>
      </c>
      <c r="M752" s="12" t="str">
        <f t="shared" si="57"/>
        <v/>
      </c>
      <c r="N752" s="12" t="str">
        <f t="shared" si="58"/>
        <v/>
      </c>
      <c r="O752" s="12" t="str">
        <f t="shared" si="59"/>
        <v/>
      </c>
      <c r="P752" s="12" t="str">
        <f>IF(C752="Tournament",INDEX('Tournament Log'!$B:$B,E752),IF(C752="Guest","Guest: "&amp;INDEX('Guest Log'!$H:$H,Q752),""))</f>
        <v/>
      </c>
      <c r="Q752" t="str">
        <f>IFERROR(MATCH($A752,'Guest Log'!$L$4:$L$203,0)+3,"")</f>
        <v/>
      </c>
    </row>
    <row r="753" spans="1:17" ht="15" customHeight="1" x14ac:dyDescent="0.2">
      <c r="A753" s="40">
        <f>752</f>
        <v>752</v>
      </c>
      <c r="B753" s="40" t="str">
        <f>IF(C753="","",IF(C753="Match",INDEX('Match Log'!$A:$A,D753),IF(C753="Tournament",INDEX('Tournament Log'!$A:$A,E753),INDEX('Guest Log'!$A:$A,Q753))))</f>
        <v/>
      </c>
      <c r="C753" s="40" t="str">
        <f t="shared" si="55"/>
        <v/>
      </c>
      <c r="D753" s="41" t="str">
        <f>IFERROR(MATCH($A753,'Match Log'!$K$3:$K$501,0)+2,"")</f>
        <v/>
      </c>
      <c r="E753" s="41" t="str">
        <f>IFERROR(MATCH($A753,'Tournament Log'!$O$4:$O$203,0)+3,"")</f>
        <v/>
      </c>
      <c r="F753" s="40" t="str">
        <f>IF(C753="","",IF(C753="Match",INDEX('Match Log'!$B:$B,D753),IF(C753="Tournament",INDEX('Tournament Log'!$C:$C,E753),INDEX('Guest Log'!$B:$B,Q753))))</f>
        <v/>
      </c>
      <c r="G753" s="40" t="str">
        <f>IF(C753="","",IF(C753="Match",INDEX('Match Log'!$C:$C,D753),IF(C753="Tournament",INDEX('Tournament Log'!$B:$B,E753)&amp;" (Phantom)",INDEX('Guest Log'!$H:$H,Q753)&amp;" (Guest)")))</f>
        <v/>
      </c>
      <c r="H753" s="40" t="str">
        <f t="array" ref="H753">IF(C753="","",IFERROR(LOOKUP(2,1/(($F$1:F752=F753)+($G$1:G752=F753)),IF($F$1:F752=F753,$N$1:N752,$O$1:O752)),1000))</f>
        <v/>
      </c>
      <c r="I753" s="40" t="str">
        <f t="array" ref="I753">IF(C753="","",IF(C753="Tournament",INDEX('Tournament Log'!$J:$J,E753),IF(C753="Guest",IF(INDEX('Guest Log'!$I:$I,Q753)="",1000,INDEX('Guest Log'!$I:$I,Q753)),IFERROR(LOOKUP(2,1/(($F$1:F752=G753)+($G$1:G752=G753)),IF($F$1:F752=G753,$N$1:N752,$O$1:O752)),1000))))</f>
        <v/>
      </c>
      <c r="J753" s="40" t="str">
        <f t="shared" si="56"/>
        <v/>
      </c>
      <c r="K753" s="12" t="str">
        <f>IF(C753="","",IF(C753="Match",IF(INDEX('Match Log'!$D:$D,D753)="Win",1,IF(INDEX('Match Log'!$D:$D,D753)="Draw",0.5,0)),IF(C753="Tournament",INDEX('Tournament Log'!$K:$K,E753),IF(INDEX('Guest Log'!$C:$C,Q753)="Win",1,IF(INDEX('Guest Log'!$C:$C,Q753)="Draw",0.5,0)))))</f>
        <v/>
      </c>
      <c r="L753" s="12" t="str">
        <f>IF(C753="","",IF(C753="Match",32,IF(C753="Tournament",MIN(32*INDEX('Tournament Log'!$D:$D,E753),96),32)))</f>
        <v/>
      </c>
      <c r="M753" s="12" t="str">
        <f t="shared" si="57"/>
        <v/>
      </c>
      <c r="N753" s="12" t="str">
        <f t="shared" si="58"/>
        <v/>
      </c>
      <c r="O753" s="12" t="str">
        <f t="shared" si="59"/>
        <v/>
      </c>
      <c r="P753" s="12" t="str">
        <f>IF(C753="Tournament",INDEX('Tournament Log'!$B:$B,E753),IF(C753="Guest","Guest: "&amp;INDEX('Guest Log'!$H:$H,Q753),""))</f>
        <v/>
      </c>
      <c r="Q753" t="str">
        <f>IFERROR(MATCH($A753,'Guest Log'!$L$4:$L$203,0)+3,"")</f>
        <v/>
      </c>
    </row>
    <row r="754" spans="1:17" ht="15" customHeight="1" x14ac:dyDescent="0.2">
      <c r="A754" s="40">
        <f>753</f>
        <v>753</v>
      </c>
      <c r="B754" s="40" t="str">
        <f>IF(C754="","",IF(C754="Match",INDEX('Match Log'!$A:$A,D754),IF(C754="Tournament",INDEX('Tournament Log'!$A:$A,E754),INDEX('Guest Log'!$A:$A,Q754))))</f>
        <v/>
      </c>
      <c r="C754" s="40" t="str">
        <f t="shared" si="55"/>
        <v/>
      </c>
      <c r="D754" s="41" t="str">
        <f>IFERROR(MATCH($A754,'Match Log'!$K$3:$K$501,0)+2,"")</f>
        <v/>
      </c>
      <c r="E754" s="41" t="str">
        <f>IFERROR(MATCH($A754,'Tournament Log'!$O$4:$O$203,0)+3,"")</f>
        <v/>
      </c>
      <c r="F754" s="40" t="str">
        <f>IF(C754="","",IF(C754="Match",INDEX('Match Log'!$B:$B,D754),IF(C754="Tournament",INDEX('Tournament Log'!$C:$C,E754),INDEX('Guest Log'!$B:$B,Q754))))</f>
        <v/>
      </c>
      <c r="G754" s="40" t="str">
        <f>IF(C754="","",IF(C754="Match",INDEX('Match Log'!$C:$C,D754),IF(C754="Tournament",INDEX('Tournament Log'!$B:$B,E754)&amp;" (Phantom)",INDEX('Guest Log'!$H:$H,Q754)&amp;" (Guest)")))</f>
        <v/>
      </c>
      <c r="H754" s="40" t="str">
        <f t="array" ref="H754">IF(C754="","",IFERROR(LOOKUP(2,1/(($F$1:F753=F754)+($G$1:G753=F754)),IF($F$1:F753=F754,$N$1:N753,$O$1:O753)),1000))</f>
        <v/>
      </c>
      <c r="I754" s="40" t="str">
        <f t="array" ref="I754">IF(C754="","",IF(C754="Tournament",INDEX('Tournament Log'!$J:$J,E754),IF(C754="Guest",IF(INDEX('Guest Log'!$I:$I,Q754)="",1000,INDEX('Guest Log'!$I:$I,Q754)),IFERROR(LOOKUP(2,1/(($F$1:F753=G754)+($G$1:G753=G754)),IF($F$1:F753=G754,$N$1:N753,$O$1:O753)),1000))))</f>
        <v/>
      </c>
      <c r="J754" s="40" t="str">
        <f t="shared" si="56"/>
        <v/>
      </c>
      <c r="K754" s="12" t="str">
        <f>IF(C754="","",IF(C754="Match",IF(INDEX('Match Log'!$D:$D,D754)="Win",1,IF(INDEX('Match Log'!$D:$D,D754)="Draw",0.5,0)),IF(C754="Tournament",INDEX('Tournament Log'!$K:$K,E754),IF(INDEX('Guest Log'!$C:$C,Q754)="Win",1,IF(INDEX('Guest Log'!$C:$C,Q754)="Draw",0.5,0)))))</f>
        <v/>
      </c>
      <c r="L754" s="12" t="str">
        <f>IF(C754="","",IF(C754="Match",32,IF(C754="Tournament",MIN(32*INDEX('Tournament Log'!$D:$D,E754),96),32)))</f>
        <v/>
      </c>
      <c r="M754" s="12" t="str">
        <f t="shared" si="57"/>
        <v/>
      </c>
      <c r="N754" s="12" t="str">
        <f t="shared" si="58"/>
        <v/>
      </c>
      <c r="O754" s="12" t="str">
        <f t="shared" si="59"/>
        <v/>
      </c>
      <c r="P754" s="12" t="str">
        <f>IF(C754="Tournament",INDEX('Tournament Log'!$B:$B,E754),IF(C754="Guest","Guest: "&amp;INDEX('Guest Log'!$H:$H,Q754),""))</f>
        <v/>
      </c>
      <c r="Q754" t="str">
        <f>IFERROR(MATCH($A754,'Guest Log'!$L$4:$L$203,0)+3,"")</f>
        <v/>
      </c>
    </row>
    <row r="755" spans="1:17" ht="15" customHeight="1" x14ac:dyDescent="0.2">
      <c r="A755" s="40">
        <f>754</f>
        <v>754</v>
      </c>
      <c r="B755" s="40" t="str">
        <f>IF(C755="","",IF(C755="Match",INDEX('Match Log'!$A:$A,D755),IF(C755="Tournament",INDEX('Tournament Log'!$A:$A,E755),INDEX('Guest Log'!$A:$A,Q755))))</f>
        <v/>
      </c>
      <c r="C755" s="40" t="str">
        <f t="shared" si="55"/>
        <v/>
      </c>
      <c r="D755" s="41" t="str">
        <f>IFERROR(MATCH($A755,'Match Log'!$K$3:$K$501,0)+2,"")</f>
        <v/>
      </c>
      <c r="E755" s="41" t="str">
        <f>IFERROR(MATCH($A755,'Tournament Log'!$O$4:$O$203,0)+3,"")</f>
        <v/>
      </c>
      <c r="F755" s="40" t="str">
        <f>IF(C755="","",IF(C755="Match",INDEX('Match Log'!$B:$B,D755),IF(C755="Tournament",INDEX('Tournament Log'!$C:$C,E755),INDEX('Guest Log'!$B:$B,Q755))))</f>
        <v/>
      </c>
      <c r="G755" s="40" t="str">
        <f>IF(C755="","",IF(C755="Match",INDEX('Match Log'!$C:$C,D755),IF(C755="Tournament",INDEX('Tournament Log'!$B:$B,E755)&amp;" (Phantom)",INDEX('Guest Log'!$H:$H,Q755)&amp;" (Guest)")))</f>
        <v/>
      </c>
      <c r="H755" s="40" t="str">
        <f t="array" ref="H755">IF(C755="","",IFERROR(LOOKUP(2,1/(($F$1:F754=F755)+($G$1:G754=F755)),IF($F$1:F754=F755,$N$1:N754,$O$1:O754)),1000))</f>
        <v/>
      </c>
      <c r="I755" s="40" t="str">
        <f t="array" ref="I755">IF(C755="","",IF(C755="Tournament",INDEX('Tournament Log'!$J:$J,E755),IF(C755="Guest",IF(INDEX('Guest Log'!$I:$I,Q755)="",1000,INDEX('Guest Log'!$I:$I,Q755)),IFERROR(LOOKUP(2,1/(($F$1:F754=G755)+($G$1:G754=G755)),IF($F$1:F754=G755,$N$1:N754,$O$1:O754)),1000))))</f>
        <v/>
      </c>
      <c r="J755" s="40" t="str">
        <f t="shared" si="56"/>
        <v/>
      </c>
      <c r="K755" s="12" t="str">
        <f>IF(C755="","",IF(C755="Match",IF(INDEX('Match Log'!$D:$D,D755)="Win",1,IF(INDEX('Match Log'!$D:$D,D755)="Draw",0.5,0)),IF(C755="Tournament",INDEX('Tournament Log'!$K:$K,E755),IF(INDEX('Guest Log'!$C:$C,Q755)="Win",1,IF(INDEX('Guest Log'!$C:$C,Q755)="Draw",0.5,0)))))</f>
        <v/>
      </c>
      <c r="L755" s="12" t="str">
        <f>IF(C755="","",IF(C755="Match",32,IF(C755="Tournament",MIN(32*INDEX('Tournament Log'!$D:$D,E755),96),32)))</f>
        <v/>
      </c>
      <c r="M755" s="12" t="str">
        <f t="shared" si="57"/>
        <v/>
      </c>
      <c r="N755" s="12" t="str">
        <f t="shared" si="58"/>
        <v/>
      </c>
      <c r="O755" s="12" t="str">
        <f t="shared" si="59"/>
        <v/>
      </c>
      <c r="P755" s="12" t="str">
        <f>IF(C755="Tournament",INDEX('Tournament Log'!$B:$B,E755),IF(C755="Guest","Guest: "&amp;INDEX('Guest Log'!$H:$H,Q755),""))</f>
        <v/>
      </c>
      <c r="Q755" t="str">
        <f>IFERROR(MATCH($A755,'Guest Log'!$L$4:$L$203,0)+3,"")</f>
        <v/>
      </c>
    </row>
    <row r="756" spans="1:17" ht="15" customHeight="1" x14ac:dyDescent="0.2">
      <c r="A756" s="40">
        <f>755</f>
        <v>755</v>
      </c>
      <c r="B756" s="40" t="str">
        <f>IF(C756="","",IF(C756="Match",INDEX('Match Log'!$A:$A,D756),IF(C756="Tournament",INDEX('Tournament Log'!$A:$A,E756),INDEX('Guest Log'!$A:$A,Q756))))</f>
        <v/>
      </c>
      <c r="C756" s="40" t="str">
        <f t="shared" si="55"/>
        <v/>
      </c>
      <c r="D756" s="41" t="str">
        <f>IFERROR(MATCH($A756,'Match Log'!$K$3:$K$501,0)+2,"")</f>
        <v/>
      </c>
      <c r="E756" s="41" t="str">
        <f>IFERROR(MATCH($A756,'Tournament Log'!$O$4:$O$203,0)+3,"")</f>
        <v/>
      </c>
      <c r="F756" s="40" t="str">
        <f>IF(C756="","",IF(C756="Match",INDEX('Match Log'!$B:$B,D756),IF(C756="Tournament",INDEX('Tournament Log'!$C:$C,E756),INDEX('Guest Log'!$B:$B,Q756))))</f>
        <v/>
      </c>
      <c r="G756" s="40" t="str">
        <f>IF(C756="","",IF(C756="Match",INDEX('Match Log'!$C:$C,D756),IF(C756="Tournament",INDEX('Tournament Log'!$B:$B,E756)&amp;" (Phantom)",INDEX('Guest Log'!$H:$H,Q756)&amp;" (Guest)")))</f>
        <v/>
      </c>
      <c r="H756" s="40" t="str">
        <f t="array" ref="H756">IF(C756="","",IFERROR(LOOKUP(2,1/(($F$1:F755=F756)+($G$1:G755=F756)),IF($F$1:F755=F756,$N$1:N755,$O$1:O755)),1000))</f>
        <v/>
      </c>
      <c r="I756" s="40" t="str">
        <f t="array" ref="I756">IF(C756="","",IF(C756="Tournament",INDEX('Tournament Log'!$J:$J,E756),IF(C756="Guest",IF(INDEX('Guest Log'!$I:$I,Q756)="",1000,INDEX('Guest Log'!$I:$I,Q756)),IFERROR(LOOKUP(2,1/(($F$1:F755=G756)+($G$1:G755=G756)),IF($F$1:F755=G756,$N$1:N755,$O$1:O755)),1000))))</f>
        <v/>
      </c>
      <c r="J756" s="40" t="str">
        <f t="shared" si="56"/>
        <v/>
      </c>
      <c r="K756" s="12" t="str">
        <f>IF(C756="","",IF(C756="Match",IF(INDEX('Match Log'!$D:$D,D756)="Win",1,IF(INDEX('Match Log'!$D:$D,D756)="Draw",0.5,0)),IF(C756="Tournament",INDEX('Tournament Log'!$K:$K,E756),IF(INDEX('Guest Log'!$C:$C,Q756)="Win",1,IF(INDEX('Guest Log'!$C:$C,Q756)="Draw",0.5,0)))))</f>
        <v/>
      </c>
      <c r="L756" s="12" t="str">
        <f>IF(C756="","",IF(C756="Match",32,IF(C756="Tournament",MIN(32*INDEX('Tournament Log'!$D:$D,E756),96),32)))</f>
        <v/>
      </c>
      <c r="M756" s="12" t="str">
        <f t="shared" si="57"/>
        <v/>
      </c>
      <c r="N756" s="12" t="str">
        <f t="shared" si="58"/>
        <v/>
      </c>
      <c r="O756" s="12" t="str">
        <f t="shared" si="59"/>
        <v/>
      </c>
      <c r="P756" s="12" t="str">
        <f>IF(C756="Tournament",INDEX('Tournament Log'!$B:$B,E756),IF(C756="Guest","Guest: "&amp;INDEX('Guest Log'!$H:$H,Q756),""))</f>
        <v/>
      </c>
      <c r="Q756" t="str">
        <f>IFERROR(MATCH($A756,'Guest Log'!$L$4:$L$203,0)+3,"")</f>
        <v/>
      </c>
    </row>
    <row r="757" spans="1:17" ht="15" customHeight="1" x14ac:dyDescent="0.2">
      <c r="A757" s="40">
        <f>756</f>
        <v>756</v>
      </c>
      <c r="B757" s="40" t="str">
        <f>IF(C757="","",IF(C757="Match",INDEX('Match Log'!$A:$A,D757),IF(C757="Tournament",INDEX('Tournament Log'!$A:$A,E757),INDEX('Guest Log'!$A:$A,Q757))))</f>
        <v/>
      </c>
      <c r="C757" s="40" t="str">
        <f t="shared" si="55"/>
        <v/>
      </c>
      <c r="D757" s="41" t="str">
        <f>IFERROR(MATCH($A757,'Match Log'!$K$3:$K$501,0)+2,"")</f>
        <v/>
      </c>
      <c r="E757" s="41" t="str">
        <f>IFERROR(MATCH($A757,'Tournament Log'!$O$4:$O$203,0)+3,"")</f>
        <v/>
      </c>
      <c r="F757" s="40" t="str">
        <f>IF(C757="","",IF(C757="Match",INDEX('Match Log'!$B:$B,D757),IF(C757="Tournament",INDEX('Tournament Log'!$C:$C,E757),INDEX('Guest Log'!$B:$B,Q757))))</f>
        <v/>
      </c>
      <c r="G757" s="40" t="str">
        <f>IF(C757="","",IF(C757="Match",INDEX('Match Log'!$C:$C,D757),IF(C757="Tournament",INDEX('Tournament Log'!$B:$B,E757)&amp;" (Phantom)",INDEX('Guest Log'!$H:$H,Q757)&amp;" (Guest)")))</f>
        <v/>
      </c>
      <c r="H757" s="40" t="str">
        <f t="array" ref="H757">IF(C757="","",IFERROR(LOOKUP(2,1/(($F$1:F756=F757)+($G$1:G756=F757)),IF($F$1:F756=F757,$N$1:N756,$O$1:O756)),1000))</f>
        <v/>
      </c>
      <c r="I757" s="40" t="str">
        <f t="array" ref="I757">IF(C757="","",IF(C757="Tournament",INDEX('Tournament Log'!$J:$J,E757),IF(C757="Guest",IF(INDEX('Guest Log'!$I:$I,Q757)="",1000,INDEX('Guest Log'!$I:$I,Q757)),IFERROR(LOOKUP(2,1/(($F$1:F756=G757)+($G$1:G756=G757)),IF($F$1:F756=G757,$N$1:N756,$O$1:O756)),1000))))</f>
        <v/>
      </c>
      <c r="J757" s="40" t="str">
        <f t="shared" si="56"/>
        <v/>
      </c>
      <c r="K757" s="12" t="str">
        <f>IF(C757="","",IF(C757="Match",IF(INDEX('Match Log'!$D:$D,D757)="Win",1,IF(INDEX('Match Log'!$D:$D,D757)="Draw",0.5,0)),IF(C757="Tournament",INDEX('Tournament Log'!$K:$K,E757),IF(INDEX('Guest Log'!$C:$C,Q757)="Win",1,IF(INDEX('Guest Log'!$C:$C,Q757)="Draw",0.5,0)))))</f>
        <v/>
      </c>
      <c r="L757" s="12" t="str">
        <f>IF(C757="","",IF(C757="Match",32,IF(C757="Tournament",MIN(32*INDEX('Tournament Log'!$D:$D,E757),96),32)))</f>
        <v/>
      </c>
      <c r="M757" s="12" t="str">
        <f t="shared" si="57"/>
        <v/>
      </c>
      <c r="N757" s="12" t="str">
        <f t="shared" si="58"/>
        <v/>
      </c>
      <c r="O757" s="12" t="str">
        <f t="shared" si="59"/>
        <v/>
      </c>
      <c r="P757" s="12" t="str">
        <f>IF(C757="Tournament",INDEX('Tournament Log'!$B:$B,E757),IF(C757="Guest","Guest: "&amp;INDEX('Guest Log'!$H:$H,Q757),""))</f>
        <v/>
      </c>
      <c r="Q757" t="str">
        <f>IFERROR(MATCH($A757,'Guest Log'!$L$4:$L$203,0)+3,"")</f>
        <v/>
      </c>
    </row>
    <row r="758" spans="1:17" ht="15" customHeight="1" x14ac:dyDescent="0.2">
      <c r="A758" s="40">
        <f>757</f>
        <v>757</v>
      </c>
      <c r="B758" s="40" t="str">
        <f>IF(C758="","",IF(C758="Match",INDEX('Match Log'!$A:$A,D758),IF(C758="Tournament",INDEX('Tournament Log'!$A:$A,E758),INDEX('Guest Log'!$A:$A,Q758))))</f>
        <v/>
      </c>
      <c r="C758" s="40" t="str">
        <f t="shared" si="55"/>
        <v/>
      </c>
      <c r="D758" s="41" t="str">
        <f>IFERROR(MATCH($A758,'Match Log'!$K$3:$K$501,0)+2,"")</f>
        <v/>
      </c>
      <c r="E758" s="41" t="str">
        <f>IFERROR(MATCH($A758,'Tournament Log'!$O$4:$O$203,0)+3,"")</f>
        <v/>
      </c>
      <c r="F758" s="40" t="str">
        <f>IF(C758="","",IF(C758="Match",INDEX('Match Log'!$B:$B,D758),IF(C758="Tournament",INDEX('Tournament Log'!$C:$C,E758),INDEX('Guest Log'!$B:$B,Q758))))</f>
        <v/>
      </c>
      <c r="G758" s="40" t="str">
        <f>IF(C758="","",IF(C758="Match",INDEX('Match Log'!$C:$C,D758),IF(C758="Tournament",INDEX('Tournament Log'!$B:$B,E758)&amp;" (Phantom)",INDEX('Guest Log'!$H:$H,Q758)&amp;" (Guest)")))</f>
        <v/>
      </c>
      <c r="H758" s="40" t="str">
        <f t="array" ref="H758">IF(C758="","",IFERROR(LOOKUP(2,1/(($F$1:F757=F758)+($G$1:G757=F758)),IF($F$1:F757=F758,$N$1:N757,$O$1:O757)),1000))</f>
        <v/>
      </c>
      <c r="I758" s="40" t="str">
        <f t="array" ref="I758">IF(C758="","",IF(C758="Tournament",INDEX('Tournament Log'!$J:$J,E758),IF(C758="Guest",IF(INDEX('Guest Log'!$I:$I,Q758)="",1000,INDEX('Guest Log'!$I:$I,Q758)),IFERROR(LOOKUP(2,1/(($F$1:F757=G758)+($G$1:G757=G758)),IF($F$1:F757=G758,$N$1:N757,$O$1:O757)),1000))))</f>
        <v/>
      </c>
      <c r="J758" s="40" t="str">
        <f t="shared" si="56"/>
        <v/>
      </c>
      <c r="K758" s="12" t="str">
        <f>IF(C758="","",IF(C758="Match",IF(INDEX('Match Log'!$D:$D,D758)="Win",1,IF(INDEX('Match Log'!$D:$D,D758)="Draw",0.5,0)),IF(C758="Tournament",INDEX('Tournament Log'!$K:$K,E758),IF(INDEX('Guest Log'!$C:$C,Q758)="Win",1,IF(INDEX('Guest Log'!$C:$C,Q758)="Draw",0.5,0)))))</f>
        <v/>
      </c>
      <c r="L758" s="12" t="str">
        <f>IF(C758="","",IF(C758="Match",32,IF(C758="Tournament",MIN(32*INDEX('Tournament Log'!$D:$D,E758),96),32)))</f>
        <v/>
      </c>
      <c r="M758" s="12" t="str">
        <f t="shared" si="57"/>
        <v/>
      </c>
      <c r="N758" s="12" t="str">
        <f t="shared" si="58"/>
        <v/>
      </c>
      <c r="O758" s="12" t="str">
        <f t="shared" si="59"/>
        <v/>
      </c>
      <c r="P758" s="12" t="str">
        <f>IF(C758="Tournament",INDEX('Tournament Log'!$B:$B,E758),IF(C758="Guest","Guest: "&amp;INDEX('Guest Log'!$H:$H,Q758),""))</f>
        <v/>
      </c>
      <c r="Q758" t="str">
        <f>IFERROR(MATCH($A758,'Guest Log'!$L$4:$L$203,0)+3,"")</f>
        <v/>
      </c>
    </row>
    <row r="759" spans="1:17" ht="15" customHeight="1" x14ac:dyDescent="0.2">
      <c r="A759" s="40">
        <f>758</f>
        <v>758</v>
      </c>
      <c r="B759" s="40" t="str">
        <f>IF(C759="","",IF(C759="Match",INDEX('Match Log'!$A:$A,D759),IF(C759="Tournament",INDEX('Tournament Log'!$A:$A,E759),INDEX('Guest Log'!$A:$A,Q759))))</f>
        <v/>
      </c>
      <c r="C759" s="40" t="str">
        <f t="shared" si="55"/>
        <v/>
      </c>
      <c r="D759" s="41" t="str">
        <f>IFERROR(MATCH($A759,'Match Log'!$K$3:$K$501,0)+2,"")</f>
        <v/>
      </c>
      <c r="E759" s="41" t="str">
        <f>IFERROR(MATCH($A759,'Tournament Log'!$O$4:$O$203,0)+3,"")</f>
        <v/>
      </c>
      <c r="F759" s="40" t="str">
        <f>IF(C759="","",IF(C759="Match",INDEX('Match Log'!$B:$B,D759),IF(C759="Tournament",INDEX('Tournament Log'!$C:$C,E759),INDEX('Guest Log'!$B:$B,Q759))))</f>
        <v/>
      </c>
      <c r="G759" s="40" t="str">
        <f>IF(C759="","",IF(C759="Match",INDEX('Match Log'!$C:$C,D759),IF(C759="Tournament",INDEX('Tournament Log'!$B:$B,E759)&amp;" (Phantom)",INDEX('Guest Log'!$H:$H,Q759)&amp;" (Guest)")))</f>
        <v/>
      </c>
      <c r="H759" s="40" t="str">
        <f t="array" ref="H759">IF(C759="","",IFERROR(LOOKUP(2,1/(($F$1:F758=F759)+($G$1:G758=F759)),IF($F$1:F758=F759,$N$1:N758,$O$1:O758)),1000))</f>
        <v/>
      </c>
      <c r="I759" s="40" t="str">
        <f t="array" ref="I759">IF(C759="","",IF(C759="Tournament",INDEX('Tournament Log'!$J:$J,E759),IF(C759="Guest",IF(INDEX('Guest Log'!$I:$I,Q759)="",1000,INDEX('Guest Log'!$I:$I,Q759)),IFERROR(LOOKUP(2,1/(($F$1:F758=G759)+($G$1:G758=G759)),IF($F$1:F758=G759,$N$1:N758,$O$1:O758)),1000))))</f>
        <v/>
      </c>
      <c r="J759" s="40" t="str">
        <f t="shared" si="56"/>
        <v/>
      </c>
      <c r="K759" s="12" t="str">
        <f>IF(C759="","",IF(C759="Match",IF(INDEX('Match Log'!$D:$D,D759)="Win",1,IF(INDEX('Match Log'!$D:$D,D759)="Draw",0.5,0)),IF(C759="Tournament",INDEX('Tournament Log'!$K:$K,E759),IF(INDEX('Guest Log'!$C:$C,Q759)="Win",1,IF(INDEX('Guest Log'!$C:$C,Q759)="Draw",0.5,0)))))</f>
        <v/>
      </c>
      <c r="L759" s="12" t="str">
        <f>IF(C759="","",IF(C759="Match",32,IF(C759="Tournament",MIN(32*INDEX('Tournament Log'!$D:$D,E759),96),32)))</f>
        <v/>
      </c>
      <c r="M759" s="12" t="str">
        <f t="shared" si="57"/>
        <v/>
      </c>
      <c r="N759" s="12" t="str">
        <f t="shared" si="58"/>
        <v/>
      </c>
      <c r="O759" s="12" t="str">
        <f t="shared" si="59"/>
        <v/>
      </c>
      <c r="P759" s="12" t="str">
        <f>IF(C759="Tournament",INDEX('Tournament Log'!$B:$B,E759),IF(C759="Guest","Guest: "&amp;INDEX('Guest Log'!$H:$H,Q759),""))</f>
        <v/>
      </c>
      <c r="Q759" t="str">
        <f>IFERROR(MATCH($A759,'Guest Log'!$L$4:$L$203,0)+3,"")</f>
        <v/>
      </c>
    </row>
    <row r="760" spans="1:17" ht="15" customHeight="1" x14ac:dyDescent="0.2">
      <c r="A760" s="40">
        <f>759</f>
        <v>759</v>
      </c>
      <c r="B760" s="40" t="str">
        <f>IF(C760="","",IF(C760="Match",INDEX('Match Log'!$A:$A,D760),IF(C760="Tournament",INDEX('Tournament Log'!$A:$A,E760),INDEX('Guest Log'!$A:$A,Q760))))</f>
        <v/>
      </c>
      <c r="C760" s="40" t="str">
        <f t="shared" si="55"/>
        <v/>
      </c>
      <c r="D760" s="41" t="str">
        <f>IFERROR(MATCH($A760,'Match Log'!$K$3:$K$501,0)+2,"")</f>
        <v/>
      </c>
      <c r="E760" s="41" t="str">
        <f>IFERROR(MATCH($A760,'Tournament Log'!$O$4:$O$203,0)+3,"")</f>
        <v/>
      </c>
      <c r="F760" s="40" t="str">
        <f>IF(C760="","",IF(C760="Match",INDEX('Match Log'!$B:$B,D760),IF(C760="Tournament",INDEX('Tournament Log'!$C:$C,E760),INDEX('Guest Log'!$B:$B,Q760))))</f>
        <v/>
      </c>
      <c r="G760" s="40" t="str">
        <f>IF(C760="","",IF(C760="Match",INDEX('Match Log'!$C:$C,D760),IF(C760="Tournament",INDEX('Tournament Log'!$B:$B,E760)&amp;" (Phantom)",INDEX('Guest Log'!$H:$H,Q760)&amp;" (Guest)")))</f>
        <v/>
      </c>
      <c r="H760" s="40" t="str">
        <f t="array" ref="H760">IF(C760="","",IFERROR(LOOKUP(2,1/(($F$1:F759=F760)+($G$1:G759=F760)),IF($F$1:F759=F760,$N$1:N759,$O$1:O759)),1000))</f>
        <v/>
      </c>
      <c r="I760" s="40" t="str">
        <f t="array" ref="I760">IF(C760="","",IF(C760="Tournament",INDEX('Tournament Log'!$J:$J,E760),IF(C760="Guest",IF(INDEX('Guest Log'!$I:$I,Q760)="",1000,INDEX('Guest Log'!$I:$I,Q760)),IFERROR(LOOKUP(2,1/(($F$1:F759=G760)+($G$1:G759=G760)),IF($F$1:F759=G760,$N$1:N759,$O$1:O759)),1000))))</f>
        <v/>
      </c>
      <c r="J760" s="40" t="str">
        <f t="shared" si="56"/>
        <v/>
      </c>
      <c r="K760" s="12" t="str">
        <f>IF(C760="","",IF(C760="Match",IF(INDEX('Match Log'!$D:$D,D760)="Win",1,IF(INDEX('Match Log'!$D:$D,D760)="Draw",0.5,0)),IF(C760="Tournament",INDEX('Tournament Log'!$K:$K,E760),IF(INDEX('Guest Log'!$C:$C,Q760)="Win",1,IF(INDEX('Guest Log'!$C:$C,Q760)="Draw",0.5,0)))))</f>
        <v/>
      </c>
      <c r="L760" s="12" t="str">
        <f>IF(C760="","",IF(C760="Match",32,IF(C760="Tournament",MIN(32*INDEX('Tournament Log'!$D:$D,E760),96),32)))</f>
        <v/>
      </c>
      <c r="M760" s="12" t="str">
        <f t="shared" si="57"/>
        <v/>
      </c>
      <c r="N760" s="12" t="str">
        <f t="shared" si="58"/>
        <v/>
      </c>
      <c r="O760" s="12" t="str">
        <f t="shared" si="59"/>
        <v/>
      </c>
      <c r="P760" s="12" t="str">
        <f>IF(C760="Tournament",INDEX('Tournament Log'!$B:$B,E760),IF(C760="Guest","Guest: "&amp;INDEX('Guest Log'!$H:$H,Q760),""))</f>
        <v/>
      </c>
      <c r="Q760" t="str">
        <f>IFERROR(MATCH($A760,'Guest Log'!$L$4:$L$203,0)+3,"")</f>
        <v/>
      </c>
    </row>
    <row r="761" spans="1:17" ht="15" customHeight="1" x14ac:dyDescent="0.2">
      <c r="A761" s="40">
        <f>760</f>
        <v>760</v>
      </c>
      <c r="B761" s="40" t="str">
        <f>IF(C761="","",IF(C761="Match",INDEX('Match Log'!$A:$A,D761),IF(C761="Tournament",INDEX('Tournament Log'!$A:$A,E761),INDEX('Guest Log'!$A:$A,Q761))))</f>
        <v/>
      </c>
      <c r="C761" s="40" t="str">
        <f t="shared" si="55"/>
        <v/>
      </c>
      <c r="D761" s="41" t="str">
        <f>IFERROR(MATCH($A761,'Match Log'!$K$3:$K$501,0)+2,"")</f>
        <v/>
      </c>
      <c r="E761" s="41" t="str">
        <f>IFERROR(MATCH($A761,'Tournament Log'!$O$4:$O$203,0)+3,"")</f>
        <v/>
      </c>
      <c r="F761" s="40" t="str">
        <f>IF(C761="","",IF(C761="Match",INDEX('Match Log'!$B:$B,D761),IF(C761="Tournament",INDEX('Tournament Log'!$C:$C,E761),INDEX('Guest Log'!$B:$B,Q761))))</f>
        <v/>
      </c>
      <c r="G761" s="40" t="str">
        <f>IF(C761="","",IF(C761="Match",INDEX('Match Log'!$C:$C,D761),IF(C761="Tournament",INDEX('Tournament Log'!$B:$B,E761)&amp;" (Phantom)",INDEX('Guest Log'!$H:$H,Q761)&amp;" (Guest)")))</f>
        <v/>
      </c>
      <c r="H761" s="40" t="str">
        <f t="array" ref="H761">IF(C761="","",IFERROR(LOOKUP(2,1/(($F$1:F760=F761)+($G$1:G760=F761)),IF($F$1:F760=F761,$N$1:N760,$O$1:O760)),1000))</f>
        <v/>
      </c>
      <c r="I761" s="40" t="str">
        <f t="array" ref="I761">IF(C761="","",IF(C761="Tournament",INDEX('Tournament Log'!$J:$J,E761),IF(C761="Guest",IF(INDEX('Guest Log'!$I:$I,Q761)="",1000,INDEX('Guest Log'!$I:$I,Q761)),IFERROR(LOOKUP(2,1/(($F$1:F760=G761)+($G$1:G760=G761)),IF($F$1:F760=G761,$N$1:N760,$O$1:O760)),1000))))</f>
        <v/>
      </c>
      <c r="J761" s="40" t="str">
        <f t="shared" si="56"/>
        <v/>
      </c>
      <c r="K761" s="12" t="str">
        <f>IF(C761="","",IF(C761="Match",IF(INDEX('Match Log'!$D:$D,D761)="Win",1,IF(INDEX('Match Log'!$D:$D,D761)="Draw",0.5,0)),IF(C761="Tournament",INDEX('Tournament Log'!$K:$K,E761),IF(INDEX('Guest Log'!$C:$C,Q761)="Win",1,IF(INDEX('Guest Log'!$C:$C,Q761)="Draw",0.5,0)))))</f>
        <v/>
      </c>
      <c r="L761" s="12" t="str">
        <f>IF(C761="","",IF(C761="Match",32,IF(C761="Tournament",MIN(32*INDEX('Tournament Log'!$D:$D,E761),96),32)))</f>
        <v/>
      </c>
      <c r="M761" s="12" t="str">
        <f t="shared" si="57"/>
        <v/>
      </c>
      <c r="N761" s="12" t="str">
        <f t="shared" si="58"/>
        <v/>
      </c>
      <c r="O761" s="12" t="str">
        <f t="shared" si="59"/>
        <v/>
      </c>
      <c r="P761" s="12" t="str">
        <f>IF(C761="Tournament",INDEX('Tournament Log'!$B:$B,E761),IF(C761="Guest","Guest: "&amp;INDEX('Guest Log'!$H:$H,Q761),""))</f>
        <v/>
      </c>
      <c r="Q761" t="str">
        <f>IFERROR(MATCH($A761,'Guest Log'!$L$4:$L$203,0)+3,"")</f>
        <v/>
      </c>
    </row>
    <row r="762" spans="1:17" ht="15" customHeight="1" x14ac:dyDescent="0.2">
      <c r="A762" s="40">
        <f>761</f>
        <v>761</v>
      </c>
      <c r="B762" s="40" t="str">
        <f>IF(C762="","",IF(C762="Match",INDEX('Match Log'!$A:$A,D762),IF(C762="Tournament",INDEX('Tournament Log'!$A:$A,E762),INDEX('Guest Log'!$A:$A,Q762))))</f>
        <v/>
      </c>
      <c r="C762" s="40" t="str">
        <f t="shared" si="55"/>
        <v/>
      </c>
      <c r="D762" s="41" t="str">
        <f>IFERROR(MATCH($A762,'Match Log'!$K$3:$K$501,0)+2,"")</f>
        <v/>
      </c>
      <c r="E762" s="41" t="str">
        <f>IFERROR(MATCH($A762,'Tournament Log'!$O$4:$O$203,0)+3,"")</f>
        <v/>
      </c>
      <c r="F762" s="40" t="str">
        <f>IF(C762="","",IF(C762="Match",INDEX('Match Log'!$B:$B,D762),IF(C762="Tournament",INDEX('Tournament Log'!$C:$C,E762),INDEX('Guest Log'!$B:$B,Q762))))</f>
        <v/>
      </c>
      <c r="G762" s="40" t="str">
        <f>IF(C762="","",IF(C762="Match",INDEX('Match Log'!$C:$C,D762),IF(C762="Tournament",INDEX('Tournament Log'!$B:$B,E762)&amp;" (Phantom)",INDEX('Guest Log'!$H:$H,Q762)&amp;" (Guest)")))</f>
        <v/>
      </c>
      <c r="H762" s="40" t="str">
        <f t="array" ref="H762">IF(C762="","",IFERROR(LOOKUP(2,1/(($F$1:F761=F762)+($G$1:G761=F762)),IF($F$1:F761=F762,$N$1:N761,$O$1:O761)),1000))</f>
        <v/>
      </c>
      <c r="I762" s="40" t="str">
        <f t="array" ref="I762">IF(C762="","",IF(C762="Tournament",INDEX('Tournament Log'!$J:$J,E762),IF(C762="Guest",IF(INDEX('Guest Log'!$I:$I,Q762)="",1000,INDEX('Guest Log'!$I:$I,Q762)),IFERROR(LOOKUP(2,1/(($F$1:F761=G762)+($G$1:G761=G762)),IF($F$1:F761=G762,$N$1:N761,$O$1:O761)),1000))))</f>
        <v/>
      </c>
      <c r="J762" s="40" t="str">
        <f t="shared" si="56"/>
        <v/>
      </c>
      <c r="K762" s="12" t="str">
        <f>IF(C762="","",IF(C762="Match",IF(INDEX('Match Log'!$D:$D,D762)="Win",1,IF(INDEX('Match Log'!$D:$D,D762)="Draw",0.5,0)),IF(C762="Tournament",INDEX('Tournament Log'!$K:$K,E762),IF(INDEX('Guest Log'!$C:$C,Q762)="Win",1,IF(INDEX('Guest Log'!$C:$C,Q762)="Draw",0.5,0)))))</f>
        <v/>
      </c>
      <c r="L762" s="12" t="str">
        <f>IF(C762="","",IF(C762="Match",32,IF(C762="Tournament",MIN(32*INDEX('Tournament Log'!$D:$D,E762),96),32)))</f>
        <v/>
      </c>
      <c r="M762" s="12" t="str">
        <f t="shared" si="57"/>
        <v/>
      </c>
      <c r="N762" s="12" t="str">
        <f t="shared" si="58"/>
        <v/>
      </c>
      <c r="O762" s="12" t="str">
        <f t="shared" si="59"/>
        <v/>
      </c>
      <c r="P762" s="12" t="str">
        <f>IF(C762="Tournament",INDEX('Tournament Log'!$B:$B,E762),IF(C762="Guest","Guest: "&amp;INDEX('Guest Log'!$H:$H,Q762),""))</f>
        <v/>
      </c>
      <c r="Q762" t="str">
        <f>IFERROR(MATCH($A762,'Guest Log'!$L$4:$L$203,0)+3,"")</f>
        <v/>
      </c>
    </row>
    <row r="763" spans="1:17" ht="15" customHeight="1" x14ac:dyDescent="0.2">
      <c r="A763" s="40">
        <f>762</f>
        <v>762</v>
      </c>
      <c r="B763" s="40" t="str">
        <f>IF(C763="","",IF(C763="Match",INDEX('Match Log'!$A:$A,D763),IF(C763="Tournament",INDEX('Tournament Log'!$A:$A,E763),INDEX('Guest Log'!$A:$A,Q763))))</f>
        <v/>
      </c>
      <c r="C763" s="40" t="str">
        <f t="shared" si="55"/>
        <v/>
      </c>
      <c r="D763" s="41" t="str">
        <f>IFERROR(MATCH($A763,'Match Log'!$K$3:$K$501,0)+2,"")</f>
        <v/>
      </c>
      <c r="E763" s="41" t="str">
        <f>IFERROR(MATCH($A763,'Tournament Log'!$O$4:$O$203,0)+3,"")</f>
        <v/>
      </c>
      <c r="F763" s="40" t="str">
        <f>IF(C763="","",IF(C763="Match",INDEX('Match Log'!$B:$B,D763),IF(C763="Tournament",INDEX('Tournament Log'!$C:$C,E763),INDEX('Guest Log'!$B:$B,Q763))))</f>
        <v/>
      </c>
      <c r="G763" s="40" t="str">
        <f>IF(C763="","",IF(C763="Match",INDEX('Match Log'!$C:$C,D763),IF(C763="Tournament",INDEX('Tournament Log'!$B:$B,E763)&amp;" (Phantom)",INDEX('Guest Log'!$H:$H,Q763)&amp;" (Guest)")))</f>
        <v/>
      </c>
      <c r="H763" s="40" t="str">
        <f t="array" ref="H763">IF(C763="","",IFERROR(LOOKUP(2,1/(($F$1:F762=F763)+($G$1:G762=F763)),IF($F$1:F762=F763,$N$1:N762,$O$1:O762)),1000))</f>
        <v/>
      </c>
      <c r="I763" s="40" t="str">
        <f t="array" ref="I763">IF(C763="","",IF(C763="Tournament",INDEX('Tournament Log'!$J:$J,E763),IF(C763="Guest",IF(INDEX('Guest Log'!$I:$I,Q763)="",1000,INDEX('Guest Log'!$I:$I,Q763)),IFERROR(LOOKUP(2,1/(($F$1:F762=G763)+($G$1:G762=G763)),IF($F$1:F762=G763,$N$1:N762,$O$1:O762)),1000))))</f>
        <v/>
      </c>
      <c r="J763" s="40" t="str">
        <f t="shared" si="56"/>
        <v/>
      </c>
      <c r="K763" s="12" t="str">
        <f>IF(C763="","",IF(C763="Match",IF(INDEX('Match Log'!$D:$D,D763)="Win",1,IF(INDEX('Match Log'!$D:$D,D763)="Draw",0.5,0)),IF(C763="Tournament",INDEX('Tournament Log'!$K:$K,E763),IF(INDEX('Guest Log'!$C:$C,Q763)="Win",1,IF(INDEX('Guest Log'!$C:$C,Q763)="Draw",0.5,0)))))</f>
        <v/>
      </c>
      <c r="L763" s="12" t="str">
        <f>IF(C763="","",IF(C763="Match",32,IF(C763="Tournament",MIN(32*INDEX('Tournament Log'!$D:$D,E763),96),32)))</f>
        <v/>
      </c>
      <c r="M763" s="12" t="str">
        <f t="shared" si="57"/>
        <v/>
      </c>
      <c r="N763" s="12" t="str">
        <f t="shared" si="58"/>
        <v/>
      </c>
      <c r="O763" s="12" t="str">
        <f t="shared" si="59"/>
        <v/>
      </c>
      <c r="P763" s="12" t="str">
        <f>IF(C763="Tournament",INDEX('Tournament Log'!$B:$B,E763),IF(C763="Guest","Guest: "&amp;INDEX('Guest Log'!$H:$H,Q763),""))</f>
        <v/>
      </c>
      <c r="Q763" t="str">
        <f>IFERROR(MATCH($A763,'Guest Log'!$L$4:$L$203,0)+3,"")</f>
        <v/>
      </c>
    </row>
    <row r="764" spans="1:17" ht="15" customHeight="1" x14ac:dyDescent="0.2">
      <c r="A764" s="40">
        <f>763</f>
        <v>763</v>
      </c>
      <c r="B764" s="40" t="str">
        <f>IF(C764="","",IF(C764="Match",INDEX('Match Log'!$A:$A,D764),IF(C764="Tournament",INDEX('Tournament Log'!$A:$A,E764),INDEX('Guest Log'!$A:$A,Q764))))</f>
        <v/>
      </c>
      <c r="C764" s="40" t="str">
        <f t="shared" si="55"/>
        <v/>
      </c>
      <c r="D764" s="41" t="str">
        <f>IFERROR(MATCH($A764,'Match Log'!$K$3:$K$501,0)+2,"")</f>
        <v/>
      </c>
      <c r="E764" s="41" t="str">
        <f>IFERROR(MATCH($A764,'Tournament Log'!$O$4:$O$203,0)+3,"")</f>
        <v/>
      </c>
      <c r="F764" s="40" t="str">
        <f>IF(C764="","",IF(C764="Match",INDEX('Match Log'!$B:$B,D764),IF(C764="Tournament",INDEX('Tournament Log'!$C:$C,E764),INDEX('Guest Log'!$B:$B,Q764))))</f>
        <v/>
      </c>
      <c r="G764" s="40" t="str">
        <f>IF(C764="","",IF(C764="Match",INDEX('Match Log'!$C:$C,D764),IF(C764="Tournament",INDEX('Tournament Log'!$B:$B,E764)&amp;" (Phantom)",INDEX('Guest Log'!$H:$H,Q764)&amp;" (Guest)")))</f>
        <v/>
      </c>
      <c r="H764" s="40" t="str">
        <f t="array" ref="H764">IF(C764="","",IFERROR(LOOKUP(2,1/(($F$1:F763=F764)+($G$1:G763=F764)),IF($F$1:F763=F764,$N$1:N763,$O$1:O763)),1000))</f>
        <v/>
      </c>
      <c r="I764" s="40" t="str">
        <f t="array" ref="I764">IF(C764="","",IF(C764="Tournament",INDEX('Tournament Log'!$J:$J,E764),IF(C764="Guest",IF(INDEX('Guest Log'!$I:$I,Q764)="",1000,INDEX('Guest Log'!$I:$I,Q764)),IFERROR(LOOKUP(2,1/(($F$1:F763=G764)+($G$1:G763=G764)),IF($F$1:F763=G764,$N$1:N763,$O$1:O763)),1000))))</f>
        <v/>
      </c>
      <c r="J764" s="40" t="str">
        <f t="shared" si="56"/>
        <v/>
      </c>
      <c r="K764" s="12" t="str">
        <f>IF(C764="","",IF(C764="Match",IF(INDEX('Match Log'!$D:$D,D764)="Win",1,IF(INDEX('Match Log'!$D:$D,D764)="Draw",0.5,0)),IF(C764="Tournament",INDEX('Tournament Log'!$K:$K,E764),IF(INDEX('Guest Log'!$C:$C,Q764)="Win",1,IF(INDEX('Guest Log'!$C:$C,Q764)="Draw",0.5,0)))))</f>
        <v/>
      </c>
      <c r="L764" s="12" t="str">
        <f>IF(C764="","",IF(C764="Match",32,IF(C764="Tournament",MIN(32*INDEX('Tournament Log'!$D:$D,E764),96),32)))</f>
        <v/>
      </c>
      <c r="M764" s="12" t="str">
        <f t="shared" si="57"/>
        <v/>
      </c>
      <c r="N764" s="12" t="str">
        <f t="shared" si="58"/>
        <v/>
      </c>
      <c r="O764" s="12" t="str">
        <f t="shared" si="59"/>
        <v/>
      </c>
      <c r="P764" s="12" t="str">
        <f>IF(C764="Tournament",INDEX('Tournament Log'!$B:$B,E764),IF(C764="Guest","Guest: "&amp;INDEX('Guest Log'!$H:$H,Q764),""))</f>
        <v/>
      </c>
      <c r="Q764" t="str">
        <f>IFERROR(MATCH($A764,'Guest Log'!$L$4:$L$203,0)+3,"")</f>
        <v/>
      </c>
    </row>
    <row r="765" spans="1:17" ht="15" customHeight="1" x14ac:dyDescent="0.2">
      <c r="A765" s="40">
        <f>764</f>
        <v>764</v>
      </c>
      <c r="B765" s="40" t="str">
        <f>IF(C765="","",IF(C765="Match",INDEX('Match Log'!$A:$A,D765),IF(C765="Tournament",INDEX('Tournament Log'!$A:$A,E765),INDEX('Guest Log'!$A:$A,Q765))))</f>
        <v/>
      </c>
      <c r="C765" s="40" t="str">
        <f t="shared" si="55"/>
        <v/>
      </c>
      <c r="D765" s="41" t="str">
        <f>IFERROR(MATCH($A765,'Match Log'!$K$3:$K$501,0)+2,"")</f>
        <v/>
      </c>
      <c r="E765" s="41" t="str">
        <f>IFERROR(MATCH($A765,'Tournament Log'!$O$4:$O$203,0)+3,"")</f>
        <v/>
      </c>
      <c r="F765" s="40" t="str">
        <f>IF(C765="","",IF(C765="Match",INDEX('Match Log'!$B:$B,D765),IF(C765="Tournament",INDEX('Tournament Log'!$C:$C,E765),INDEX('Guest Log'!$B:$B,Q765))))</f>
        <v/>
      </c>
      <c r="G765" s="40" t="str">
        <f>IF(C765="","",IF(C765="Match",INDEX('Match Log'!$C:$C,D765),IF(C765="Tournament",INDEX('Tournament Log'!$B:$B,E765)&amp;" (Phantom)",INDEX('Guest Log'!$H:$H,Q765)&amp;" (Guest)")))</f>
        <v/>
      </c>
      <c r="H765" s="40" t="str">
        <f t="array" ref="H765">IF(C765="","",IFERROR(LOOKUP(2,1/(($F$1:F764=F765)+($G$1:G764=F765)),IF($F$1:F764=F765,$N$1:N764,$O$1:O764)),1000))</f>
        <v/>
      </c>
      <c r="I765" s="40" t="str">
        <f t="array" ref="I765">IF(C765="","",IF(C765="Tournament",INDEX('Tournament Log'!$J:$J,E765),IF(C765="Guest",IF(INDEX('Guest Log'!$I:$I,Q765)="",1000,INDEX('Guest Log'!$I:$I,Q765)),IFERROR(LOOKUP(2,1/(($F$1:F764=G765)+($G$1:G764=G765)),IF($F$1:F764=G765,$N$1:N764,$O$1:O764)),1000))))</f>
        <v/>
      </c>
      <c r="J765" s="40" t="str">
        <f t="shared" si="56"/>
        <v/>
      </c>
      <c r="K765" s="12" t="str">
        <f>IF(C765="","",IF(C765="Match",IF(INDEX('Match Log'!$D:$D,D765)="Win",1,IF(INDEX('Match Log'!$D:$D,D765)="Draw",0.5,0)),IF(C765="Tournament",INDEX('Tournament Log'!$K:$K,E765),IF(INDEX('Guest Log'!$C:$C,Q765)="Win",1,IF(INDEX('Guest Log'!$C:$C,Q765)="Draw",0.5,0)))))</f>
        <v/>
      </c>
      <c r="L765" s="12" t="str">
        <f>IF(C765="","",IF(C765="Match",32,IF(C765="Tournament",MIN(32*INDEX('Tournament Log'!$D:$D,E765),96),32)))</f>
        <v/>
      </c>
      <c r="M765" s="12" t="str">
        <f t="shared" si="57"/>
        <v/>
      </c>
      <c r="N765" s="12" t="str">
        <f t="shared" si="58"/>
        <v/>
      </c>
      <c r="O765" s="12" t="str">
        <f t="shared" si="59"/>
        <v/>
      </c>
      <c r="P765" s="12" t="str">
        <f>IF(C765="Tournament",INDEX('Tournament Log'!$B:$B,E765),IF(C765="Guest","Guest: "&amp;INDEX('Guest Log'!$H:$H,Q765),""))</f>
        <v/>
      </c>
      <c r="Q765" t="str">
        <f>IFERROR(MATCH($A765,'Guest Log'!$L$4:$L$203,0)+3,"")</f>
        <v/>
      </c>
    </row>
    <row r="766" spans="1:17" ht="15" customHeight="1" x14ac:dyDescent="0.2">
      <c r="A766" s="40">
        <f>765</f>
        <v>765</v>
      </c>
      <c r="B766" s="40" t="str">
        <f>IF(C766="","",IF(C766="Match",INDEX('Match Log'!$A:$A,D766),IF(C766="Tournament",INDEX('Tournament Log'!$A:$A,E766),INDEX('Guest Log'!$A:$A,Q766))))</f>
        <v/>
      </c>
      <c r="C766" s="40" t="str">
        <f t="shared" si="55"/>
        <v/>
      </c>
      <c r="D766" s="41" t="str">
        <f>IFERROR(MATCH($A766,'Match Log'!$K$3:$K$501,0)+2,"")</f>
        <v/>
      </c>
      <c r="E766" s="41" t="str">
        <f>IFERROR(MATCH($A766,'Tournament Log'!$O$4:$O$203,0)+3,"")</f>
        <v/>
      </c>
      <c r="F766" s="40" t="str">
        <f>IF(C766="","",IF(C766="Match",INDEX('Match Log'!$B:$B,D766),IF(C766="Tournament",INDEX('Tournament Log'!$C:$C,E766),INDEX('Guest Log'!$B:$B,Q766))))</f>
        <v/>
      </c>
      <c r="G766" s="40" t="str">
        <f>IF(C766="","",IF(C766="Match",INDEX('Match Log'!$C:$C,D766),IF(C766="Tournament",INDEX('Tournament Log'!$B:$B,E766)&amp;" (Phantom)",INDEX('Guest Log'!$H:$H,Q766)&amp;" (Guest)")))</f>
        <v/>
      </c>
      <c r="H766" s="40" t="str">
        <f t="array" ref="H766">IF(C766="","",IFERROR(LOOKUP(2,1/(($F$1:F765=F766)+($G$1:G765=F766)),IF($F$1:F765=F766,$N$1:N765,$O$1:O765)),1000))</f>
        <v/>
      </c>
      <c r="I766" s="40" t="str">
        <f t="array" ref="I766">IF(C766="","",IF(C766="Tournament",INDEX('Tournament Log'!$J:$J,E766),IF(C766="Guest",IF(INDEX('Guest Log'!$I:$I,Q766)="",1000,INDEX('Guest Log'!$I:$I,Q766)),IFERROR(LOOKUP(2,1/(($F$1:F765=G766)+($G$1:G765=G766)),IF($F$1:F765=G766,$N$1:N765,$O$1:O765)),1000))))</f>
        <v/>
      </c>
      <c r="J766" s="40" t="str">
        <f t="shared" si="56"/>
        <v/>
      </c>
      <c r="K766" s="12" t="str">
        <f>IF(C766="","",IF(C766="Match",IF(INDEX('Match Log'!$D:$D,D766)="Win",1,IF(INDEX('Match Log'!$D:$D,D766)="Draw",0.5,0)),IF(C766="Tournament",INDEX('Tournament Log'!$K:$K,E766),IF(INDEX('Guest Log'!$C:$C,Q766)="Win",1,IF(INDEX('Guest Log'!$C:$C,Q766)="Draw",0.5,0)))))</f>
        <v/>
      </c>
      <c r="L766" s="12" t="str">
        <f>IF(C766="","",IF(C766="Match",32,IF(C766="Tournament",MIN(32*INDEX('Tournament Log'!$D:$D,E766),96),32)))</f>
        <v/>
      </c>
      <c r="M766" s="12" t="str">
        <f t="shared" si="57"/>
        <v/>
      </c>
      <c r="N766" s="12" t="str">
        <f t="shared" si="58"/>
        <v/>
      </c>
      <c r="O766" s="12" t="str">
        <f t="shared" si="59"/>
        <v/>
      </c>
      <c r="P766" s="12" t="str">
        <f>IF(C766="Tournament",INDEX('Tournament Log'!$B:$B,E766),IF(C766="Guest","Guest: "&amp;INDEX('Guest Log'!$H:$H,Q766),""))</f>
        <v/>
      </c>
      <c r="Q766" t="str">
        <f>IFERROR(MATCH($A766,'Guest Log'!$L$4:$L$203,0)+3,"")</f>
        <v/>
      </c>
    </row>
    <row r="767" spans="1:17" ht="15" customHeight="1" x14ac:dyDescent="0.2">
      <c r="A767" s="40">
        <f>766</f>
        <v>766</v>
      </c>
      <c r="B767" s="40" t="str">
        <f>IF(C767="","",IF(C767="Match",INDEX('Match Log'!$A:$A,D767),IF(C767="Tournament",INDEX('Tournament Log'!$A:$A,E767),INDEX('Guest Log'!$A:$A,Q767))))</f>
        <v/>
      </c>
      <c r="C767" s="40" t="str">
        <f t="shared" si="55"/>
        <v/>
      </c>
      <c r="D767" s="41" t="str">
        <f>IFERROR(MATCH($A767,'Match Log'!$K$3:$K$501,0)+2,"")</f>
        <v/>
      </c>
      <c r="E767" s="41" t="str">
        <f>IFERROR(MATCH($A767,'Tournament Log'!$O$4:$O$203,0)+3,"")</f>
        <v/>
      </c>
      <c r="F767" s="40" t="str">
        <f>IF(C767="","",IF(C767="Match",INDEX('Match Log'!$B:$B,D767),IF(C767="Tournament",INDEX('Tournament Log'!$C:$C,E767),INDEX('Guest Log'!$B:$B,Q767))))</f>
        <v/>
      </c>
      <c r="G767" s="40" t="str">
        <f>IF(C767="","",IF(C767="Match",INDEX('Match Log'!$C:$C,D767),IF(C767="Tournament",INDEX('Tournament Log'!$B:$B,E767)&amp;" (Phantom)",INDEX('Guest Log'!$H:$H,Q767)&amp;" (Guest)")))</f>
        <v/>
      </c>
      <c r="H767" s="40" t="str">
        <f t="array" ref="H767">IF(C767="","",IFERROR(LOOKUP(2,1/(($F$1:F766=F767)+($G$1:G766=F767)),IF($F$1:F766=F767,$N$1:N766,$O$1:O766)),1000))</f>
        <v/>
      </c>
      <c r="I767" s="40" t="str">
        <f t="array" ref="I767">IF(C767="","",IF(C767="Tournament",INDEX('Tournament Log'!$J:$J,E767),IF(C767="Guest",IF(INDEX('Guest Log'!$I:$I,Q767)="",1000,INDEX('Guest Log'!$I:$I,Q767)),IFERROR(LOOKUP(2,1/(($F$1:F766=G767)+($G$1:G766=G767)),IF($F$1:F766=G767,$N$1:N766,$O$1:O766)),1000))))</f>
        <v/>
      </c>
      <c r="J767" s="40" t="str">
        <f t="shared" si="56"/>
        <v/>
      </c>
      <c r="K767" s="12" t="str">
        <f>IF(C767="","",IF(C767="Match",IF(INDEX('Match Log'!$D:$D,D767)="Win",1,IF(INDEX('Match Log'!$D:$D,D767)="Draw",0.5,0)),IF(C767="Tournament",INDEX('Tournament Log'!$K:$K,E767),IF(INDEX('Guest Log'!$C:$C,Q767)="Win",1,IF(INDEX('Guest Log'!$C:$C,Q767)="Draw",0.5,0)))))</f>
        <v/>
      </c>
      <c r="L767" s="12" t="str">
        <f>IF(C767="","",IF(C767="Match",32,IF(C767="Tournament",MIN(32*INDEX('Tournament Log'!$D:$D,E767),96),32)))</f>
        <v/>
      </c>
      <c r="M767" s="12" t="str">
        <f t="shared" si="57"/>
        <v/>
      </c>
      <c r="N767" s="12" t="str">
        <f t="shared" si="58"/>
        <v/>
      </c>
      <c r="O767" s="12" t="str">
        <f t="shared" si="59"/>
        <v/>
      </c>
      <c r="P767" s="12" t="str">
        <f>IF(C767="Tournament",INDEX('Tournament Log'!$B:$B,E767),IF(C767="Guest","Guest: "&amp;INDEX('Guest Log'!$H:$H,Q767),""))</f>
        <v/>
      </c>
      <c r="Q767" t="str">
        <f>IFERROR(MATCH($A767,'Guest Log'!$L$4:$L$203,0)+3,"")</f>
        <v/>
      </c>
    </row>
    <row r="768" spans="1:17" ht="15" customHeight="1" x14ac:dyDescent="0.2">
      <c r="A768" s="40">
        <f>767</f>
        <v>767</v>
      </c>
      <c r="B768" s="40" t="str">
        <f>IF(C768="","",IF(C768="Match",INDEX('Match Log'!$A:$A,D768),IF(C768="Tournament",INDEX('Tournament Log'!$A:$A,E768),INDEX('Guest Log'!$A:$A,Q768))))</f>
        <v/>
      </c>
      <c r="C768" s="40" t="str">
        <f t="shared" si="55"/>
        <v/>
      </c>
      <c r="D768" s="41" t="str">
        <f>IFERROR(MATCH($A768,'Match Log'!$K$3:$K$501,0)+2,"")</f>
        <v/>
      </c>
      <c r="E768" s="41" t="str">
        <f>IFERROR(MATCH($A768,'Tournament Log'!$O$4:$O$203,0)+3,"")</f>
        <v/>
      </c>
      <c r="F768" s="40" t="str">
        <f>IF(C768="","",IF(C768="Match",INDEX('Match Log'!$B:$B,D768),IF(C768="Tournament",INDEX('Tournament Log'!$C:$C,E768),INDEX('Guest Log'!$B:$B,Q768))))</f>
        <v/>
      </c>
      <c r="G768" s="40" t="str">
        <f>IF(C768="","",IF(C768="Match",INDEX('Match Log'!$C:$C,D768),IF(C768="Tournament",INDEX('Tournament Log'!$B:$B,E768)&amp;" (Phantom)",INDEX('Guest Log'!$H:$H,Q768)&amp;" (Guest)")))</f>
        <v/>
      </c>
      <c r="H768" s="40" t="str">
        <f t="array" ref="H768">IF(C768="","",IFERROR(LOOKUP(2,1/(($F$1:F767=F768)+($G$1:G767=F768)),IF($F$1:F767=F768,$N$1:N767,$O$1:O767)),1000))</f>
        <v/>
      </c>
      <c r="I768" s="40" t="str">
        <f t="array" ref="I768">IF(C768="","",IF(C768="Tournament",INDEX('Tournament Log'!$J:$J,E768),IF(C768="Guest",IF(INDEX('Guest Log'!$I:$I,Q768)="",1000,INDEX('Guest Log'!$I:$I,Q768)),IFERROR(LOOKUP(2,1/(($F$1:F767=G768)+($G$1:G767=G768)),IF($F$1:F767=G768,$N$1:N767,$O$1:O767)),1000))))</f>
        <v/>
      </c>
      <c r="J768" s="40" t="str">
        <f t="shared" si="56"/>
        <v/>
      </c>
      <c r="K768" s="12" t="str">
        <f>IF(C768="","",IF(C768="Match",IF(INDEX('Match Log'!$D:$D,D768)="Win",1,IF(INDEX('Match Log'!$D:$D,D768)="Draw",0.5,0)),IF(C768="Tournament",INDEX('Tournament Log'!$K:$K,E768),IF(INDEX('Guest Log'!$C:$C,Q768)="Win",1,IF(INDEX('Guest Log'!$C:$C,Q768)="Draw",0.5,0)))))</f>
        <v/>
      </c>
      <c r="L768" s="12" t="str">
        <f>IF(C768="","",IF(C768="Match",32,IF(C768="Tournament",MIN(32*INDEX('Tournament Log'!$D:$D,E768),96),32)))</f>
        <v/>
      </c>
      <c r="M768" s="12" t="str">
        <f t="shared" si="57"/>
        <v/>
      </c>
      <c r="N768" s="12" t="str">
        <f t="shared" si="58"/>
        <v/>
      </c>
      <c r="O768" s="12" t="str">
        <f t="shared" si="59"/>
        <v/>
      </c>
      <c r="P768" s="12" t="str">
        <f>IF(C768="Tournament",INDEX('Tournament Log'!$B:$B,E768),IF(C768="Guest","Guest: "&amp;INDEX('Guest Log'!$H:$H,Q768),""))</f>
        <v/>
      </c>
      <c r="Q768" t="str">
        <f>IFERROR(MATCH($A768,'Guest Log'!$L$4:$L$203,0)+3,"")</f>
        <v/>
      </c>
    </row>
    <row r="769" spans="1:17" ht="15" customHeight="1" x14ac:dyDescent="0.2">
      <c r="A769" s="40">
        <f>768</f>
        <v>768</v>
      </c>
      <c r="B769" s="40" t="str">
        <f>IF(C769="","",IF(C769="Match",INDEX('Match Log'!$A:$A,D769),IF(C769="Tournament",INDEX('Tournament Log'!$A:$A,E769),INDEX('Guest Log'!$A:$A,Q769))))</f>
        <v/>
      </c>
      <c r="C769" s="40" t="str">
        <f t="shared" si="55"/>
        <v/>
      </c>
      <c r="D769" s="41" t="str">
        <f>IFERROR(MATCH($A769,'Match Log'!$K$3:$K$501,0)+2,"")</f>
        <v/>
      </c>
      <c r="E769" s="41" t="str">
        <f>IFERROR(MATCH($A769,'Tournament Log'!$O$4:$O$203,0)+3,"")</f>
        <v/>
      </c>
      <c r="F769" s="40" t="str">
        <f>IF(C769="","",IF(C769="Match",INDEX('Match Log'!$B:$B,D769),IF(C769="Tournament",INDEX('Tournament Log'!$C:$C,E769),INDEX('Guest Log'!$B:$B,Q769))))</f>
        <v/>
      </c>
      <c r="G769" s="40" t="str">
        <f>IF(C769="","",IF(C769="Match",INDEX('Match Log'!$C:$C,D769),IF(C769="Tournament",INDEX('Tournament Log'!$B:$B,E769)&amp;" (Phantom)",INDEX('Guest Log'!$H:$H,Q769)&amp;" (Guest)")))</f>
        <v/>
      </c>
      <c r="H769" s="40" t="str">
        <f t="array" ref="H769">IF(C769="","",IFERROR(LOOKUP(2,1/(($F$1:F768=F769)+($G$1:G768=F769)),IF($F$1:F768=F769,$N$1:N768,$O$1:O768)),1000))</f>
        <v/>
      </c>
      <c r="I769" s="40" t="str">
        <f t="array" ref="I769">IF(C769="","",IF(C769="Tournament",INDEX('Tournament Log'!$J:$J,E769),IF(C769="Guest",IF(INDEX('Guest Log'!$I:$I,Q769)="",1000,INDEX('Guest Log'!$I:$I,Q769)),IFERROR(LOOKUP(2,1/(($F$1:F768=G769)+($G$1:G768=G769)),IF($F$1:F768=G769,$N$1:N768,$O$1:O768)),1000))))</f>
        <v/>
      </c>
      <c r="J769" s="40" t="str">
        <f t="shared" si="56"/>
        <v/>
      </c>
      <c r="K769" s="12" t="str">
        <f>IF(C769="","",IF(C769="Match",IF(INDEX('Match Log'!$D:$D,D769)="Win",1,IF(INDEX('Match Log'!$D:$D,D769)="Draw",0.5,0)),IF(C769="Tournament",INDEX('Tournament Log'!$K:$K,E769),IF(INDEX('Guest Log'!$C:$C,Q769)="Win",1,IF(INDEX('Guest Log'!$C:$C,Q769)="Draw",0.5,0)))))</f>
        <v/>
      </c>
      <c r="L769" s="12" t="str">
        <f>IF(C769="","",IF(C769="Match",32,IF(C769="Tournament",MIN(32*INDEX('Tournament Log'!$D:$D,E769),96),32)))</f>
        <v/>
      </c>
      <c r="M769" s="12" t="str">
        <f t="shared" si="57"/>
        <v/>
      </c>
      <c r="N769" s="12" t="str">
        <f t="shared" si="58"/>
        <v/>
      </c>
      <c r="O769" s="12" t="str">
        <f t="shared" si="59"/>
        <v/>
      </c>
      <c r="P769" s="12" t="str">
        <f>IF(C769="Tournament",INDEX('Tournament Log'!$B:$B,E769),IF(C769="Guest","Guest: "&amp;INDEX('Guest Log'!$H:$H,Q769),""))</f>
        <v/>
      </c>
      <c r="Q769" t="str">
        <f>IFERROR(MATCH($A769,'Guest Log'!$L$4:$L$203,0)+3,"")</f>
        <v/>
      </c>
    </row>
    <row r="770" spans="1:17" ht="15" customHeight="1" x14ac:dyDescent="0.2">
      <c r="A770" s="40">
        <f>769</f>
        <v>769</v>
      </c>
      <c r="B770" s="40" t="str">
        <f>IF(C770="","",IF(C770="Match",INDEX('Match Log'!$A:$A,D770),IF(C770="Tournament",INDEX('Tournament Log'!$A:$A,E770),INDEX('Guest Log'!$A:$A,Q770))))</f>
        <v/>
      </c>
      <c r="C770" s="40" t="str">
        <f t="shared" ref="C770:C833" si="60">IF(D770&lt;&gt;"","Match",IF(E770&lt;&gt;"","Tournament",IF(Q770&lt;&gt;"","Guest","")))</f>
        <v/>
      </c>
      <c r="D770" s="41" t="str">
        <f>IFERROR(MATCH($A770,'Match Log'!$K$3:$K$501,0)+2,"")</f>
        <v/>
      </c>
      <c r="E770" s="41" t="str">
        <f>IFERROR(MATCH($A770,'Tournament Log'!$O$4:$O$203,0)+3,"")</f>
        <v/>
      </c>
      <c r="F770" s="40" t="str">
        <f>IF(C770="","",IF(C770="Match",INDEX('Match Log'!$B:$B,D770),IF(C770="Tournament",INDEX('Tournament Log'!$C:$C,E770),INDEX('Guest Log'!$B:$B,Q770))))</f>
        <v/>
      </c>
      <c r="G770" s="40" t="str">
        <f>IF(C770="","",IF(C770="Match",INDEX('Match Log'!$C:$C,D770),IF(C770="Tournament",INDEX('Tournament Log'!$B:$B,E770)&amp;" (Phantom)",INDEX('Guest Log'!$H:$H,Q770)&amp;" (Guest)")))</f>
        <v/>
      </c>
      <c r="H770" s="40" t="str">
        <f t="array" ref="H770">IF(C770="","",IFERROR(LOOKUP(2,1/(($F$1:F769=F770)+($G$1:G769=F770)),IF($F$1:F769=F770,$N$1:N769,$O$1:O769)),1000))</f>
        <v/>
      </c>
      <c r="I770" s="40" t="str">
        <f t="array" ref="I770">IF(C770="","",IF(C770="Tournament",INDEX('Tournament Log'!$J:$J,E770),IF(C770="Guest",IF(INDEX('Guest Log'!$I:$I,Q770)="",1000,INDEX('Guest Log'!$I:$I,Q770)),IFERROR(LOOKUP(2,1/(($F$1:F769=G770)+($G$1:G769=G770)),IF($F$1:F769=G770,$N$1:N769,$O$1:O769)),1000))))</f>
        <v/>
      </c>
      <c r="J770" s="40" t="str">
        <f t="shared" ref="J770:J833" si="61">IF(C770="","",1/(1+10^((I770-H770)/400)))</f>
        <v/>
      </c>
      <c r="K770" s="12" t="str">
        <f>IF(C770="","",IF(C770="Match",IF(INDEX('Match Log'!$D:$D,D770)="Win",1,IF(INDEX('Match Log'!$D:$D,D770)="Draw",0.5,0)),IF(C770="Tournament",INDEX('Tournament Log'!$K:$K,E770),IF(INDEX('Guest Log'!$C:$C,Q770)="Win",1,IF(INDEX('Guest Log'!$C:$C,Q770)="Draw",0.5,0)))))</f>
        <v/>
      </c>
      <c r="L770" s="12" t="str">
        <f>IF(C770="","",IF(C770="Match",32,IF(C770="Tournament",MIN(32*INDEX('Tournament Log'!$D:$D,E770),96),32)))</f>
        <v/>
      </c>
      <c r="M770" s="12" t="str">
        <f t="shared" ref="M770:M833" si="62">IF(C770="","",ROUND(L770*(K770-J770),0))</f>
        <v/>
      </c>
      <c r="N770" s="12" t="str">
        <f t="shared" ref="N770:N833" si="63">IF(C770="","",H770+M770)</f>
        <v/>
      </c>
      <c r="O770" s="12" t="str">
        <f t="shared" ref="O770:O833" si="64">IF(C770="","",IF(C770="Match",I770-M770,""))</f>
        <v/>
      </c>
      <c r="P770" s="12" t="str">
        <f>IF(C770="Tournament",INDEX('Tournament Log'!$B:$B,E770),IF(C770="Guest","Guest: "&amp;INDEX('Guest Log'!$H:$H,Q770),""))</f>
        <v/>
      </c>
      <c r="Q770" t="str">
        <f>IFERROR(MATCH($A770,'Guest Log'!$L$4:$L$203,0)+3,"")</f>
        <v/>
      </c>
    </row>
    <row r="771" spans="1:17" ht="15" customHeight="1" x14ac:dyDescent="0.2">
      <c r="A771" s="40">
        <f>770</f>
        <v>770</v>
      </c>
      <c r="B771" s="40" t="str">
        <f>IF(C771="","",IF(C771="Match",INDEX('Match Log'!$A:$A,D771),IF(C771="Tournament",INDEX('Tournament Log'!$A:$A,E771),INDEX('Guest Log'!$A:$A,Q771))))</f>
        <v/>
      </c>
      <c r="C771" s="40" t="str">
        <f t="shared" si="60"/>
        <v/>
      </c>
      <c r="D771" s="41" t="str">
        <f>IFERROR(MATCH($A771,'Match Log'!$K$3:$K$501,0)+2,"")</f>
        <v/>
      </c>
      <c r="E771" s="41" t="str">
        <f>IFERROR(MATCH($A771,'Tournament Log'!$O$4:$O$203,0)+3,"")</f>
        <v/>
      </c>
      <c r="F771" s="40" t="str">
        <f>IF(C771="","",IF(C771="Match",INDEX('Match Log'!$B:$B,D771),IF(C771="Tournament",INDEX('Tournament Log'!$C:$C,E771),INDEX('Guest Log'!$B:$B,Q771))))</f>
        <v/>
      </c>
      <c r="G771" s="40" t="str">
        <f>IF(C771="","",IF(C771="Match",INDEX('Match Log'!$C:$C,D771),IF(C771="Tournament",INDEX('Tournament Log'!$B:$B,E771)&amp;" (Phantom)",INDEX('Guest Log'!$H:$H,Q771)&amp;" (Guest)")))</f>
        <v/>
      </c>
      <c r="H771" s="40" t="str">
        <f t="array" ref="H771">IF(C771="","",IFERROR(LOOKUP(2,1/(($F$1:F770=F771)+($G$1:G770=F771)),IF($F$1:F770=F771,$N$1:N770,$O$1:O770)),1000))</f>
        <v/>
      </c>
      <c r="I771" s="40" t="str">
        <f t="array" ref="I771">IF(C771="","",IF(C771="Tournament",INDEX('Tournament Log'!$J:$J,E771),IF(C771="Guest",IF(INDEX('Guest Log'!$I:$I,Q771)="",1000,INDEX('Guest Log'!$I:$I,Q771)),IFERROR(LOOKUP(2,1/(($F$1:F770=G771)+($G$1:G770=G771)),IF($F$1:F770=G771,$N$1:N770,$O$1:O770)),1000))))</f>
        <v/>
      </c>
      <c r="J771" s="40" t="str">
        <f t="shared" si="61"/>
        <v/>
      </c>
      <c r="K771" s="12" t="str">
        <f>IF(C771="","",IF(C771="Match",IF(INDEX('Match Log'!$D:$D,D771)="Win",1,IF(INDEX('Match Log'!$D:$D,D771)="Draw",0.5,0)),IF(C771="Tournament",INDEX('Tournament Log'!$K:$K,E771),IF(INDEX('Guest Log'!$C:$C,Q771)="Win",1,IF(INDEX('Guest Log'!$C:$C,Q771)="Draw",0.5,0)))))</f>
        <v/>
      </c>
      <c r="L771" s="12" t="str">
        <f>IF(C771="","",IF(C771="Match",32,IF(C771="Tournament",MIN(32*INDEX('Tournament Log'!$D:$D,E771),96),32)))</f>
        <v/>
      </c>
      <c r="M771" s="12" t="str">
        <f t="shared" si="62"/>
        <v/>
      </c>
      <c r="N771" s="12" t="str">
        <f t="shared" si="63"/>
        <v/>
      </c>
      <c r="O771" s="12" t="str">
        <f t="shared" si="64"/>
        <v/>
      </c>
      <c r="P771" s="12" t="str">
        <f>IF(C771="Tournament",INDEX('Tournament Log'!$B:$B,E771),IF(C771="Guest","Guest: "&amp;INDEX('Guest Log'!$H:$H,Q771),""))</f>
        <v/>
      </c>
      <c r="Q771" t="str">
        <f>IFERROR(MATCH($A771,'Guest Log'!$L$4:$L$203,0)+3,"")</f>
        <v/>
      </c>
    </row>
    <row r="772" spans="1:17" ht="15" customHeight="1" x14ac:dyDescent="0.2">
      <c r="A772" s="40">
        <f>771</f>
        <v>771</v>
      </c>
      <c r="B772" s="40" t="str">
        <f>IF(C772="","",IF(C772="Match",INDEX('Match Log'!$A:$A,D772),IF(C772="Tournament",INDEX('Tournament Log'!$A:$A,E772),INDEX('Guest Log'!$A:$A,Q772))))</f>
        <v/>
      </c>
      <c r="C772" s="40" t="str">
        <f t="shared" si="60"/>
        <v/>
      </c>
      <c r="D772" s="41" t="str">
        <f>IFERROR(MATCH($A772,'Match Log'!$K$3:$K$501,0)+2,"")</f>
        <v/>
      </c>
      <c r="E772" s="41" t="str">
        <f>IFERROR(MATCH($A772,'Tournament Log'!$O$4:$O$203,0)+3,"")</f>
        <v/>
      </c>
      <c r="F772" s="40" t="str">
        <f>IF(C772="","",IF(C772="Match",INDEX('Match Log'!$B:$B,D772),IF(C772="Tournament",INDEX('Tournament Log'!$C:$C,E772),INDEX('Guest Log'!$B:$B,Q772))))</f>
        <v/>
      </c>
      <c r="G772" s="40" t="str">
        <f>IF(C772="","",IF(C772="Match",INDEX('Match Log'!$C:$C,D772),IF(C772="Tournament",INDEX('Tournament Log'!$B:$B,E772)&amp;" (Phantom)",INDEX('Guest Log'!$H:$H,Q772)&amp;" (Guest)")))</f>
        <v/>
      </c>
      <c r="H772" s="40" t="str">
        <f t="array" ref="H772">IF(C772="","",IFERROR(LOOKUP(2,1/(($F$1:F771=F772)+($G$1:G771=F772)),IF($F$1:F771=F772,$N$1:N771,$O$1:O771)),1000))</f>
        <v/>
      </c>
      <c r="I772" s="40" t="str">
        <f t="array" ref="I772">IF(C772="","",IF(C772="Tournament",INDEX('Tournament Log'!$J:$J,E772),IF(C772="Guest",IF(INDEX('Guest Log'!$I:$I,Q772)="",1000,INDEX('Guest Log'!$I:$I,Q772)),IFERROR(LOOKUP(2,1/(($F$1:F771=G772)+($G$1:G771=G772)),IF($F$1:F771=G772,$N$1:N771,$O$1:O771)),1000))))</f>
        <v/>
      </c>
      <c r="J772" s="40" t="str">
        <f t="shared" si="61"/>
        <v/>
      </c>
      <c r="K772" s="12" t="str">
        <f>IF(C772="","",IF(C772="Match",IF(INDEX('Match Log'!$D:$D,D772)="Win",1,IF(INDEX('Match Log'!$D:$D,D772)="Draw",0.5,0)),IF(C772="Tournament",INDEX('Tournament Log'!$K:$K,E772),IF(INDEX('Guest Log'!$C:$C,Q772)="Win",1,IF(INDEX('Guest Log'!$C:$C,Q772)="Draw",0.5,0)))))</f>
        <v/>
      </c>
      <c r="L772" s="12" t="str">
        <f>IF(C772="","",IF(C772="Match",32,IF(C772="Tournament",MIN(32*INDEX('Tournament Log'!$D:$D,E772),96),32)))</f>
        <v/>
      </c>
      <c r="M772" s="12" t="str">
        <f t="shared" si="62"/>
        <v/>
      </c>
      <c r="N772" s="12" t="str">
        <f t="shared" si="63"/>
        <v/>
      </c>
      <c r="O772" s="12" t="str">
        <f t="shared" si="64"/>
        <v/>
      </c>
      <c r="P772" s="12" t="str">
        <f>IF(C772="Tournament",INDEX('Tournament Log'!$B:$B,E772),IF(C772="Guest","Guest: "&amp;INDEX('Guest Log'!$H:$H,Q772),""))</f>
        <v/>
      </c>
      <c r="Q772" t="str">
        <f>IFERROR(MATCH($A772,'Guest Log'!$L$4:$L$203,0)+3,"")</f>
        <v/>
      </c>
    </row>
    <row r="773" spans="1:17" ht="15" customHeight="1" x14ac:dyDescent="0.2">
      <c r="A773" s="40">
        <f>772</f>
        <v>772</v>
      </c>
      <c r="B773" s="40" t="str">
        <f>IF(C773="","",IF(C773="Match",INDEX('Match Log'!$A:$A,D773),IF(C773="Tournament",INDEX('Tournament Log'!$A:$A,E773),INDEX('Guest Log'!$A:$A,Q773))))</f>
        <v/>
      </c>
      <c r="C773" s="40" t="str">
        <f t="shared" si="60"/>
        <v/>
      </c>
      <c r="D773" s="41" t="str">
        <f>IFERROR(MATCH($A773,'Match Log'!$K$3:$K$501,0)+2,"")</f>
        <v/>
      </c>
      <c r="E773" s="41" t="str">
        <f>IFERROR(MATCH($A773,'Tournament Log'!$O$4:$O$203,0)+3,"")</f>
        <v/>
      </c>
      <c r="F773" s="40" t="str">
        <f>IF(C773="","",IF(C773="Match",INDEX('Match Log'!$B:$B,D773),IF(C773="Tournament",INDEX('Tournament Log'!$C:$C,E773),INDEX('Guest Log'!$B:$B,Q773))))</f>
        <v/>
      </c>
      <c r="G773" s="40" t="str">
        <f>IF(C773="","",IF(C773="Match",INDEX('Match Log'!$C:$C,D773),IF(C773="Tournament",INDEX('Tournament Log'!$B:$B,E773)&amp;" (Phantom)",INDEX('Guest Log'!$H:$H,Q773)&amp;" (Guest)")))</f>
        <v/>
      </c>
      <c r="H773" s="40" t="str">
        <f t="array" ref="H773">IF(C773="","",IFERROR(LOOKUP(2,1/(($F$1:F772=F773)+($G$1:G772=F773)),IF($F$1:F772=F773,$N$1:N772,$O$1:O772)),1000))</f>
        <v/>
      </c>
      <c r="I773" s="40" t="str">
        <f t="array" ref="I773">IF(C773="","",IF(C773="Tournament",INDEX('Tournament Log'!$J:$J,E773),IF(C773="Guest",IF(INDEX('Guest Log'!$I:$I,Q773)="",1000,INDEX('Guest Log'!$I:$I,Q773)),IFERROR(LOOKUP(2,1/(($F$1:F772=G773)+($G$1:G772=G773)),IF($F$1:F772=G773,$N$1:N772,$O$1:O772)),1000))))</f>
        <v/>
      </c>
      <c r="J773" s="40" t="str">
        <f t="shared" si="61"/>
        <v/>
      </c>
      <c r="K773" s="12" t="str">
        <f>IF(C773="","",IF(C773="Match",IF(INDEX('Match Log'!$D:$D,D773)="Win",1,IF(INDEX('Match Log'!$D:$D,D773)="Draw",0.5,0)),IF(C773="Tournament",INDEX('Tournament Log'!$K:$K,E773),IF(INDEX('Guest Log'!$C:$C,Q773)="Win",1,IF(INDEX('Guest Log'!$C:$C,Q773)="Draw",0.5,0)))))</f>
        <v/>
      </c>
      <c r="L773" s="12" t="str">
        <f>IF(C773="","",IF(C773="Match",32,IF(C773="Tournament",MIN(32*INDEX('Tournament Log'!$D:$D,E773),96),32)))</f>
        <v/>
      </c>
      <c r="M773" s="12" t="str">
        <f t="shared" si="62"/>
        <v/>
      </c>
      <c r="N773" s="12" t="str">
        <f t="shared" si="63"/>
        <v/>
      </c>
      <c r="O773" s="12" t="str">
        <f t="shared" si="64"/>
        <v/>
      </c>
      <c r="P773" s="12" t="str">
        <f>IF(C773="Tournament",INDEX('Tournament Log'!$B:$B,E773),IF(C773="Guest","Guest: "&amp;INDEX('Guest Log'!$H:$H,Q773),""))</f>
        <v/>
      </c>
      <c r="Q773" t="str">
        <f>IFERROR(MATCH($A773,'Guest Log'!$L$4:$L$203,0)+3,"")</f>
        <v/>
      </c>
    </row>
    <row r="774" spans="1:17" ht="15" customHeight="1" x14ac:dyDescent="0.2">
      <c r="A774" s="40">
        <f>773</f>
        <v>773</v>
      </c>
      <c r="B774" s="40" t="str">
        <f>IF(C774="","",IF(C774="Match",INDEX('Match Log'!$A:$A,D774),IF(C774="Tournament",INDEX('Tournament Log'!$A:$A,E774),INDEX('Guest Log'!$A:$A,Q774))))</f>
        <v/>
      </c>
      <c r="C774" s="40" t="str">
        <f t="shared" si="60"/>
        <v/>
      </c>
      <c r="D774" s="41" t="str">
        <f>IFERROR(MATCH($A774,'Match Log'!$K$3:$K$501,0)+2,"")</f>
        <v/>
      </c>
      <c r="E774" s="41" t="str">
        <f>IFERROR(MATCH($A774,'Tournament Log'!$O$4:$O$203,0)+3,"")</f>
        <v/>
      </c>
      <c r="F774" s="40" t="str">
        <f>IF(C774="","",IF(C774="Match",INDEX('Match Log'!$B:$B,D774),IF(C774="Tournament",INDEX('Tournament Log'!$C:$C,E774),INDEX('Guest Log'!$B:$B,Q774))))</f>
        <v/>
      </c>
      <c r="G774" s="40" t="str">
        <f>IF(C774="","",IF(C774="Match",INDEX('Match Log'!$C:$C,D774),IF(C774="Tournament",INDEX('Tournament Log'!$B:$B,E774)&amp;" (Phantom)",INDEX('Guest Log'!$H:$H,Q774)&amp;" (Guest)")))</f>
        <v/>
      </c>
      <c r="H774" s="40" t="str">
        <f t="array" ref="H774">IF(C774="","",IFERROR(LOOKUP(2,1/(($F$1:F773=F774)+($G$1:G773=F774)),IF($F$1:F773=F774,$N$1:N773,$O$1:O773)),1000))</f>
        <v/>
      </c>
      <c r="I774" s="40" t="str">
        <f t="array" ref="I774">IF(C774="","",IF(C774="Tournament",INDEX('Tournament Log'!$J:$J,E774),IF(C774="Guest",IF(INDEX('Guest Log'!$I:$I,Q774)="",1000,INDEX('Guest Log'!$I:$I,Q774)),IFERROR(LOOKUP(2,1/(($F$1:F773=G774)+($G$1:G773=G774)),IF($F$1:F773=G774,$N$1:N773,$O$1:O773)),1000))))</f>
        <v/>
      </c>
      <c r="J774" s="40" t="str">
        <f t="shared" si="61"/>
        <v/>
      </c>
      <c r="K774" s="12" t="str">
        <f>IF(C774="","",IF(C774="Match",IF(INDEX('Match Log'!$D:$D,D774)="Win",1,IF(INDEX('Match Log'!$D:$D,D774)="Draw",0.5,0)),IF(C774="Tournament",INDEX('Tournament Log'!$K:$K,E774),IF(INDEX('Guest Log'!$C:$C,Q774)="Win",1,IF(INDEX('Guest Log'!$C:$C,Q774)="Draw",0.5,0)))))</f>
        <v/>
      </c>
      <c r="L774" s="12" t="str">
        <f>IF(C774="","",IF(C774="Match",32,IF(C774="Tournament",MIN(32*INDEX('Tournament Log'!$D:$D,E774),96),32)))</f>
        <v/>
      </c>
      <c r="M774" s="12" t="str">
        <f t="shared" si="62"/>
        <v/>
      </c>
      <c r="N774" s="12" t="str">
        <f t="shared" si="63"/>
        <v/>
      </c>
      <c r="O774" s="12" t="str">
        <f t="shared" si="64"/>
        <v/>
      </c>
      <c r="P774" s="12" t="str">
        <f>IF(C774="Tournament",INDEX('Tournament Log'!$B:$B,E774),IF(C774="Guest","Guest: "&amp;INDEX('Guest Log'!$H:$H,Q774),""))</f>
        <v/>
      </c>
      <c r="Q774" t="str">
        <f>IFERROR(MATCH($A774,'Guest Log'!$L$4:$L$203,0)+3,"")</f>
        <v/>
      </c>
    </row>
    <row r="775" spans="1:17" ht="15" customHeight="1" x14ac:dyDescent="0.2">
      <c r="A775" s="40">
        <f>774</f>
        <v>774</v>
      </c>
      <c r="B775" s="40" t="str">
        <f>IF(C775="","",IF(C775="Match",INDEX('Match Log'!$A:$A,D775),IF(C775="Tournament",INDEX('Tournament Log'!$A:$A,E775),INDEX('Guest Log'!$A:$A,Q775))))</f>
        <v/>
      </c>
      <c r="C775" s="40" t="str">
        <f t="shared" si="60"/>
        <v/>
      </c>
      <c r="D775" s="41" t="str">
        <f>IFERROR(MATCH($A775,'Match Log'!$K$3:$K$501,0)+2,"")</f>
        <v/>
      </c>
      <c r="E775" s="41" t="str">
        <f>IFERROR(MATCH($A775,'Tournament Log'!$O$4:$O$203,0)+3,"")</f>
        <v/>
      </c>
      <c r="F775" s="40" t="str">
        <f>IF(C775="","",IF(C775="Match",INDEX('Match Log'!$B:$B,D775),IF(C775="Tournament",INDEX('Tournament Log'!$C:$C,E775),INDEX('Guest Log'!$B:$B,Q775))))</f>
        <v/>
      </c>
      <c r="G775" s="40" t="str">
        <f>IF(C775="","",IF(C775="Match",INDEX('Match Log'!$C:$C,D775),IF(C775="Tournament",INDEX('Tournament Log'!$B:$B,E775)&amp;" (Phantom)",INDEX('Guest Log'!$H:$H,Q775)&amp;" (Guest)")))</f>
        <v/>
      </c>
      <c r="H775" s="40" t="str">
        <f t="array" ref="H775">IF(C775="","",IFERROR(LOOKUP(2,1/(($F$1:F774=F775)+($G$1:G774=F775)),IF($F$1:F774=F775,$N$1:N774,$O$1:O774)),1000))</f>
        <v/>
      </c>
      <c r="I775" s="40" t="str">
        <f t="array" ref="I775">IF(C775="","",IF(C775="Tournament",INDEX('Tournament Log'!$J:$J,E775),IF(C775="Guest",IF(INDEX('Guest Log'!$I:$I,Q775)="",1000,INDEX('Guest Log'!$I:$I,Q775)),IFERROR(LOOKUP(2,1/(($F$1:F774=G775)+($G$1:G774=G775)),IF($F$1:F774=G775,$N$1:N774,$O$1:O774)),1000))))</f>
        <v/>
      </c>
      <c r="J775" s="40" t="str">
        <f t="shared" si="61"/>
        <v/>
      </c>
      <c r="K775" s="12" t="str">
        <f>IF(C775="","",IF(C775="Match",IF(INDEX('Match Log'!$D:$D,D775)="Win",1,IF(INDEX('Match Log'!$D:$D,D775)="Draw",0.5,0)),IF(C775="Tournament",INDEX('Tournament Log'!$K:$K,E775),IF(INDEX('Guest Log'!$C:$C,Q775)="Win",1,IF(INDEX('Guest Log'!$C:$C,Q775)="Draw",0.5,0)))))</f>
        <v/>
      </c>
      <c r="L775" s="12" t="str">
        <f>IF(C775="","",IF(C775="Match",32,IF(C775="Tournament",MIN(32*INDEX('Tournament Log'!$D:$D,E775),96),32)))</f>
        <v/>
      </c>
      <c r="M775" s="12" t="str">
        <f t="shared" si="62"/>
        <v/>
      </c>
      <c r="N775" s="12" t="str">
        <f t="shared" si="63"/>
        <v/>
      </c>
      <c r="O775" s="12" t="str">
        <f t="shared" si="64"/>
        <v/>
      </c>
      <c r="P775" s="12" t="str">
        <f>IF(C775="Tournament",INDEX('Tournament Log'!$B:$B,E775),IF(C775="Guest","Guest: "&amp;INDEX('Guest Log'!$H:$H,Q775),""))</f>
        <v/>
      </c>
      <c r="Q775" t="str">
        <f>IFERROR(MATCH($A775,'Guest Log'!$L$4:$L$203,0)+3,"")</f>
        <v/>
      </c>
    </row>
    <row r="776" spans="1:17" ht="15" customHeight="1" x14ac:dyDescent="0.2">
      <c r="A776" s="40">
        <f>775</f>
        <v>775</v>
      </c>
      <c r="B776" s="40" t="str">
        <f>IF(C776="","",IF(C776="Match",INDEX('Match Log'!$A:$A,D776),IF(C776="Tournament",INDEX('Tournament Log'!$A:$A,E776),INDEX('Guest Log'!$A:$A,Q776))))</f>
        <v/>
      </c>
      <c r="C776" s="40" t="str">
        <f t="shared" si="60"/>
        <v/>
      </c>
      <c r="D776" s="41" t="str">
        <f>IFERROR(MATCH($A776,'Match Log'!$K$3:$K$501,0)+2,"")</f>
        <v/>
      </c>
      <c r="E776" s="41" t="str">
        <f>IFERROR(MATCH($A776,'Tournament Log'!$O$4:$O$203,0)+3,"")</f>
        <v/>
      </c>
      <c r="F776" s="40" t="str">
        <f>IF(C776="","",IF(C776="Match",INDEX('Match Log'!$B:$B,D776),IF(C776="Tournament",INDEX('Tournament Log'!$C:$C,E776),INDEX('Guest Log'!$B:$B,Q776))))</f>
        <v/>
      </c>
      <c r="G776" s="40" t="str">
        <f>IF(C776="","",IF(C776="Match",INDEX('Match Log'!$C:$C,D776),IF(C776="Tournament",INDEX('Tournament Log'!$B:$B,E776)&amp;" (Phantom)",INDEX('Guest Log'!$H:$H,Q776)&amp;" (Guest)")))</f>
        <v/>
      </c>
      <c r="H776" s="40" t="str">
        <f t="array" ref="H776">IF(C776="","",IFERROR(LOOKUP(2,1/(($F$1:F775=F776)+($G$1:G775=F776)),IF($F$1:F775=F776,$N$1:N775,$O$1:O775)),1000))</f>
        <v/>
      </c>
      <c r="I776" s="40" t="str">
        <f t="array" ref="I776">IF(C776="","",IF(C776="Tournament",INDEX('Tournament Log'!$J:$J,E776),IF(C776="Guest",IF(INDEX('Guest Log'!$I:$I,Q776)="",1000,INDEX('Guest Log'!$I:$I,Q776)),IFERROR(LOOKUP(2,1/(($F$1:F775=G776)+($G$1:G775=G776)),IF($F$1:F775=G776,$N$1:N775,$O$1:O775)),1000))))</f>
        <v/>
      </c>
      <c r="J776" s="40" t="str">
        <f t="shared" si="61"/>
        <v/>
      </c>
      <c r="K776" s="12" t="str">
        <f>IF(C776="","",IF(C776="Match",IF(INDEX('Match Log'!$D:$D,D776)="Win",1,IF(INDEX('Match Log'!$D:$D,D776)="Draw",0.5,0)),IF(C776="Tournament",INDEX('Tournament Log'!$K:$K,E776),IF(INDEX('Guest Log'!$C:$C,Q776)="Win",1,IF(INDEX('Guest Log'!$C:$C,Q776)="Draw",0.5,0)))))</f>
        <v/>
      </c>
      <c r="L776" s="12" t="str">
        <f>IF(C776="","",IF(C776="Match",32,IF(C776="Tournament",MIN(32*INDEX('Tournament Log'!$D:$D,E776),96),32)))</f>
        <v/>
      </c>
      <c r="M776" s="12" t="str">
        <f t="shared" si="62"/>
        <v/>
      </c>
      <c r="N776" s="12" t="str">
        <f t="shared" si="63"/>
        <v/>
      </c>
      <c r="O776" s="12" t="str">
        <f t="shared" si="64"/>
        <v/>
      </c>
      <c r="P776" s="12" t="str">
        <f>IF(C776="Tournament",INDEX('Tournament Log'!$B:$B,E776),IF(C776="Guest","Guest: "&amp;INDEX('Guest Log'!$H:$H,Q776),""))</f>
        <v/>
      </c>
      <c r="Q776" t="str">
        <f>IFERROR(MATCH($A776,'Guest Log'!$L$4:$L$203,0)+3,"")</f>
        <v/>
      </c>
    </row>
    <row r="777" spans="1:17" ht="15" customHeight="1" x14ac:dyDescent="0.2">
      <c r="A777" s="40">
        <f>776</f>
        <v>776</v>
      </c>
      <c r="B777" s="40" t="str">
        <f>IF(C777="","",IF(C777="Match",INDEX('Match Log'!$A:$A,D777),IF(C777="Tournament",INDEX('Tournament Log'!$A:$A,E777),INDEX('Guest Log'!$A:$A,Q777))))</f>
        <v/>
      </c>
      <c r="C777" s="40" t="str">
        <f t="shared" si="60"/>
        <v/>
      </c>
      <c r="D777" s="41" t="str">
        <f>IFERROR(MATCH($A777,'Match Log'!$K$3:$K$501,0)+2,"")</f>
        <v/>
      </c>
      <c r="E777" s="41" t="str">
        <f>IFERROR(MATCH($A777,'Tournament Log'!$O$4:$O$203,0)+3,"")</f>
        <v/>
      </c>
      <c r="F777" s="40" t="str">
        <f>IF(C777="","",IF(C777="Match",INDEX('Match Log'!$B:$B,D777),IF(C777="Tournament",INDEX('Tournament Log'!$C:$C,E777),INDEX('Guest Log'!$B:$B,Q777))))</f>
        <v/>
      </c>
      <c r="G777" s="40" t="str">
        <f>IF(C777="","",IF(C777="Match",INDEX('Match Log'!$C:$C,D777),IF(C777="Tournament",INDEX('Tournament Log'!$B:$B,E777)&amp;" (Phantom)",INDEX('Guest Log'!$H:$H,Q777)&amp;" (Guest)")))</f>
        <v/>
      </c>
      <c r="H777" s="40" t="str">
        <f t="array" ref="H777">IF(C777="","",IFERROR(LOOKUP(2,1/(($F$1:F776=F777)+($G$1:G776=F777)),IF($F$1:F776=F777,$N$1:N776,$O$1:O776)),1000))</f>
        <v/>
      </c>
      <c r="I777" s="40" t="str">
        <f t="array" ref="I777">IF(C777="","",IF(C777="Tournament",INDEX('Tournament Log'!$J:$J,E777),IF(C777="Guest",IF(INDEX('Guest Log'!$I:$I,Q777)="",1000,INDEX('Guest Log'!$I:$I,Q777)),IFERROR(LOOKUP(2,1/(($F$1:F776=G777)+($G$1:G776=G777)),IF($F$1:F776=G777,$N$1:N776,$O$1:O776)),1000))))</f>
        <v/>
      </c>
      <c r="J777" s="40" t="str">
        <f t="shared" si="61"/>
        <v/>
      </c>
      <c r="K777" s="12" t="str">
        <f>IF(C777="","",IF(C777="Match",IF(INDEX('Match Log'!$D:$D,D777)="Win",1,IF(INDEX('Match Log'!$D:$D,D777)="Draw",0.5,0)),IF(C777="Tournament",INDEX('Tournament Log'!$K:$K,E777),IF(INDEX('Guest Log'!$C:$C,Q777)="Win",1,IF(INDEX('Guest Log'!$C:$C,Q777)="Draw",0.5,0)))))</f>
        <v/>
      </c>
      <c r="L777" s="12" t="str">
        <f>IF(C777="","",IF(C777="Match",32,IF(C777="Tournament",MIN(32*INDEX('Tournament Log'!$D:$D,E777),96),32)))</f>
        <v/>
      </c>
      <c r="M777" s="12" t="str">
        <f t="shared" si="62"/>
        <v/>
      </c>
      <c r="N777" s="12" t="str">
        <f t="shared" si="63"/>
        <v/>
      </c>
      <c r="O777" s="12" t="str">
        <f t="shared" si="64"/>
        <v/>
      </c>
      <c r="P777" s="12" t="str">
        <f>IF(C777="Tournament",INDEX('Tournament Log'!$B:$B,E777),IF(C777="Guest","Guest: "&amp;INDEX('Guest Log'!$H:$H,Q777),""))</f>
        <v/>
      </c>
      <c r="Q777" t="str">
        <f>IFERROR(MATCH($A777,'Guest Log'!$L$4:$L$203,0)+3,"")</f>
        <v/>
      </c>
    </row>
    <row r="778" spans="1:17" ht="15" customHeight="1" x14ac:dyDescent="0.2">
      <c r="A778" s="40">
        <f>777</f>
        <v>777</v>
      </c>
      <c r="B778" s="40" t="str">
        <f>IF(C778="","",IF(C778="Match",INDEX('Match Log'!$A:$A,D778),IF(C778="Tournament",INDEX('Tournament Log'!$A:$A,E778),INDEX('Guest Log'!$A:$A,Q778))))</f>
        <v/>
      </c>
      <c r="C778" s="40" t="str">
        <f t="shared" si="60"/>
        <v/>
      </c>
      <c r="D778" s="41" t="str">
        <f>IFERROR(MATCH($A778,'Match Log'!$K$3:$K$501,0)+2,"")</f>
        <v/>
      </c>
      <c r="E778" s="41" t="str">
        <f>IFERROR(MATCH($A778,'Tournament Log'!$O$4:$O$203,0)+3,"")</f>
        <v/>
      </c>
      <c r="F778" s="40" t="str">
        <f>IF(C778="","",IF(C778="Match",INDEX('Match Log'!$B:$B,D778),IF(C778="Tournament",INDEX('Tournament Log'!$C:$C,E778),INDEX('Guest Log'!$B:$B,Q778))))</f>
        <v/>
      </c>
      <c r="G778" s="40" t="str">
        <f>IF(C778="","",IF(C778="Match",INDEX('Match Log'!$C:$C,D778),IF(C778="Tournament",INDEX('Tournament Log'!$B:$B,E778)&amp;" (Phantom)",INDEX('Guest Log'!$H:$H,Q778)&amp;" (Guest)")))</f>
        <v/>
      </c>
      <c r="H778" s="40" t="str">
        <f t="array" ref="H778">IF(C778="","",IFERROR(LOOKUP(2,1/(($F$1:F777=F778)+($G$1:G777=F778)),IF($F$1:F777=F778,$N$1:N777,$O$1:O777)),1000))</f>
        <v/>
      </c>
      <c r="I778" s="40" t="str">
        <f t="array" ref="I778">IF(C778="","",IF(C778="Tournament",INDEX('Tournament Log'!$J:$J,E778),IF(C778="Guest",IF(INDEX('Guest Log'!$I:$I,Q778)="",1000,INDEX('Guest Log'!$I:$I,Q778)),IFERROR(LOOKUP(2,1/(($F$1:F777=G778)+($G$1:G777=G778)),IF($F$1:F777=G778,$N$1:N777,$O$1:O777)),1000))))</f>
        <v/>
      </c>
      <c r="J778" s="40" t="str">
        <f t="shared" si="61"/>
        <v/>
      </c>
      <c r="K778" s="12" t="str">
        <f>IF(C778="","",IF(C778="Match",IF(INDEX('Match Log'!$D:$D,D778)="Win",1,IF(INDEX('Match Log'!$D:$D,D778)="Draw",0.5,0)),IF(C778="Tournament",INDEX('Tournament Log'!$K:$K,E778),IF(INDEX('Guest Log'!$C:$C,Q778)="Win",1,IF(INDEX('Guest Log'!$C:$C,Q778)="Draw",0.5,0)))))</f>
        <v/>
      </c>
      <c r="L778" s="12" t="str">
        <f>IF(C778="","",IF(C778="Match",32,IF(C778="Tournament",MIN(32*INDEX('Tournament Log'!$D:$D,E778),96),32)))</f>
        <v/>
      </c>
      <c r="M778" s="12" t="str">
        <f t="shared" si="62"/>
        <v/>
      </c>
      <c r="N778" s="12" t="str">
        <f t="shared" si="63"/>
        <v/>
      </c>
      <c r="O778" s="12" t="str">
        <f t="shared" si="64"/>
        <v/>
      </c>
      <c r="P778" s="12" t="str">
        <f>IF(C778="Tournament",INDEX('Tournament Log'!$B:$B,E778),IF(C778="Guest","Guest: "&amp;INDEX('Guest Log'!$H:$H,Q778),""))</f>
        <v/>
      </c>
      <c r="Q778" t="str">
        <f>IFERROR(MATCH($A778,'Guest Log'!$L$4:$L$203,0)+3,"")</f>
        <v/>
      </c>
    </row>
    <row r="779" spans="1:17" ht="15" customHeight="1" x14ac:dyDescent="0.2">
      <c r="A779" s="40">
        <f>778</f>
        <v>778</v>
      </c>
      <c r="B779" s="40" t="str">
        <f>IF(C779="","",IF(C779="Match",INDEX('Match Log'!$A:$A,D779),IF(C779="Tournament",INDEX('Tournament Log'!$A:$A,E779),INDEX('Guest Log'!$A:$A,Q779))))</f>
        <v/>
      </c>
      <c r="C779" s="40" t="str">
        <f t="shared" si="60"/>
        <v/>
      </c>
      <c r="D779" s="41" t="str">
        <f>IFERROR(MATCH($A779,'Match Log'!$K$3:$K$501,0)+2,"")</f>
        <v/>
      </c>
      <c r="E779" s="41" t="str">
        <f>IFERROR(MATCH($A779,'Tournament Log'!$O$4:$O$203,0)+3,"")</f>
        <v/>
      </c>
      <c r="F779" s="40" t="str">
        <f>IF(C779="","",IF(C779="Match",INDEX('Match Log'!$B:$B,D779),IF(C779="Tournament",INDEX('Tournament Log'!$C:$C,E779),INDEX('Guest Log'!$B:$B,Q779))))</f>
        <v/>
      </c>
      <c r="G779" s="40" t="str">
        <f>IF(C779="","",IF(C779="Match",INDEX('Match Log'!$C:$C,D779),IF(C779="Tournament",INDEX('Tournament Log'!$B:$B,E779)&amp;" (Phantom)",INDEX('Guest Log'!$H:$H,Q779)&amp;" (Guest)")))</f>
        <v/>
      </c>
      <c r="H779" s="40" t="str">
        <f t="array" ref="H779">IF(C779="","",IFERROR(LOOKUP(2,1/(($F$1:F778=F779)+($G$1:G778=F779)),IF($F$1:F778=F779,$N$1:N778,$O$1:O778)),1000))</f>
        <v/>
      </c>
      <c r="I779" s="40" t="str">
        <f t="array" ref="I779">IF(C779="","",IF(C779="Tournament",INDEX('Tournament Log'!$J:$J,E779),IF(C779="Guest",IF(INDEX('Guest Log'!$I:$I,Q779)="",1000,INDEX('Guest Log'!$I:$I,Q779)),IFERROR(LOOKUP(2,1/(($F$1:F778=G779)+($G$1:G778=G779)),IF($F$1:F778=G779,$N$1:N778,$O$1:O778)),1000))))</f>
        <v/>
      </c>
      <c r="J779" s="40" t="str">
        <f t="shared" si="61"/>
        <v/>
      </c>
      <c r="K779" s="12" t="str">
        <f>IF(C779="","",IF(C779="Match",IF(INDEX('Match Log'!$D:$D,D779)="Win",1,IF(INDEX('Match Log'!$D:$D,D779)="Draw",0.5,0)),IF(C779="Tournament",INDEX('Tournament Log'!$K:$K,E779),IF(INDEX('Guest Log'!$C:$C,Q779)="Win",1,IF(INDEX('Guest Log'!$C:$C,Q779)="Draw",0.5,0)))))</f>
        <v/>
      </c>
      <c r="L779" s="12" t="str">
        <f>IF(C779="","",IF(C779="Match",32,IF(C779="Tournament",MIN(32*INDEX('Tournament Log'!$D:$D,E779),96),32)))</f>
        <v/>
      </c>
      <c r="M779" s="12" t="str">
        <f t="shared" si="62"/>
        <v/>
      </c>
      <c r="N779" s="12" t="str">
        <f t="shared" si="63"/>
        <v/>
      </c>
      <c r="O779" s="12" t="str">
        <f t="shared" si="64"/>
        <v/>
      </c>
      <c r="P779" s="12" t="str">
        <f>IF(C779="Tournament",INDEX('Tournament Log'!$B:$B,E779),IF(C779="Guest","Guest: "&amp;INDEX('Guest Log'!$H:$H,Q779),""))</f>
        <v/>
      </c>
      <c r="Q779" t="str">
        <f>IFERROR(MATCH($A779,'Guest Log'!$L$4:$L$203,0)+3,"")</f>
        <v/>
      </c>
    </row>
    <row r="780" spans="1:17" ht="15" customHeight="1" x14ac:dyDescent="0.2">
      <c r="A780" s="40">
        <f>779</f>
        <v>779</v>
      </c>
      <c r="B780" s="40" t="str">
        <f>IF(C780="","",IF(C780="Match",INDEX('Match Log'!$A:$A,D780),IF(C780="Tournament",INDEX('Tournament Log'!$A:$A,E780),INDEX('Guest Log'!$A:$A,Q780))))</f>
        <v/>
      </c>
      <c r="C780" s="40" t="str">
        <f t="shared" si="60"/>
        <v/>
      </c>
      <c r="D780" s="41" t="str">
        <f>IFERROR(MATCH($A780,'Match Log'!$K$3:$K$501,0)+2,"")</f>
        <v/>
      </c>
      <c r="E780" s="41" t="str">
        <f>IFERROR(MATCH($A780,'Tournament Log'!$O$4:$O$203,0)+3,"")</f>
        <v/>
      </c>
      <c r="F780" s="40" t="str">
        <f>IF(C780="","",IF(C780="Match",INDEX('Match Log'!$B:$B,D780),IF(C780="Tournament",INDEX('Tournament Log'!$C:$C,E780),INDEX('Guest Log'!$B:$B,Q780))))</f>
        <v/>
      </c>
      <c r="G780" s="40" t="str">
        <f>IF(C780="","",IF(C780="Match",INDEX('Match Log'!$C:$C,D780),IF(C780="Tournament",INDEX('Tournament Log'!$B:$B,E780)&amp;" (Phantom)",INDEX('Guest Log'!$H:$H,Q780)&amp;" (Guest)")))</f>
        <v/>
      </c>
      <c r="H780" s="40" t="str">
        <f t="array" ref="H780">IF(C780="","",IFERROR(LOOKUP(2,1/(($F$1:F779=F780)+($G$1:G779=F780)),IF($F$1:F779=F780,$N$1:N779,$O$1:O779)),1000))</f>
        <v/>
      </c>
      <c r="I780" s="40" t="str">
        <f t="array" ref="I780">IF(C780="","",IF(C780="Tournament",INDEX('Tournament Log'!$J:$J,E780),IF(C780="Guest",IF(INDEX('Guest Log'!$I:$I,Q780)="",1000,INDEX('Guest Log'!$I:$I,Q780)),IFERROR(LOOKUP(2,1/(($F$1:F779=G780)+($G$1:G779=G780)),IF($F$1:F779=G780,$N$1:N779,$O$1:O779)),1000))))</f>
        <v/>
      </c>
      <c r="J780" s="40" t="str">
        <f t="shared" si="61"/>
        <v/>
      </c>
      <c r="K780" s="12" t="str">
        <f>IF(C780="","",IF(C780="Match",IF(INDEX('Match Log'!$D:$D,D780)="Win",1,IF(INDEX('Match Log'!$D:$D,D780)="Draw",0.5,0)),IF(C780="Tournament",INDEX('Tournament Log'!$K:$K,E780),IF(INDEX('Guest Log'!$C:$C,Q780)="Win",1,IF(INDEX('Guest Log'!$C:$C,Q780)="Draw",0.5,0)))))</f>
        <v/>
      </c>
      <c r="L780" s="12" t="str">
        <f>IF(C780="","",IF(C780="Match",32,IF(C780="Tournament",MIN(32*INDEX('Tournament Log'!$D:$D,E780),96),32)))</f>
        <v/>
      </c>
      <c r="M780" s="12" t="str">
        <f t="shared" si="62"/>
        <v/>
      </c>
      <c r="N780" s="12" t="str">
        <f t="shared" si="63"/>
        <v/>
      </c>
      <c r="O780" s="12" t="str">
        <f t="shared" si="64"/>
        <v/>
      </c>
      <c r="P780" s="12" t="str">
        <f>IF(C780="Tournament",INDEX('Tournament Log'!$B:$B,E780),IF(C780="Guest","Guest: "&amp;INDEX('Guest Log'!$H:$H,Q780),""))</f>
        <v/>
      </c>
      <c r="Q780" t="str">
        <f>IFERROR(MATCH($A780,'Guest Log'!$L$4:$L$203,0)+3,"")</f>
        <v/>
      </c>
    </row>
    <row r="781" spans="1:17" ht="15" customHeight="1" x14ac:dyDescent="0.2">
      <c r="A781" s="40">
        <f>780</f>
        <v>780</v>
      </c>
      <c r="B781" s="40" t="str">
        <f>IF(C781="","",IF(C781="Match",INDEX('Match Log'!$A:$A,D781),IF(C781="Tournament",INDEX('Tournament Log'!$A:$A,E781),INDEX('Guest Log'!$A:$A,Q781))))</f>
        <v/>
      </c>
      <c r="C781" s="40" t="str">
        <f t="shared" si="60"/>
        <v/>
      </c>
      <c r="D781" s="41" t="str">
        <f>IFERROR(MATCH($A781,'Match Log'!$K$3:$K$501,0)+2,"")</f>
        <v/>
      </c>
      <c r="E781" s="41" t="str">
        <f>IFERROR(MATCH($A781,'Tournament Log'!$O$4:$O$203,0)+3,"")</f>
        <v/>
      </c>
      <c r="F781" s="40" t="str">
        <f>IF(C781="","",IF(C781="Match",INDEX('Match Log'!$B:$B,D781),IF(C781="Tournament",INDEX('Tournament Log'!$C:$C,E781),INDEX('Guest Log'!$B:$B,Q781))))</f>
        <v/>
      </c>
      <c r="G781" s="40" t="str">
        <f>IF(C781="","",IF(C781="Match",INDEX('Match Log'!$C:$C,D781),IF(C781="Tournament",INDEX('Tournament Log'!$B:$B,E781)&amp;" (Phantom)",INDEX('Guest Log'!$H:$H,Q781)&amp;" (Guest)")))</f>
        <v/>
      </c>
      <c r="H781" s="40" t="str">
        <f t="array" ref="H781">IF(C781="","",IFERROR(LOOKUP(2,1/(($F$1:F780=F781)+($G$1:G780=F781)),IF($F$1:F780=F781,$N$1:N780,$O$1:O780)),1000))</f>
        <v/>
      </c>
      <c r="I781" s="40" t="str">
        <f t="array" ref="I781">IF(C781="","",IF(C781="Tournament",INDEX('Tournament Log'!$J:$J,E781),IF(C781="Guest",IF(INDEX('Guest Log'!$I:$I,Q781)="",1000,INDEX('Guest Log'!$I:$I,Q781)),IFERROR(LOOKUP(2,1/(($F$1:F780=G781)+($G$1:G780=G781)),IF($F$1:F780=G781,$N$1:N780,$O$1:O780)),1000))))</f>
        <v/>
      </c>
      <c r="J781" s="40" t="str">
        <f t="shared" si="61"/>
        <v/>
      </c>
      <c r="K781" s="12" t="str">
        <f>IF(C781="","",IF(C781="Match",IF(INDEX('Match Log'!$D:$D,D781)="Win",1,IF(INDEX('Match Log'!$D:$D,D781)="Draw",0.5,0)),IF(C781="Tournament",INDEX('Tournament Log'!$K:$K,E781),IF(INDEX('Guest Log'!$C:$C,Q781)="Win",1,IF(INDEX('Guest Log'!$C:$C,Q781)="Draw",0.5,0)))))</f>
        <v/>
      </c>
      <c r="L781" s="12" t="str">
        <f>IF(C781="","",IF(C781="Match",32,IF(C781="Tournament",MIN(32*INDEX('Tournament Log'!$D:$D,E781),96),32)))</f>
        <v/>
      </c>
      <c r="M781" s="12" t="str">
        <f t="shared" si="62"/>
        <v/>
      </c>
      <c r="N781" s="12" t="str">
        <f t="shared" si="63"/>
        <v/>
      </c>
      <c r="O781" s="12" t="str">
        <f t="shared" si="64"/>
        <v/>
      </c>
      <c r="P781" s="12" t="str">
        <f>IF(C781="Tournament",INDEX('Tournament Log'!$B:$B,E781),IF(C781="Guest","Guest: "&amp;INDEX('Guest Log'!$H:$H,Q781),""))</f>
        <v/>
      </c>
      <c r="Q781" t="str">
        <f>IFERROR(MATCH($A781,'Guest Log'!$L$4:$L$203,0)+3,"")</f>
        <v/>
      </c>
    </row>
    <row r="782" spans="1:17" ht="15" customHeight="1" x14ac:dyDescent="0.2">
      <c r="A782" s="40">
        <f>781</f>
        <v>781</v>
      </c>
      <c r="B782" s="40" t="str">
        <f>IF(C782="","",IF(C782="Match",INDEX('Match Log'!$A:$A,D782),IF(C782="Tournament",INDEX('Tournament Log'!$A:$A,E782),INDEX('Guest Log'!$A:$A,Q782))))</f>
        <v/>
      </c>
      <c r="C782" s="40" t="str">
        <f t="shared" si="60"/>
        <v/>
      </c>
      <c r="D782" s="41" t="str">
        <f>IFERROR(MATCH($A782,'Match Log'!$K$3:$K$501,0)+2,"")</f>
        <v/>
      </c>
      <c r="E782" s="41" t="str">
        <f>IFERROR(MATCH($A782,'Tournament Log'!$O$4:$O$203,0)+3,"")</f>
        <v/>
      </c>
      <c r="F782" s="40" t="str">
        <f>IF(C782="","",IF(C782="Match",INDEX('Match Log'!$B:$B,D782),IF(C782="Tournament",INDEX('Tournament Log'!$C:$C,E782),INDEX('Guest Log'!$B:$B,Q782))))</f>
        <v/>
      </c>
      <c r="G782" s="40" t="str">
        <f>IF(C782="","",IF(C782="Match",INDEX('Match Log'!$C:$C,D782),IF(C782="Tournament",INDEX('Tournament Log'!$B:$B,E782)&amp;" (Phantom)",INDEX('Guest Log'!$H:$H,Q782)&amp;" (Guest)")))</f>
        <v/>
      </c>
      <c r="H782" s="40" t="str">
        <f t="array" ref="H782">IF(C782="","",IFERROR(LOOKUP(2,1/(($F$1:F781=F782)+($G$1:G781=F782)),IF($F$1:F781=F782,$N$1:N781,$O$1:O781)),1000))</f>
        <v/>
      </c>
      <c r="I782" s="40" t="str">
        <f t="array" ref="I782">IF(C782="","",IF(C782="Tournament",INDEX('Tournament Log'!$J:$J,E782),IF(C782="Guest",IF(INDEX('Guest Log'!$I:$I,Q782)="",1000,INDEX('Guest Log'!$I:$I,Q782)),IFERROR(LOOKUP(2,1/(($F$1:F781=G782)+($G$1:G781=G782)),IF($F$1:F781=G782,$N$1:N781,$O$1:O781)),1000))))</f>
        <v/>
      </c>
      <c r="J782" s="40" t="str">
        <f t="shared" si="61"/>
        <v/>
      </c>
      <c r="K782" s="12" t="str">
        <f>IF(C782="","",IF(C782="Match",IF(INDEX('Match Log'!$D:$D,D782)="Win",1,IF(INDEX('Match Log'!$D:$D,D782)="Draw",0.5,0)),IF(C782="Tournament",INDEX('Tournament Log'!$K:$K,E782),IF(INDEX('Guest Log'!$C:$C,Q782)="Win",1,IF(INDEX('Guest Log'!$C:$C,Q782)="Draw",0.5,0)))))</f>
        <v/>
      </c>
      <c r="L782" s="12" t="str">
        <f>IF(C782="","",IF(C782="Match",32,IF(C782="Tournament",MIN(32*INDEX('Tournament Log'!$D:$D,E782),96),32)))</f>
        <v/>
      </c>
      <c r="M782" s="12" t="str">
        <f t="shared" si="62"/>
        <v/>
      </c>
      <c r="N782" s="12" t="str">
        <f t="shared" si="63"/>
        <v/>
      </c>
      <c r="O782" s="12" t="str">
        <f t="shared" si="64"/>
        <v/>
      </c>
      <c r="P782" s="12" t="str">
        <f>IF(C782="Tournament",INDEX('Tournament Log'!$B:$B,E782),IF(C782="Guest","Guest: "&amp;INDEX('Guest Log'!$H:$H,Q782),""))</f>
        <v/>
      </c>
      <c r="Q782" t="str">
        <f>IFERROR(MATCH($A782,'Guest Log'!$L$4:$L$203,0)+3,"")</f>
        <v/>
      </c>
    </row>
    <row r="783" spans="1:17" ht="15" customHeight="1" x14ac:dyDescent="0.2">
      <c r="A783" s="40">
        <f>782</f>
        <v>782</v>
      </c>
      <c r="B783" s="40" t="str">
        <f>IF(C783="","",IF(C783="Match",INDEX('Match Log'!$A:$A,D783),IF(C783="Tournament",INDEX('Tournament Log'!$A:$A,E783),INDEX('Guest Log'!$A:$A,Q783))))</f>
        <v/>
      </c>
      <c r="C783" s="40" t="str">
        <f t="shared" si="60"/>
        <v/>
      </c>
      <c r="D783" s="41" t="str">
        <f>IFERROR(MATCH($A783,'Match Log'!$K$3:$K$501,0)+2,"")</f>
        <v/>
      </c>
      <c r="E783" s="41" t="str">
        <f>IFERROR(MATCH($A783,'Tournament Log'!$O$4:$O$203,0)+3,"")</f>
        <v/>
      </c>
      <c r="F783" s="40" t="str">
        <f>IF(C783="","",IF(C783="Match",INDEX('Match Log'!$B:$B,D783),IF(C783="Tournament",INDEX('Tournament Log'!$C:$C,E783),INDEX('Guest Log'!$B:$B,Q783))))</f>
        <v/>
      </c>
      <c r="G783" s="40" t="str">
        <f>IF(C783="","",IF(C783="Match",INDEX('Match Log'!$C:$C,D783),IF(C783="Tournament",INDEX('Tournament Log'!$B:$B,E783)&amp;" (Phantom)",INDEX('Guest Log'!$H:$H,Q783)&amp;" (Guest)")))</f>
        <v/>
      </c>
      <c r="H783" s="40" t="str">
        <f t="array" ref="H783">IF(C783="","",IFERROR(LOOKUP(2,1/(($F$1:F782=F783)+($G$1:G782=F783)),IF($F$1:F782=F783,$N$1:N782,$O$1:O782)),1000))</f>
        <v/>
      </c>
      <c r="I783" s="40" t="str">
        <f t="array" ref="I783">IF(C783="","",IF(C783="Tournament",INDEX('Tournament Log'!$J:$J,E783),IF(C783="Guest",IF(INDEX('Guest Log'!$I:$I,Q783)="",1000,INDEX('Guest Log'!$I:$I,Q783)),IFERROR(LOOKUP(2,1/(($F$1:F782=G783)+($G$1:G782=G783)),IF($F$1:F782=G783,$N$1:N782,$O$1:O782)),1000))))</f>
        <v/>
      </c>
      <c r="J783" s="40" t="str">
        <f t="shared" si="61"/>
        <v/>
      </c>
      <c r="K783" s="12" t="str">
        <f>IF(C783="","",IF(C783="Match",IF(INDEX('Match Log'!$D:$D,D783)="Win",1,IF(INDEX('Match Log'!$D:$D,D783)="Draw",0.5,0)),IF(C783="Tournament",INDEX('Tournament Log'!$K:$K,E783),IF(INDEX('Guest Log'!$C:$C,Q783)="Win",1,IF(INDEX('Guest Log'!$C:$C,Q783)="Draw",0.5,0)))))</f>
        <v/>
      </c>
      <c r="L783" s="12" t="str">
        <f>IF(C783="","",IF(C783="Match",32,IF(C783="Tournament",MIN(32*INDEX('Tournament Log'!$D:$D,E783),96),32)))</f>
        <v/>
      </c>
      <c r="M783" s="12" t="str">
        <f t="shared" si="62"/>
        <v/>
      </c>
      <c r="N783" s="12" t="str">
        <f t="shared" si="63"/>
        <v/>
      </c>
      <c r="O783" s="12" t="str">
        <f t="shared" si="64"/>
        <v/>
      </c>
      <c r="P783" s="12" t="str">
        <f>IF(C783="Tournament",INDEX('Tournament Log'!$B:$B,E783),IF(C783="Guest","Guest: "&amp;INDEX('Guest Log'!$H:$H,Q783),""))</f>
        <v/>
      </c>
      <c r="Q783" t="str">
        <f>IFERROR(MATCH($A783,'Guest Log'!$L$4:$L$203,0)+3,"")</f>
        <v/>
      </c>
    </row>
    <row r="784" spans="1:17" ht="15" customHeight="1" x14ac:dyDescent="0.2">
      <c r="A784" s="40">
        <f>783</f>
        <v>783</v>
      </c>
      <c r="B784" s="40" t="str">
        <f>IF(C784="","",IF(C784="Match",INDEX('Match Log'!$A:$A,D784),IF(C784="Tournament",INDEX('Tournament Log'!$A:$A,E784),INDEX('Guest Log'!$A:$A,Q784))))</f>
        <v/>
      </c>
      <c r="C784" s="40" t="str">
        <f t="shared" si="60"/>
        <v/>
      </c>
      <c r="D784" s="41" t="str">
        <f>IFERROR(MATCH($A784,'Match Log'!$K$3:$K$501,0)+2,"")</f>
        <v/>
      </c>
      <c r="E784" s="41" t="str">
        <f>IFERROR(MATCH($A784,'Tournament Log'!$O$4:$O$203,0)+3,"")</f>
        <v/>
      </c>
      <c r="F784" s="40" t="str">
        <f>IF(C784="","",IF(C784="Match",INDEX('Match Log'!$B:$B,D784),IF(C784="Tournament",INDEX('Tournament Log'!$C:$C,E784),INDEX('Guest Log'!$B:$B,Q784))))</f>
        <v/>
      </c>
      <c r="G784" s="40" t="str">
        <f>IF(C784="","",IF(C784="Match",INDEX('Match Log'!$C:$C,D784),IF(C784="Tournament",INDEX('Tournament Log'!$B:$B,E784)&amp;" (Phantom)",INDEX('Guest Log'!$H:$H,Q784)&amp;" (Guest)")))</f>
        <v/>
      </c>
      <c r="H784" s="40" t="str">
        <f t="array" ref="H784">IF(C784="","",IFERROR(LOOKUP(2,1/(($F$1:F783=F784)+($G$1:G783=F784)),IF($F$1:F783=F784,$N$1:N783,$O$1:O783)),1000))</f>
        <v/>
      </c>
      <c r="I784" s="40" t="str">
        <f t="array" ref="I784">IF(C784="","",IF(C784="Tournament",INDEX('Tournament Log'!$J:$J,E784),IF(C784="Guest",IF(INDEX('Guest Log'!$I:$I,Q784)="",1000,INDEX('Guest Log'!$I:$I,Q784)),IFERROR(LOOKUP(2,1/(($F$1:F783=G784)+($G$1:G783=G784)),IF($F$1:F783=G784,$N$1:N783,$O$1:O783)),1000))))</f>
        <v/>
      </c>
      <c r="J784" s="40" t="str">
        <f t="shared" si="61"/>
        <v/>
      </c>
      <c r="K784" s="12" t="str">
        <f>IF(C784="","",IF(C784="Match",IF(INDEX('Match Log'!$D:$D,D784)="Win",1,IF(INDEX('Match Log'!$D:$D,D784)="Draw",0.5,0)),IF(C784="Tournament",INDEX('Tournament Log'!$K:$K,E784),IF(INDEX('Guest Log'!$C:$C,Q784)="Win",1,IF(INDEX('Guest Log'!$C:$C,Q784)="Draw",0.5,0)))))</f>
        <v/>
      </c>
      <c r="L784" s="12" t="str">
        <f>IF(C784="","",IF(C784="Match",32,IF(C784="Tournament",MIN(32*INDEX('Tournament Log'!$D:$D,E784),96),32)))</f>
        <v/>
      </c>
      <c r="M784" s="12" t="str">
        <f t="shared" si="62"/>
        <v/>
      </c>
      <c r="N784" s="12" t="str">
        <f t="shared" si="63"/>
        <v/>
      </c>
      <c r="O784" s="12" t="str">
        <f t="shared" si="64"/>
        <v/>
      </c>
      <c r="P784" s="12" t="str">
        <f>IF(C784="Tournament",INDEX('Tournament Log'!$B:$B,E784),IF(C784="Guest","Guest: "&amp;INDEX('Guest Log'!$H:$H,Q784),""))</f>
        <v/>
      </c>
      <c r="Q784" t="str">
        <f>IFERROR(MATCH($A784,'Guest Log'!$L$4:$L$203,0)+3,"")</f>
        <v/>
      </c>
    </row>
    <row r="785" spans="1:17" ht="15" customHeight="1" x14ac:dyDescent="0.2">
      <c r="A785" s="40">
        <f>784</f>
        <v>784</v>
      </c>
      <c r="B785" s="40" t="str">
        <f>IF(C785="","",IF(C785="Match",INDEX('Match Log'!$A:$A,D785),IF(C785="Tournament",INDEX('Tournament Log'!$A:$A,E785),INDEX('Guest Log'!$A:$A,Q785))))</f>
        <v/>
      </c>
      <c r="C785" s="40" t="str">
        <f t="shared" si="60"/>
        <v/>
      </c>
      <c r="D785" s="41" t="str">
        <f>IFERROR(MATCH($A785,'Match Log'!$K$3:$K$501,0)+2,"")</f>
        <v/>
      </c>
      <c r="E785" s="41" t="str">
        <f>IFERROR(MATCH($A785,'Tournament Log'!$O$4:$O$203,0)+3,"")</f>
        <v/>
      </c>
      <c r="F785" s="40" t="str">
        <f>IF(C785="","",IF(C785="Match",INDEX('Match Log'!$B:$B,D785),IF(C785="Tournament",INDEX('Tournament Log'!$C:$C,E785),INDEX('Guest Log'!$B:$B,Q785))))</f>
        <v/>
      </c>
      <c r="G785" s="40" t="str">
        <f>IF(C785="","",IF(C785="Match",INDEX('Match Log'!$C:$C,D785),IF(C785="Tournament",INDEX('Tournament Log'!$B:$B,E785)&amp;" (Phantom)",INDEX('Guest Log'!$H:$H,Q785)&amp;" (Guest)")))</f>
        <v/>
      </c>
      <c r="H785" s="40" t="str">
        <f t="array" ref="H785">IF(C785="","",IFERROR(LOOKUP(2,1/(($F$1:F784=F785)+($G$1:G784=F785)),IF($F$1:F784=F785,$N$1:N784,$O$1:O784)),1000))</f>
        <v/>
      </c>
      <c r="I785" s="40" t="str">
        <f t="array" ref="I785">IF(C785="","",IF(C785="Tournament",INDEX('Tournament Log'!$J:$J,E785),IF(C785="Guest",IF(INDEX('Guest Log'!$I:$I,Q785)="",1000,INDEX('Guest Log'!$I:$I,Q785)),IFERROR(LOOKUP(2,1/(($F$1:F784=G785)+($G$1:G784=G785)),IF($F$1:F784=G785,$N$1:N784,$O$1:O784)),1000))))</f>
        <v/>
      </c>
      <c r="J785" s="40" t="str">
        <f t="shared" si="61"/>
        <v/>
      </c>
      <c r="K785" s="12" t="str">
        <f>IF(C785="","",IF(C785="Match",IF(INDEX('Match Log'!$D:$D,D785)="Win",1,IF(INDEX('Match Log'!$D:$D,D785)="Draw",0.5,0)),IF(C785="Tournament",INDEX('Tournament Log'!$K:$K,E785),IF(INDEX('Guest Log'!$C:$C,Q785)="Win",1,IF(INDEX('Guest Log'!$C:$C,Q785)="Draw",0.5,0)))))</f>
        <v/>
      </c>
      <c r="L785" s="12" t="str">
        <f>IF(C785="","",IF(C785="Match",32,IF(C785="Tournament",MIN(32*INDEX('Tournament Log'!$D:$D,E785),96),32)))</f>
        <v/>
      </c>
      <c r="M785" s="12" t="str">
        <f t="shared" si="62"/>
        <v/>
      </c>
      <c r="N785" s="12" t="str">
        <f t="shared" si="63"/>
        <v/>
      </c>
      <c r="O785" s="12" t="str">
        <f t="shared" si="64"/>
        <v/>
      </c>
      <c r="P785" s="12" t="str">
        <f>IF(C785="Tournament",INDEX('Tournament Log'!$B:$B,E785),IF(C785="Guest","Guest: "&amp;INDEX('Guest Log'!$H:$H,Q785),""))</f>
        <v/>
      </c>
      <c r="Q785" t="str">
        <f>IFERROR(MATCH($A785,'Guest Log'!$L$4:$L$203,0)+3,"")</f>
        <v/>
      </c>
    </row>
    <row r="786" spans="1:17" ht="15" customHeight="1" x14ac:dyDescent="0.2">
      <c r="A786" s="40">
        <f>785</f>
        <v>785</v>
      </c>
      <c r="B786" s="40" t="str">
        <f>IF(C786="","",IF(C786="Match",INDEX('Match Log'!$A:$A,D786),IF(C786="Tournament",INDEX('Tournament Log'!$A:$A,E786),INDEX('Guest Log'!$A:$A,Q786))))</f>
        <v/>
      </c>
      <c r="C786" s="40" t="str">
        <f t="shared" si="60"/>
        <v/>
      </c>
      <c r="D786" s="41" t="str">
        <f>IFERROR(MATCH($A786,'Match Log'!$K$3:$K$501,0)+2,"")</f>
        <v/>
      </c>
      <c r="E786" s="41" t="str">
        <f>IFERROR(MATCH($A786,'Tournament Log'!$O$4:$O$203,0)+3,"")</f>
        <v/>
      </c>
      <c r="F786" s="40" t="str">
        <f>IF(C786="","",IF(C786="Match",INDEX('Match Log'!$B:$B,D786),IF(C786="Tournament",INDEX('Tournament Log'!$C:$C,E786),INDEX('Guest Log'!$B:$B,Q786))))</f>
        <v/>
      </c>
      <c r="G786" s="40" t="str">
        <f>IF(C786="","",IF(C786="Match",INDEX('Match Log'!$C:$C,D786),IF(C786="Tournament",INDEX('Tournament Log'!$B:$B,E786)&amp;" (Phantom)",INDEX('Guest Log'!$H:$H,Q786)&amp;" (Guest)")))</f>
        <v/>
      </c>
      <c r="H786" s="40" t="str">
        <f t="array" ref="H786">IF(C786="","",IFERROR(LOOKUP(2,1/(($F$1:F785=F786)+($G$1:G785=F786)),IF($F$1:F785=F786,$N$1:N785,$O$1:O785)),1000))</f>
        <v/>
      </c>
      <c r="I786" s="40" t="str">
        <f t="array" ref="I786">IF(C786="","",IF(C786="Tournament",INDEX('Tournament Log'!$J:$J,E786),IF(C786="Guest",IF(INDEX('Guest Log'!$I:$I,Q786)="",1000,INDEX('Guest Log'!$I:$I,Q786)),IFERROR(LOOKUP(2,1/(($F$1:F785=G786)+($G$1:G785=G786)),IF($F$1:F785=G786,$N$1:N785,$O$1:O785)),1000))))</f>
        <v/>
      </c>
      <c r="J786" s="40" t="str">
        <f t="shared" si="61"/>
        <v/>
      </c>
      <c r="K786" s="12" t="str">
        <f>IF(C786="","",IF(C786="Match",IF(INDEX('Match Log'!$D:$D,D786)="Win",1,IF(INDEX('Match Log'!$D:$D,D786)="Draw",0.5,0)),IF(C786="Tournament",INDEX('Tournament Log'!$K:$K,E786),IF(INDEX('Guest Log'!$C:$C,Q786)="Win",1,IF(INDEX('Guest Log'!$C:$C,Q786)="Draw",0.5,0)))))</f>
        <v/>
      </c>
      <c r="L786" s="12" t="str">
        <f>IF(C786="","",IF(C786="Match",32,IF(C786="Tournament",MIN(32*INDEX('Tournament Log'!$D:$D,E786),96),32)))</f>
        <v/>
      </c>
      <c r="M786" s="12" t="str">
        <f t="shared" si="62"/>
        <v/>
      </c>
      <c r="N786" s="12" t="str">
        <f t="shared" si="63"/>
        <v/>
      </c>
      <c r="O786" s="12" t="str">
        <f t="shared" si="64"/>
        <v/>
      </c>
      <c r="P786" s="12" t="str">
        <f>IF(C786="Tournament",INDEX('Tournament Log'!$B:$B,E786),IF(C786="Guest","Guest: "&amp;INDEX('Guest Log'!$H:$H,Q786),""))</f>
        <v/>
      </c>
      <c r="Q786" t="str">
        <f>IFERROR(MATCH($A786,'Guest Log'!$L$4:$L$203,0)+3,"")</f>
        <v/>
      </c>
    </row>
    <row r="787" spans="1:17" ht="15" customHeight="1" x14ac:dyDescent="0.2">
      <c r="A787" s="40">
        <f>786</f>
        <v>786</v>
      </c>
      <c r="B787" s="40" t="str">
        <f>IF(C787="","",IF(C787="Match",INDEX('Match Log'!$A:$A,D787),IF(C787="Tournament",INDEX('Tournament Log'!$A:$A,E787),INDEX('Guest Log'!$A:$A,Q787))))</f>
        <v/>
      </c>
      <c r="C787" s="40" t="str">
        <f t="shared" si="60"/>
        <v/>
      </c>
      <c r="D787" s="41" t="str">
        <f>IFERROR(MATCH($A787,'Match Log'!$K$3:$K$501,0)+2,"")</f>
        <v/>
      </c>
      <c r="E787" s="41" t="str">
        <f>IFERROR(MATCH($A787,'Tournament Log'!$O$4:$O$203,0)+3,"")</f>
        <v/>
      </c>
      <c r="F787" s="40" t="str">
        <f>IF(C787="","",IF(C787="Match",INDEX('Match Log'!$B:$B,D787),IF(C787="Tournament",INDEX('Tournament Log'!$C:$C,E787),INDEX('Guest Log'!$B:$B,Q787))))</f>
        <v/>
      </c>
      <c r="G787" s="40" t="str">
        <f>IF(C787="","",IF(C787="Match",INDEX('Match Log'!$C:$C,D787),IF(C787="Tournament",INDEX('Tournament Log'!$B:$B,E787)&amp;" (Phantom)",INDEX('Guest Log'!$H:$H,Q787)&amp;" (Guest)")))</f>
        <v/>
      </c>
      <c r="H787" s="40" t="str">
        <f t="array" ref="H787">IF(C787="","",IFERROR(LOOKUP(2,1/(($F$1:F786=F787)+($G$1:G786=F787)),IF($F$1:F786=F787,$N$1:N786,$O$1:O786)),1000))</f>
        <v/>
      </c>
      <c r="I787" s="40" t="str">
        <f t="array" ref="I787">IF(C787="","",IF(C787="Tournament",INDEX('Tournament Log'!$J:$J,E787),IF(C787="Guest",IF(INDEX('Guest Log'!$I:$I,Q787)="",1000,INDEX('Guest Log'!$I:$I,Q787)),IFERROR(LOOKUP(2,1/(($F$1:F786=G787)+($G$1:G786=G787)),IF($F$1:F786=G787,$N$1:N786,$O$1:O786)),1000))))</f>
        <v/>
      </c>
      <c r="J787" s="40" t="str">
        <f t="shared" si="61"/>
        <v/>
      </c>
      <c r="K787" s="12" t="str">
        <f>IF(C787="","",IF(C787="Match",IF(INDEX('Match Log'!$D:$D,D787)="Win",1,IF(INDEX('Match Log'!$D:$D,D787)="Draw",0.5,0)),IF(C787="Tournament",INDEX('Tournament Log'!$K:$K,E787),IF(INDEX('Guest Log'!$C:$C,Q787)="Win",1,IF(INDEX('Guest Log'!$C:$C,Q787)="Draw",0.5,0)))))</f>
        <v/>
      </c>
      <c r="L787" s="12" t="str">
        <f>IF(C787="","",IF(C787="Match",32,IF(C787="Tournament",MIN(32*INDEX('Tournament Log'!$D:$D,E787),96),32)))</f>
        <v/>
      </c>
      <c r="M787" s="12" t="str">
        <f t="shared" si="62"/>
        <v/>
      </c>
      <c r="N787" s="12" t="str">
        <f t="shared" si="63"/>
        <v/>
      </c>
      <c r="O787" s="12" t="str">
        <f t="shared" si="64"/>
        <v/>
      </c>
      <c r="P787" s="12" t="str">
        <f>IF(C787="Tournament",INDEX('Tournament Log'!$B:$B,E787),IF(C787="Guest","Guest: "&amp;INDEX('Guest Log'!$H:$H,Q787),""))</f>
        <v/>
      </c>
      <c r="Q787" t="str">
        <f>IFERROR(MATCH($A787,'Guest Log'!$L$4:$L$203,0)+3,"")</f>
        <v/>
      </c>
    </row>
    <row r="788" spans="1:17" ht="15" customHeight="1" x14ac:dyDescent="0.2">
      <c r="A788" s="40">
        <f>787</f>
        <v>787</v>
      </c>
      <c r="B788" s="40" t="str">
        <f>IF(C788="","",IF(C788="Match",INDEX('Match Log'!$A:$A,D788),IF(C788="Tournament",INDEX('Tournament Log'!$A:$A,E788),INDEX('Guest Log'!$A:$A,Q788))))</f>
        <v/>
      </c>
      <c r="C788" s="40" t="str">
        <f t="shared" si="60"/>
        <v/>
      </c>
      <c r="D788" s="41" t="str">
        <f>IFERROR(MATCH($A788,'Match Log'!$K$3:$K$501,0)+2,"")</f>
        <v/>
      </c>
      <c r="E788" s="41" t="str">
        <f>IFERROR(MATCH($A788,'Tournament Log'!$O$4:$O$203,0)+3,"")</f>
        <v/>
      </c>
      <c r="F788" s="40" t="str">
        <f>IF(C788="","",IF(C788="Match",INDEX('Match Log'!$B:$B,D788),IF(C788="Tournament",INDEX('Tournament Log'!$C:$C,E788),INDEX('Guest Log'!$B:$B,Q788))))</f>
        <v/>
      </c>
      <c r="G788" s="40" t="str">
        <f>IF(C788="","",IF(C788="Match",INDEX('Match Log'!$C:$C,D788),IF(C788="Tournament",INDEX('Tournament Log'!$B:$B,E788)&amp;" (Phantom)",INDEX('Guest Log'!$H:$H,Q788)&amp;" (Guest)")))</f>
        <v/>
      </c>
      <c r="H788" s="40" t="str">
        <f t="array" ref="H788">IF(C788="","",IFERROR(LOOKUP(2,1/(($F$1:F787=F788)+($G$1:G787=F788)),IF($F$1:F787=F788,$N$1:N787,$O$1:O787)),1000))</f>
        <v/>
      </c>
      <c r="I788" s="40" t="str">
        <f t="array" ref="I788">IF(C788="","",IF(C788="Tournament",INDEX('Tournament Log'!$J:$J,E788),IF(C788="Guest",IF(INDEX('Guest Log'!$I:$I,Q788)="",1000,INDEX('Guest Log'!$I:$I,Q788)),IFERROR(LOOKUP(2,1/(($F$1:F787=G788)+($G$1:G787=G788)),IF($F$1:F787=G788,$N$1:N787,$O$1:O787)),1000))))</f>
        <v/>
      </c>
      <c r="J788" s="40" t="str">
        <f t="shared" si="61"/>
        <v/>
      </c>
      <c r="K788" s="12" t="str">
        <f>IF(C788="","",IF(C788="Match",IF(INDEX('Match Log'!$D:$D,D788)="Win",1,IF(INDEX('Match Log'!$D:$D,D788)="Draw",0.5,0)),IF(C788="Tournament",INDEX('Tournament Log'!$K:$K,E788),IF(INDEX('Guest Log'!$C:$C,Q788)="Win",1,IF(INDEX('Guest Log'!$C:$C,Q788)="Draw",0.5,0)))))</f>
        <v/>
      </c>
      <c r="L788" s="12" t="str">
        <f>IF(C788="","",IF(C788="Match",32,IF(C788="Tournament",MIN(32*INDEX('Tournament Log'!$D:$D,E788),96),32)))</f>
        <v/>
      </c>
      <c r="M788" s="12" t="str">
        <f t="shared" si="62"/>
        <v/>
      </c>
      <c r="N788" s="12" t="str">
        <f t="shared" si="63"/>
        <v/>
      </c>
      <c r="O788" s="12" t="str">
        <f t="shared" si="64"/>
        <v/>
      </c>
      <c r="P788" s="12" t="str">
        <f>IF(C788="Tournament",INDEX('Tournament Log'!$B:$B,E788),IF(C788="Guest","Guest: "&amp;INDEX('Guest Log'!$H:$H,Q788),""))</f>
        <v/>
      </c>
      <c r="Q788" t="str">
        <f>IFERROR(MATCH($A788,'Guest Log'!$L$4:$L$203,0)+3,"")</f>
        <v/>
      </c>
    </row>
    <row r="789" spans="1:17" ht="15" customHeight="1" x14ac:dyDescent="0.2">
      <c r="A789" s="40">
        <f>788</f>
        <v>788</v>
      </c>
      <c r="B789" s="40" t="str">
        <f>IF(C789="","",IF(C789="Match",INDEX('Match Log'!$A:$A,D789),IF(C789="Tournament",INDEX('Tournament Log'!$A:$A,E789),INDEX('Guest Log'!$A:$A,Q789))))</f>
        <v/>
      </c>
      <c r="C789" s="40" t="str">
        <f t="shared" si="60"/>
        <v/>
      </c>
      <c r="D789" s="41" t="str">
        <f>IFERROR(MATCH($A789,'Match Log'!$K$3:$K$501,0)+2,"")</f>
        <v/>
      </c>
      <c r="E789" s="41" t="str">
        <f>IFERROR(MATCH($A789,'Tournament Log'!$O$4:$O$203,0)+3,"")</f>
        <v/>
      </c>
      <c r="F789" s="40" t="str">
        <f>IF(C789="","",IF(C789="Match",INDEX('Match Log'!$B:$B,D789),IF(C789="Tournament",INDEX('Tournament Log'!$C:$C,E789),INDEX('Guest Log'!$B:$B,Q789))))</f>
        <v/>
      </c>
      <c r="G789" s="40" t="str">
        <f>IF(C789="","",IF(C789="Match",INDEX('Match Log'!$C:$C,D789),IF(C789="Tournament",INDEX('Tournament Log'!$B:$B,E789)&amp;" (Phantom)",INDEX('Guest Log'!$H:$H,Q789)&amp;" (Guest)")))</f>
        <v/>
      </c>
      <c r="H789" s="40" t="str">
        <f t="array" ref="H789">IF(C789="","",IFERROR(LOOKUP(2,1/(($F$1:F788=F789)+($G$1:G788=F789)),IF($F$1:F788=F789,$N$1:N788,$O$1:O788)),1000))</f>
        <v/>
      </c>
      <c r="I789" s="40" t="str">
        <f t="array" ref="I789">IF(C789="","",IF(C789="Tournament",INDEX('Tournament Log'!$J:$J,E789),IF(C789="Guest",IF(INDEX('Guest Log'!$I:$I,Q789)="",1000,INDEX('Guest Log'!$I:$I,Q789)),IFERROR(LOOKUP(2,1/(($F$1:F788=G789)+($G$1:G788=G789)),IF($F$1:F788=G789,$N$1:N788,$O$1:O788)),1000))))</f>
        <v/>
      </c>
      <c r="J789" s="40" t="str">
        <f t="shared" si="61"/>
        <v/>
      </c>
      <c r="K789" s="12" t="str">
        <f>IF(C789="","",IF(C789="Match",IF(INDEX('Match Log'!$D:$D,D789)="Win",1,IF(INDEX('Match Log'!$D:$D,D789)="Draw",0.5,0)),IF(C789="Tournament",INDEX('Tournament Log'!$K:$K,E789),IF(INDEX('Guest Log'!$C:$C,Q789)="Win",1,IF(INDEX('Guest Log'!$C:$C,Q789)="Draw",0.5,0)))))</f>
        <v/>
      </c>
      <c r="L789" s="12" t="str">
        <f>IF(C789="","",IF(C789="Match",32,IF(C789="Tournament",MIN(32*INDEX('Tournament Log'!$D:$D,E789),96),32)))</f>
        <v/>
      </c>
      <c r="M789" s="12" t="str">
        <f t="shared" si="62"/>
        <v/>
      </c>
      <c r="N789" s="12" t="str">
        <f t="shared" si="63"/>
        <v/>
      </c>
      <c r="O789" s="12" t="str">
        <f t="shared" si="64"/>
        <v/>
      </c>
      <c r="P789" s="12" t="str">
        <f>IF(C789="Tournament",INDEX('Tournament Log'!$B:$B,E789),IF(C789="Guest","Guest: "&amp;INDEX('Guest Log'!$H:$H,Q789),""))</f>
        <v/>
      </c>
      <c r="Q789" t="str">
        <f>IFERROR(MATCH($A789,'Guest Log'!$L$4:$L$203,0)+3,"")</f>
        <v/>
      </c>
    </row>
    <row r="790" spans="1:17" ht="15" customHeight="1" x14ac:dyDescent="0.2">
      <c r="A790" s="40">
        <f>789</f>
        <v>789</v>
      </c>
      <c r="B790" s="40" t="str">
        <f>IF(C790="","",IF(C790="Match",INDEX('Match Log'!$A:$A,D790),IF(C790="Tournament",INDEX('Tournament Log'!$A:$A,E790),INDEX('Guest Log'!$A:$A,Q790))))</f>
        <v/>
      </c>
      <c r="C790" s="40" t="str">
        <f t="shared" si="60"/>
        <v/>
      </c>
      <c r="D790" s="41" t="str">
        <f>IFERROR(MATCH($A790,'Match Log'!$K$3:$K$501,0)+2,"")</f>
        <v/>
      </c>
      <c r="E790" s="41" t="str">
        <f>IFERROR(MATCH($A790,'Tournament Log'!$O$4:$O$203,0)+3,"")</f>
        <v/>
      </c>
      <c r="F790" s="40" t="str">
        <f>IF(C790="","",IF(C790="Match",INDEX('Match Log'!$B:$B,D790),IF(C790="Tournament",INDEX('Tournament Log'!$C:$C,E790),INDEX('Guest Log'!$B:$B,Q790))))</f>
        <v/>
      </c>
      <c r="G790" s="40" t="str">
        <f>IF(C790="","",IF(C790="Match",INDEX('Match Log'!$C:$C,D790),IF(C790="Tournament",INDEX('Tournament Log'!$B:$B,E790)&amp;" (Phantom)",INDEX('Guest Log'!$H:$H,Q790)&amp;" (Guest)")))</f>
        <v/>
      </c>
      <c r="H790" s="40" t="str">
        <f t="array" ref="H790">IF(C790="","",IFERROR(LOOKUP(2,1/(($F$1:F789=F790)+($G$1:G789=F790)),IF($F$1:F789=F790,$N$1:N789,$O$1:O789)),1000))</f>
        <v/>
      </c>
      <c r="I790" s="40" t="str">
        <f t="array" ref="I790">IF(C790="","",IF(C790="Tournament",INDEX('Tournament Log'!$J:$J,E790),IF(C790="Guest",IF(INDEX('Guest Log'!$I:$I,Q790)="",1000,INDEX('Guest Log'!$I:$I,Q790)),IFERROR(LOOKUP(2,1/(($F$1:F789=G790)+($G$1:G789=G790)),IF($F$1:F789=G790,$N$1:N789,$O$1:O789)),1000))))</f>
        <v/>
      </c>
      <c r="J790" s="40" t="str">
        <f t="shared" si="61"/>
        <v/>
      </c>
      <c r="K790" s="12" t="str">
        <f>IF(C790="","",IF(C790="Match",IF(INDEX('Match Log'!$D:$D,D790)="Win",1,IF(INDEX('Match Log'!$D:$D,D790)="Draw",0.5,0)),IF(C790="Tournament",INDEX('Tournament Log'!$K:$K,E790),IF(INDEX('Guest Log'!$C:$C,Q790)="Win",1,IF(INDEX('Guest Log'!$C:$C,Q790)="Draw",0.5,0)))))</f>
        <v/>
      </c>
      <c r="L790" s="12" t="str">
        <f>IF(C790="","",IF(C790="Match",32,IF(C790="Tournament",MIN(32*INDEX('Tournament Log'!$D:$D,E790),96),32)))</f>
        <v/>
      </c>
      <c r="M790" s="12" t="str">
        <f t="shared" si="62"/>
        <v/>
      </c>
      <c r="N790" s="12" t="str">
        <f t="shared" si="63"/>
        <v/>
      </c>
      <c r="O790" s="12" t="str">
        <f t="shared" si="64"/>
        <v/>
      </c>
      <c r="P790" s="12" t="str">
        <f>IF(C790="Tournament",INDEX('Tournament Log'!$B:$B,E790),IF(C790="Guest","Guest: "&amp;INDEX('Guest Log'!$H:$H,Q790),""))</f>
        <v/>
      </c>
      <c r="Q790" t="str">
        <f>IFERROR(MATCH($A790,'Guest Log'!$L$4:$L$203,0)+3,"")</f>
        <v/>
      </c>
    </row>
    <row r="791" spans="1:17" ht="15" customHeight="1" x14ac:dyDescent="0.2">
      <c r="A791" s="40">
        <f>790</f>
        <v>790</v>
      </c>
      <c r="B791" s="40" t="str">
        <f>IF(C791="","",IF(C791="Match",INDEX('Match Log'!$A:$A,D791),IF(C791="Tournament",INDEX('Tournament Log'!$A:$A,E791),INDEX('Guest Log'!$A:$A,Q791))))</f>
        <v/>
      </c>
      <c r="C791" s="40" t="str">
        <f t="shared" si="60"/>
        <v/>
      </c>
      <c r="D791" s="41" t="str">
        <f>IFERROR(MATCH($A791,'Match Log'!$K$3:$K$501,0)+2,"")</f>
        <v/>
      </c>
      <c r="E791" s="41" t="str">
        <f>IFERROR(MATCH($A791,'Tournament Log'!$O$4:$O$203,0)+3,"")</f>
        <v/>
      </c>
      <c r="F791" s="40" t="str">
        <f>IF(C791="","",IF(C791="Match",INDEX('Match Log'!$B:$B,D791),IF(C791="Tournament",INDEX('Tournament Log'!$C:$C,E791),INDEX('Guest Log'!$B:$B,Q791))))</f>
        <v/>
      </c>
      <c r="G791" s="40" t="str">
        <f>IF(C791="","",IF(C791="Match",INDEX('Match Log'!$C:$C,D791),IF(C791="Tournament",INDEX('Tournament Log'!$B:$B,E791)&amp;" (Phantom)",INDEX('Guest Log'!$H:$H,Q791)&amp;" (Guest)")))</f>
        <v/>
      </c>
      <c r="H791" s="40" t="str">
        <f t="array" ref="H791">IF(C791="","",IFERROR(LOOKUP(2,1/(($F$1:F790=F791)+($G$1:G790=F791)),IF($F$1:F790=F791,$N$1:N790,$O$1:O790)),1000))</f>
        <v/>
      </c>
      <c r="I791" s="40" t="str">
        <f t="array" ref="I791">IF(C791="","",IF(C791="Tournament",INDEX('Tournament Log'!$J:$J,E791),IF(C791="Guest",IF(INDEX('Guest Log'!$I:$I,Q791)="",1000,INDEX('Guest Log'!$I:$I,Q791)),IFERROR(LOOKUP(2,1/(($F$1:F790=G791)+($G$1:G790=G791)),IF($F$1:F790=G791,$N$1:N790,$O$1:O790)),1000))))</f>
        <v/>
      </c>
      <c r="J791" s="40" t="str">
        <f t="shared" si="61"/>
        <v/>
      </c>
      <c r="K791" s="12" t="str">
        <f>IF(C791="","",IF(C791="Match",IF(INDEX('Match Log'!$D:$D,D791)="Win",1,IF(INDEX('Match Log'!$D:$D,D791)="Draw",0.5,0)),IF(C791="Tournament",INDEX('Tournament Log'!$K:$K,E791),IF(INDEX('Guest Log'!$C:$C,Q791)="Win",1,IF(INDEX('Guest Log'!$C:$C,Q791)="Draw",0.5,0)))))</f>
        <v/>
      </c>
      <c r="L791" s="12" t="str">
        <f>IF(C791="","",IF(C791="Match",32,IF(C791="Tournament",MIN(32*INDEX('Tournament Log'!$D:$D,E791),96),32)))</f>
        <v/>
      </c>
      <c r="M791" s="12" t="str">
        <f t="shared" si="62"/>
        <v/>
      </c>
      <c r="N791" s="12" t="str">
        <f t="shared" si="63"/>
        <v/>
      </c>
      <c r="O791" s="12" t="str">
        <f t="shared" si="64"/>
        <v/>
      </c>
      <c r="P791" s="12" t="str">
        <f>IF(C791="Tournament",INDEX('Tournament Log'!$B:$B,E791),IF(C791="Guest","Guest: "&amp;INDEX('Guest Log'!$H:$H,Q791),""))</f>
        <v/>
      </c>
      <c r="Q791" t="str">
        <f>IFERROR(MATCH($A791,'Guest Log'!$L$4:$L$203,0)+3,"")</f>
        <v/>
      </c>
    </row>
    <row r="792" spans="1:17" ht="15" customHeight="1" x14ac:dyDescent="0.2">
      <c r="A792" s="40">
        <f>791</f>
        <v>791</v>
      </c>
      <c r="B792" s="40" t="str">
        <f>IF(C792="","",IF(C792="Match",INDEX('Match Log'!$A:$A,D792),IF(C792="Tournament",INDEX('Tournament Log'!$A:$A,E792),INDEX('Guest Log'!$A:$A,Q792))))</f>
        <v/>
      </c>
      <c r="C792" s="40" t="str">
        <f t="shared" si="60"/>
        <v/>
      </c>
      <c r="D792" s="41" t="str">
        <f>IFERROR(MATCH($A792,'Match Log'!$K$3:$K$501,0)+2,"")</f>
        <v/>
      </c>
      <c r="E792" s="41" t="str">
        <f>IFERROR(MATCH($A792,'Tournament Log'!$O$4:$O$203,0)+3,"")</f>
        <v/>
      </c>
      <c r="F792" s="40" t="str">
        <f>IF(C792="","",IF(C792="Match",INDEX('Match Log'!$B:$B,D792),IF(C792="Tournament",INDEX('Tournament Log'!$C:$C,E792),INDEX('Guest Log'!$B:$B,Q792))))</f>
        <v/>
      </c>
      <c r="G792" s="40" t="str">
        <f>IF(C792="","",IF(C792="Match",INDEX('Match Log'!$C:$C,D792),IF(C792="Tournament",INDEX('Tournament Log'!$B:$B,E792)&amp;" (Phantom)",INDEX('Guest Log'!$H:$H,Q792)&amp;" (Guest)")))</f>
        <v/>
      </c>
      <c r="H792" s="40" t="str">
        <f t="array" ref="H792">IF(C792="","",IFERROR(LOOKUP(2,1/(($F$1:F791=F792)+($G$1:G791=F792)),IF($F$1:F791=F792,$N$1:N791,$O$1:O791)),1000))</f>
        <v/>
      </c>
      <c r="I792" s="40" t="str">
        <f t="array" ref="I792">IF(C792="","",IF(C792="Tournament",INDEX('Tournament Log'!$J:$J,E792),IF(C792="Guest",IF(INDEX('Guest Log'!$I:$I,Q792)="",1000,INDEX('Guest Log'!$I:$I,Q792)),IFERROR(LOOKUP(2,1/(($F$1:F791=G792)+($G$1:G791=G792)),IF($F$1:F791=G792,$N$1:N791,$O$1:O791)),1000))))</f>
        <v/>
      </c>
      <c r="J792" s="40" t="str">
        <f t="shared" si="61"/>
        <v/>
      </c>
      <c r="K792" s="12" t="str">
        <f>IF(C792="","",IF(C792="Match",IF(INDEX('Match Log'!$D:$D,D792)="Win",1,IF(INDEX('Match Log'!$D:$D,D792)="Draw",0.5,0)),IF(C792="Tournament",INDEX('Tournament Log'!$K:$K,E792),IF(INDEX('Guest Log'!$C:$C,Q792)="Win",1,IF(INDEX('Guest Log'!$C:$C,Q792)="Draw",0.5,0)))))</f>
        <v/>
      </c>
      <c r="L792" s="12" t="str">
        <f>IF(C792="","",IF(C792="Match",32,IF(C792="Tournament",MIN(32*INDEX('Tournament Log'!$D:$D,E792),96),32)))</f>
        <v/>
      </c>
      <c r="M792" s="12" t="str">
        <f t="shared" si="62"/>
        <v/>
      </c>
      <c r="N792" s="12" t="str">
        <f t="shared" si="63"/>
        <v/>
      </c>
      <c r="O792" s="12" t="str">
        <f t="shared" si="64"/>
        <v/>
      </c>
      <c r="P792" s="12" t="str">
        <f>IF(C792="Tournament",INDEX('Tournament Log'!$B:$B,E792),IF(C792="Guest","Guest: "&amp;INDEX('Guest Log'!$H:$H,Q792),""))</f>
        <v/>
      </c>
      <c r="Q792" t="str">
        <f>IFERROR(MATCH($A792,'Guest Log'!$L$4:$L$203,0)+3,"")</f>
        <v/>
      </c>
    </row>
    <row r="793" spans="1:17" ht="15" customHeight="1" x14ac:dyDescent="0.2">
      <c r="A793" s="40">
        <f>792</f>
        <v>792</v>
      </c>
      <c r="B793" s="40" t="str">
        <f>IF(C793="","",IF(C793="Match",INDEX('Match Log'!$A:$A,D793),IF(C793="Tournament",INDEX('Tournament Log'!$A:$A,E793),INDEX('Guest Log'!$A:$A,Q793))))</f>
        <v/>
      </c>
      <c r="C793" s="40" t="str">
        <f t="shared" si="60"/>
        <v/>
      </c>
      <c r="D793" s="41" t="str">
        <f>IFERROR(MATCH($A793,'Match Log'!$K$3:$K$501,0)+2,"")</f>
        <v/>
      </c>
      <c r="E793" s="41" t="str">
        <f>IFERROR(MATCH($A793,'Tournament Log'!$O$4:$O$203,0)+3,"")</f>
        <v/>
      </c>
      <c r="F793" s="40" t="str">
        <f>IF(C793="","",IF(C793="Match",INDEX('Match Log'!$B:$B,D793),IF(C793="Tournament",INDEX('Tournament Log'!$C:$C,E793),INDEX('Guest Log'!$B:$B,Q793))))</f>
        <v/>
      </c>
      <c r="G793" s="40" t="str">
        <f>IF(C793="","",IF(C793="Match",INDEX('Match Log'!$C:$C,D793),IF(C793="Tournament",INDEX('Tournament Log'!$B:$B,E793)&amp;" (Phantom)",INDEX('Guest Log'!$H:$H,Q793)&amp;" (Guest)")))</f>
        <v/>
      </c>
      <c r="H793" s="40" t="str">
        <f t="array" ref="H793">IF(C793="","",IFERROR(LOOKUP(2,1/(($F$1:F792=F793)+($G$1:G792=F793)),IF($F$1:F792=F793,$N$1:N792,$O$1:O792)),1000))</f>
        <v/>
      </c>
      <c r="I793" s="40" t="str">
        <f t="array" ref="I793">IF(C793="","",IF(C793="Tournament",INDEX('Tournament Log'!$J:$J,E793),IF(C793="Guest",IF(INDEX('Guest Log'!$I:$I,Q793)="",1000,INDEX('Guest Log'!$I:$I,Q793)),IFERROR(LOOKUP(2,1/(($F$1:F792=G793)+($G$1:G792=G793)),IF($F$1:F792=G793,$N$1:N792,$O$1:O792)),1000))))</f>
        <v/>
      </c>
      <c r="J793" s="40" t="str">
        <f t="shared" si="61"/>
        <v/>
      </c>
      <c r="K793" s="12" t="str">
        <f>IF(C793="","",IF(C793="Match",IF(INDEX('Match Log'!$D:$D,D793)="Win",1,IF(INDEX('Match Log'!$D:$D,D793)="Draw",0.5,0)),IF(C793="Tournament",INDEX('Tournament Log'!$K:$K,E793),IF(INDEX('Guest Log'!$C:$C,Q793)="Win",1,IF(INDEX('Guest Log'!$C:$C,Q793)="Draw",0.5,0)))))</f>
        <v/>
      </c>
      <c r="L793" s="12" t="str">
        <f>IF(C793="","",IF(C793="Match",32,IF(C793="Tournament",MIN(32*INDEX('Tournament Log'!$D:$D,E793),96),32)))</f>
        <v/>
      </c>
      <c r="M793" s="12" t="str">
        <f t="shared" si="62"/>
        <v/>
      </c>
      <c r="N793" s="12" t="str">
        <f t="shared" si="63"/>
        <v/>
      </c>
      <c r="O793" s="12" t="str">
        <f t="shared" si="64"/>
        <v/>
      </c>
      <c r="P793" s="12" t="str">
        <f>IF(C793="Tournament",INDEX('Tournament Log'!$B:$B,E793),IF(C793="Guest","Guest: "&amp;INDEX('Guest Log'!$H:$H,Q793),""))</f>
        <v/>
      </c>
      <c r="Q793" t="str">
        <f>IFERROR(MATCH($A793,'Guest Log'!$L$4:$L$203,0)+3,"")</f>
        <v/>
      </c>
    </row>
    <row r="794" spans="1:17" ht="15" customHeight="1" x14ac:dyDescent="0.2">
      <c r="A794" s="40">
        <f>793</f>
        <v>793</v>
      </c>
      <c r="B794" s="40" t="str">
        <f>IF(C794="","",IF(C794="Match",INDEX('Match Log'!$A:$A,D794),IF(C794="Tournament",INDEX('Tournament Log'!$A:$A,E794),INDEX('Guest Log'!$A:$A,Q794))))</f>
        <v/>
      </c>
      <c r="C794" s="40" t="str">
        <f t="shared" si="60"/>
        <v/>
      </c>
      <c r="D794" s="41" t="str">
        <f>IFERROR(MATCH($A794,'Match Log'!$K$3:$K$501,0)+2,"")</f>
        <v/>
      </c>
      <c r="E794" s="41" t="str">
        <f>IFERROR(MATCH($A794,'Tournament Log'!$O$4:$O$203,0)+3,"")</f>
        <v/>
      </c>
      <c r="F794" s="40" t="str">
        <f>IF(C794="","",IF(C794="Match",INDEX('Match Log'!$B:$B,D794),IF(C794="Tournament",INDEX('Tournament Log'!$C:$C,E794),INDEX('Guest Log'!$B:$B,Q794))))</f>
        <v/>
      </c>
      <c r="G794" s="40" t="str">
        <f>IF(C794="","",IF(C794="Match",INDEX('Match Log'!$C:$C,D794),IF(C794="Tournament",INDEX('Tournament Log'!$B:$B,E794)&amp;" (Phantom)",INDEX('Guest Log'!$H:$H,Q794)&amp;" (Guest)")))</f>
        <v/>
      </c>
      <c r="H794" s="40" t="str">
        <f t="array" ref="H794">IF(C794="","",IFERROR(LOOKUP(2,1/(($F$1:F793=F794)+($G$1:G793=F794)),IF($F$1:F793=F794,$N$1:N793,$O$1:O793)),1000))</f>
        <v/>
      </c>
      <c r="I794" s="40" t="str">
        <f t="array" ref="I794">IF(C794="","",IF(C794="Tournament",INDEX('Tournament Log'!$J:$J,E794),IF(C794="Guest",IF(INDEX('Guest Log'!$I:$I,Q794)="",1000,INDEX('Guest Log'!$I:$I,Q794)),IFERROR(LOOKUP(2,1/(($F$1:F793=G794)+($G$1:G793=G794)),IF($F$1:F793=G794,$N$1:N793,$O$1:O793)),1000))))</f>
        <v/>
      </c>
      <c r="J794" s="40" t="str">
        <f t="shared" si="61"/>
        <v/>
      </c>
      <c r="K794" s="12" t="str">
        <f>IF(C794="","",IF(C794="Match",IF(INDEX('Match Log'!$D:$D,D794)="Win",1,IF(INDEX('Match Log'!$D:$D,D794)="Draw",0.5,0)),IF(C794="Tournament",INDEX('Tournament Log'!$K:$K,E794),IF(INDEX('Guest Log'!$C:$C,Q794)="Win",1,IF(INDEX('Guest Log'!$C:$C,Q794)="Draw",0.5,0)))))</f>
        <v/>
      </c>
      <c r="L794" s="12" t="str">
        <f>IF(C794="","",IF(C794="Match",32,IF(C794="Tournament",MIN(32*INDEX('Tournament Log'!$D:$D,E794),96),32)))</f>
        <v/>
      </c>
      <c r="M794" s="12" t="str">
        <f t="shared" si="62"/>
        <v/>
      </c>
      <c r="N794" s="12" t="str">
        <f t="shared" si="63"/>
        <v/>
      </c>
      <c r="O794" s="12" t="str">
        <f t="shared" si="64"/>
        <v/>
      </c>
      <c r="P794" s="12" t="str">
        <f>IF(C794="Tournament",INDEX('Tournament Log'!$B:$B,E794),IF(C794="Guest","Guest: "&amp;INDEX('Guest Log'!$H:$H,Q794),""))</f>
        <v/>
      </c>
      <c r="Q794" t="str">
        <f>IFERROR(MATCH($A794,'Guest Log'!$L$4:$L$203,0)+3,"")</f>
        <v/>
      </c>
    </row>
    <row r="795" spans="1:17" ht="15" customHeight="1" x14ac:dyDescent="0.2">
      <c r="A795" s="40">
        <f>794</f>
        <v>794</v>
      </c>
      <c r="B795" s="40" t="str">
        <f>IF(C795="","",IF(C795="Match",INDEX('Match Log'!$A:$A,D795),IF(C795="Tournament",INDEX('Tournament Log'!$A:$A,E795),INDEX('Guest Log'!$A:$A,Q795))))</f>
        <v/>
      </c>
      <c r="C795" s="40" t="str">
        <f t="shared" si="60"/>
        <v/>
      </c>
      <c r="D795" s="41" t="str">
        <f>IFERROR(MATCH($A795,'Match Log'!$K$3:$K$501,0)+2,"")</f>
        <v/>
      </c>
      <c r="E795" s="41" t="str">
        <f>IFERROR(MATCH($A795,'Tournament Log'!$O$4:$O$203,0)+3,"")</f>
        <v/>
      </c>
      <c r="F795" s="40" t="str">
        <f>IF(C795="","",IF(C795="Match",INDEX('Match Log'!$B:$B,D795),IF(C795="Tournament",INDEX('Tournament Log'!$C:$C,E795),INDEX('Guest Log'!$B:$B,Q795))))</f>
        <v/>
      </c>
      <c r="G795" s="40" t="str">
        <f>IF(C795="","",IF(C795="Match",INDEX('Match Log'!$C:$C,D795),IF(C795="Tournament",INDEX('Tournament Log'!$B:$B,E795)&amp;" (Phantom)",INDEX('Guest Log'!$H:$H,Q795)&amp;" (Guest)")))</f>
        <v/>
      </c>
      <c r="H795" s="40" t="str">
        <f t="array" ref="H795">IF(C795="","",IFERROR(LOOKUP(2,1/(($F$1:F794=F795)+($G$1:G794=F795)),IF($F$1:F794=F795,$N$1:N794,$O$1:O794)),1000))</f>
        <v/>
      </c>
      <c r="I795" s="40" t="str">
        <f t="array" ref="I795">IF(C795="","",IF(C795="Tournament",INDEX('Tournament Log'!$J:$J,E795),IF(C795="Guest",IF(INDEX('Guest Log'!$I:$I,Q795)="",1000,INDEX('Guest Log'!$I:$I,Q795)),IFERROR(LOOKUP(2,1/(($F$1:F794=G795)+($G$1:G794=G795)),IF($F$1:F794=G795,$N$1:N794,$O$1:O794)),1000))))</f>
        <v/>
      </c>
      <c r="J795" s="40" t="str">
        <f t="shared" si="61"/>
        <v/>
      </c>
      <c r="K795" s="12" t="str">
        <f>IF(C795="","",IF(C795="Match",IF(INDEX('Match Log'!$D:$D,D795)="Win",1,IF(INDEX('Match Log'!$D:$D,D795)="Draw",0.5,0)),IF(C795="Tournament",INDEX('Tournament Log'!$K:$K,E795),IF(INDEX('Guest Log'!$C:$C,Q795)="Win",1,IF(INDEX('Guest Log'!$C:$C,Q795)="Draw",0.5,0)))))</f>
        <v/>
      </c>
      <c r="L795" s="12" t="str">
        <f>IF(C795="","",IF(C795="Match",32,IF(C795="Tournament",MIN(32*INDEX('Tournament Log'!$D:$D,E795),96),32)))</f>
        <v/>
      </c>
      <c r="M795" s="12" t="str">
        <f t="shared" si="62"/>
        <v/>
      </c>
      <c r="N795" s="12" t="str">
        <f t="shared" si="63"/>
        <v/>
      </c>
      <c r="O795" s="12" t="str">
        <f t="shared" si="64"/>
        <v/>
      </c>
      <c r="P795" s="12" t="str">
        <f>IF(C795="Tournament",INDEX('Tournament Log'!$B:$B,E795),IF(C795="Guest","Guest: "&amp;INDEX('Guest Log'!$H:$H,Q795),""))</f>
        <v/>
      </c>
      <c r="Q795" t="str">
        <f>IFERROR(MATCH($A795,'Guest Log'!$L$4:$L$203,0)+3,"")</f>
        <v/>
      </c>
    </row>
    <row r="796" spans="1:17" ht="15" customHeight="1" x14ac:dyDescent="0.2">
      <c r="A796" s="40">
        <f>795</f>
        <v>795</v>
      </c>
      <c r="B796" s="40" t="str">
        <f>IF(C796="","",IF(C796="Match",INDEX('Match Log'!$A:$A,D796),IF(C796="Tournament",INDEX('Tournament Log'!$A:$A,E796),INDEX('Guest Log'!$A:$A,Q796))))</f>
        <v/>
      </c>
      <c r="C796" s="40" t="str">
        <f t="shared" si="60"/>
        <v/>
      </c>
      <c r="D796" s="41" t="str">
        <f>IFERROR(MATCH($A796,'Match Log'!$K$3:$K$501,0)+2,"")</f>
        <v/>
      </c>
      <c r="E796" s="41" t="str">
        <f>IFERROR(MATCH($A796,'Tournament Log'!$O$4:$O$203,0)+3,"")</f>
        <v/>
      </c>
      <c r="F796" s="40" t="str">
        <f>IF(C796="","",IF(C796="Match",INDEX('Match Log'!$B:$B,D796),IF(C796="Tournament",INDEX('Tournament Log'!$C:$C,E796),INDEX('Guest Log'!$B:$B,Q796))))</f>
        <v/>
      </c>
      <c r="G796" s="40" t="str">
        <f>IF(C796="","",IF(C796="Match",INDEX('Match Log'!$C:$C,D796),IF(C796="Tournament",INDEX('Tournament Log'!$B:$B,E796)&amp;" (Phantom)",INDEX('Guest Log'!$H:$H,Q796)&amp;" (Guest)")))</f>
        <v/>
      </c>
      <c r="H796" s="40" t="str">
        <f t="array" ref="H796">IF(C796="","",IFERROR(LOOKUP(2,1/(($F$1:F795=F796)+($G$1:G795=F796)),IF($F$1:F795=F796,$N$1:N795,$O$1:O795)),1000))</f>
        <v/>
      </c>
      <c r="I796" s="40" t="str">
        <f t="array" ref="I796">IF(C796="","",IF(C796="Tournament",INDEX('Tournament Log'!$J:$J,E796),IF(C796="Guest",IF(INDEX('Guest Log'!$I:$I,Q796)="",1000,INDEX('Guest Log'!$I:$I,Q796)),IFERROR(LOOKUP(2,1/(($F$1:F795=G796)+($G$1:G795=G796)),IF($F$1:F795=G796,$N$1:N795,$O$1:O795)),1000))))</f>
        <v/>
      </c>
      <c r="J796" s="40" t="str">
        <f t="shared" si="61"/>
        <v/>
      </c>
      <c r="K796" s="12" t="str">
        <f>IF(C796="","",IF(C796="Match",IF(INDEX('Match Log'!$D:$D,D796)="Win",1,IF(INDEX('Match Log'!$D:$D,D796)="Draw",0.5,0)),IF(C796="Tournament",INDEX('Tournament Log'!$K:$K,E796),IF(INDEX('Guest Log'!$C:$C,Q796)="Win",1,IF(INDEX('Guest Log'!$C:$C,Q796)="Draw",0.5,0)))))</f>
        <v/>
      </c>
      <c r="L796" s="12" t="str">
        <f>IF(C796="","",IF(C796="Match",32,IF(C796="Tournament",MIN(32*INDEX('Tournament Log'!$D:$D,E796),96),32)))</f>
        <v/>
      </c>
      <c r="M796" s="12" t="str">
        <f t="shared" si="62"/>
        <v/>
      </c>
      <c r="N796" s="12" t="str">
        <f t="shared" si="63"/>
        <v/>
      </c>
      <c r="O796" s="12" t="str">
        <f t="shared" si="64"/>
        <v/>
      </c>
      <c r="P796" s="12" t="str">
        <f>IF(C796="Tournament",INDEX('Tournament Log'!$B:$B,E796),IF(C796="Guest","Guest: "&amp;INDEX('Guest Log'!$H:$H,Q796),""))</f>
        <v/>
      </c>
      <c r="Q796" t="str">
        <f>IFERROR(MATCH($A796,'Guest Log'!$L$4:$L$203,0)+3,"")</f>
        <v/>
      </c>
    </row>
    <row r="797" spans="1:17" ht="15" customHeight="1" x14ac:dyDescent="0.2">
      <c r="A797" s="40">
        <f>796</f>
        <v>796</v>
      </c>
      <c r="B797" s="40" t="str">
        <f>IF(C797="","",IF(C797="Match",INDEX('Match Log'!$A:$A,D797),IF(C797="Tournament",INDEX('Tournament Log'!$A:$A,E797),INDEX('Guest Log'!$A:$A,Q797))))</f>
        <v/>
      </c>
      <c r="C797" s="40" t="str">
        <f t="shared" si="60"/>
        <v/>
      </c>
      <c r="D797" s="41" t="str">
        <f>IFERROR(MATCH($A797,'Match Log'!$K$3:$K$501,0)+2,"")</f>
        <v/>
      </c>
      <c r="E797" s="41" t="str">
        <f>IFERROR(MATCH($A797,'Tournament Log'!$O$4:$O$203,0)+3,"")</f>
        <v/>
      </c>
      <c r="F797" s="40" t="str">
        <f>IF(C797="","",IF(C797="Match",INDEX('Match Log'!$B:$B,D797),IF(C797="Tournament",INDEX('Tournament Log'!$C:$C,E797),INDEX('Guest Log'!$B:$B,Q797))))</f>
        <v/>
      </c>
      <c r="G797" s="40" t="str">
        <f>IF(C797="","",IF(C797="Match",INDEX('Match Log'!$C:$C,D797),IF(C797="Tournament",INDEX('Tournament Log'!$B:$B,E797)&amp;" (Phantom)",INDEX('Guest Log'!$H:$H,Q797)&amp;" (Guest)")))</f>
        <v/>
      </c>
      <c r="H797" s="40" t="str">
        <f t="array" ref="H797">IF(C797="","",IFERROR(LOOKUP(2,1/(($F$1:F796=F797)+($G$1:G796=F797)),IF($F$1:F796=F797,$N$1:N796,$O$1:O796)),1000))</f>
        <v/>
      </c>
      <c r="I797" s="40" t="str">
        <f t="array" ref="I797">IF(C797="","",IF(C797="Tournament",INDEX('Tournament Log'!$J:$J,E797),IF(C797="Guest",IF(INDEX('Guest Log'!$I:$I,Q797)="",1000,INDEX('Guest Log'!$I:$I,Q797)),IFERROR(LOOKUP(2,1/(($F$1:F796=G797)+($G$1:G796=G797)),IF($F$1:F796=G797,$N$1:N796,$O$1:O796)),1000))))</f>
        <v/>
      </c>
      <c r="J797" s="40" t="str">
        <f t="shared" si="61"/>
        <v/>
      </c>
      <c r="K797" s="12" t="str">
        <f>IF(C797="","",IF(C797="Match",IF(INDEX('Match Log'!$D:$D,D797)="Win",1,IF(INDEX('Match Log'!$D:$D,D797)="Draw",0.5,0)),IF(C797="Tournament",INDEX('Tournament Log'!$K:$K,E797),IF(INDEX('Guest Log'!$C:$C,Q797)="Win",1,IF(INDEX('Guest Log'!$C:$C,Q797)="Draw",0.5,0)))))</f>
        <v/>
      </c>
      <c r="L797" s="12" t="str">
        <f>IF(C797="","",IF(C797="Match",32,IF(C797="Tournament",MIN(32*INDEX('Tournament Log'!$D:$D,E797),96),32)))</f>
        <v/>
      </c>
      <c r="M797" s="12" t="str">
        <f t="shared" si="62"/>
        <v/>
      </c>
      <c r="N797" s="12" t="str">
        <f t="shared" si="63"/>
        <v/>
      </c>
      <c r="O797" s="12" t="str">
        <f t="shared" si="64"/>
        <v/>
      </c>
      <c r="P797" s="12" t="str">
        <f>IF(C797="Tournament",INDEX('Tournament Log'!$B:$B,E797),IF(C797="Guest","Guest: "&amp;INDEX('Guest Log'!$H:$H,Q797),""))</f>
        <v/>
      </c>
      <c r="Q797" t="str">
        <f>IFERROR(MATCH($A797,'Guest Log'!$L$4:$L$203,0)+3,"")</f>
        <v/>
      </c>
    </row>
    <row r="798" spans="1:17" ht="15" customHeight="1" x14ac:dyDescent="0.2">
      <c r="A798" s="40">
        <f>797</f>
        <v>797</v>
      </c>
      <c r="B798" s="40" t="str">
        <f>IF(C798="","",IF(C798="Match",INDEX('Match Log'!$A:$A,D798),IF(C798="Tournament",INDEX('Tournament Log'!$A:$A,E798),INDEX('Guest Log'!$A:$A,Q798))))</f>
        <v/>
      </c>
      <c r="C798" s="40" t="str">
        <f t="shared" si="60"/>
        <v/>
      </c>
      <c r="D798" s="41" t="str">
        <f>IFERROR(MATCH($A798,'Match Log'!$K$3:$K$501,0)+2,"")</f>
        <v/>
      </c>
      <c r="E798" s="41" t="str">
        <f>IFERROR(MATCH($A798,'Tournament Log'!$O$4:$O$203,0)+3,"")</f>
        <v/>
      </c>
      <c r="F798" s="40" t="str">
        <f>IF(C798="","",IF(C798="Match",INDEX('Match Log'!$B:$B,D798),IF(C798="Tournament",INDEX('Tournament Log'!$C:$C,E798),INDEX('Guest Log'!$B:$B,Q798))))</f>
        <v/>
      </c>
      <c r="G798" s="40" t="str">
        <f>IF(C798="","",IF(C798="Match",INDEX('Match Log'!$C:$C,D798),IF(C798="Tournament",INDEX('Tournament Log'!$B:$B,E798)&amp;" (Phantom)",INDEX('Guest Log'!$H:$H,Q798)&amp;" (Guest)")))</f>
        <v/>
      </c>
      <c r="H798" s="40" t="str">
        <f t="array" ref="H798">IF(C798="","",IFERROR(LOOKUP(2,1/(($F$1:F797=F798)+($G$1:G797=F798)),IF($F$1:F797=F798,$N$1:N797,$O$1:O797)),1000))</f>
        <v/>
      </c>
      <c r="I798" s="40" t="str">
        <f t="array" ref="I798">IF(C798="","",IF(C798="Tournament",INDEX('Tournament Log'!$J:$J,E798),IF(C798="Guest",IF(INDEX('Guest Log'!$I:$I,Q798)="",1000,INDEX('Guest Log'!$I:$I,Q798)),IFERROR(LOOKUP(2,1/(($F$1:F797=G798)+($G$1:G797=G798)),IF($F$1:F797=G798,$N$1:N797,$O$1:O797)),1000))))</f>
        <v/>
      </c>
      <c r="J798" s="40" t="str">
        <f t="shared" si="61"/>
        <v/>
      </c>
      <c r="K798" s="12" t="str">
        <f>IF(C798="","",IF(C798="Match",IF(INDEX('Match Log'!$D:$D,D798)="Win",1,IF(INDEX('Match Log'!$D:$D,D798)="Draw",0.5,0)),IF(C798="Tournament",INDEX('Tournament Log'!$K:$K,E798),IF(INDEX('Guest Log'!$C:$C,Q798)="Win",1,IF(INDEX('Guest Log'!$C:$C,Q798)="Draw",0.5,0)))))</f>
        <v/>
      </c>
      <c r="L798" s="12" t="str">
        <f>IF(C798="","",IF(C798="Match",32,IF(C798="Tournament",MIN(32*INDEX('Tournament Log'!$D:$D,E798),96),32)))</f>
        <v/>
      </c>
      <c r="M798" s="12" t="str">
        <f t="shared" si="62"/>
        <v/>
      </c>
      <c r="N798" s="12" t="str">
        <f t="shared" si="63"/>
        <v/>
      </c>
      <c r="O798" s="12" t="str">
        <f t="shared" si="64"/>
        <v/>
      </c>
      <c r="P798" s="12" t="str">
        <f>IF(C798="Tournament",INDEX('Tournament Log'!$B:$B,E798),IF(C798="Guest","Guest: "&amp;INDEX('Guest Log'!$H:$H,Q798),""))</f>
        <v/>
      </c>
      <c r="Q798" t="str">
        <f>IFERROR(MATCH($A798,'Guest Log'!$L$4:$L$203,0)+3,"")</f>
        <v/>
      </c>
    </row>
    <row r="799" spans="1:17" ht="15" customHeight="1" x14ac:dyDescent="0.2">
      <c r="A799" s="40">
        <f>798</f>
        <v>798</v>
      </c>
      <c r="B799" s="40" t="str">
        <f>IF(C799="","",IF(C799="Match",INDEX('Match Log'!$A:$A,D799),IF(C799="Tournament",INDEX('Tournament Log'!$A:$A,E799),INDEX('Guest Log'!$A:$A,Q799))))</f>
        <v/>
      </c>
      <c r="C799" s="40" t="str">
        <f t="shared" si="60"/>
        <v/>
      </c>
      <c r="D799" s="41" t="str">
        <f>IFERROR(MATCH($A799,'Match Log'!$K$3:$K$501,0)+2,"")</f>
        <v/>
      </c>
      <c r="E799" s="41" t="str">
        <f>IFERROR(MATCH($A799,'Tournament Log'!$O$4:$O$203,0)+3,"")</f>
        <v/>
      </c>
      <c r="F799" s="40" t="str">
        <f>IF(C799="","",IF(C799="Match",INDEX('Match Log'!$B:$B,D799),IF(C799="Tournament",INDEX('Tournament Log'!$C:$C,E799),INDEX('Guest Log'!$B:$B,Q799))))</f>
        <v/>
      </c>
      <c r="G799" s="40" t="str">
        <f>IF(C799="","",IF(C799="Match",INDEX('Match Log'!$C:$C,D799),IF(C799="Tournament",INDEX('Tournament Log'!$B:$B,E799)&amp;" (Phantom)",INDEX('Guest Log'!$H:$H,Q799)&amp;" (Guest)")))</f>
        <v/>
      </c>
      <c r="H799" s="40" t="str">
        <f t="array" ref="H799">IF(C799="","",IFERROR(LOOKUP(2,1/(($F$1:F798=F799)+($G$1:G798=F799)),IF($F$1:F798=F799,$N$1:N798,$O$1:O798)),1000))</f>
        <v/>
      </c>
      <c r="I799" s="40" t="str">
        <f t="array" ref="I799">IF(C799="","",IF(C799="Tournament",INDEX('Tournament Log'!$J:$J,E799),IF(C799="Guest",IF(INDEX('Guest Log'!$I:$I,Q799)="",1000,INDEX('Guest Log'!$I:$I,Q799)),IFERROR(LOOKUP(2,1/(($F$1:F798=G799)+($G$1:G798=G799)),IF($F$1:F798=G799,$N$1:N798,$O$1:O798)),1000))))</f>
        <v/>
      </c>
      <c r="J799" s="40" t="str">
        <f t="shared" si="61"/>
        <v/>
      </c>
      <c r="K799" s="12" t="str">
        <f>IF(C799="","",IF(C799="Match",IF(INDEX('Match Log'!$D:$D,D799)="Win",1,IF(INDEX('Match Log'!$D:$D,D799)="Draw",0.5,0)),IF(C799="Tournament",INDEX('Tournament Log'!$K:$K,E799),IF(INDEX('Guest Log'!$C:$C,Q799)="Win",1,IF(INDEX('Guest Log'!$C:$C,Q799)="Draw",0.5,0)))))</f>
        <v/>
      </c>
      <c r="L799" s="12" t="str">
        <f>IF(C799="","",IF(C799="Match",32,IF(C799="Tournament",MIN(32*INDEX('Tournament Log'!$D:$D,E799),96),32)))</f>
        <v/>
      </c>
      <c r="M799" s="12" t="str">
        <f t="shared" si="62"/>
        <v/>
      </c>
      <c r="N799" s="12" t="str">
        <f t="shared" si="63"/>
        <v/>
      </c>
      <c r="O799" s="12" t="str">
        <f t="shared" si="64"/>
        <v/>
      </c>
      <c r="P799" s="12" t="str">
        <f>IF(C799="Tournament",INDEX('Tournament Log'!$B:$B,E799),IF(C799="Guest","Guest: "&amp;INDEX('Guest Log'!$H:$H,Q799),""))</f>
        <v/>
      </c>
      <c r="Q799" t="str">
        <f>IFERROR(MATCH($A799,'Guest Log'!$L$4:$L$203,0)+3,"")</f>
        <v/>
      </c>
    </row>
    <row r="800" spans="1:17" ht="15" customHeight="1" x14ac:dyDescent="0.2">
      <c r="A800" s="40">
        <f>799</f>
        <v>799</v>
      </c>
      <c r="B800" s="40" t="str">
        <f>IF(C800="","",IF(C800="Match",INDEX('Match Log'!$A:$A,D800),IF(C800="Tournament",INDEX('Tournament Log'!$A:$A,E800),INDEX('Guest Log'!$A:$A,Q800))))</f>
        <v/>
      </c>
      <c r="C800" s="40" t="str">
        <f t="shared" si="60"/>
        <v/>
      </c>
      <c r="D800" s="41" t="str">
        <f>IFERROR(MATCH($A800,'Match Log'!$K$3:$K$501,0)+2,"")</f>
        <v/>
      </c>
      <c r="E800" s="41" t="str">
        <f>IFERROR(MATCH($A800,'Tournament Log'!$O$4:$O$203,0)+3,"")</f>
        <v/>
      </c>
      <c r="F800" s="40" t="str">
        <f>IF(C800="","",IF(C800="Match",INDEX('Match Log'!$B:$B,D800),IF(C800="Tournament",INDEX('Tournament Log'!$C:$C,E800),INDEX('Guest Log'!$B:$B,Q800))))</f>
        <v/>
      </c>
      <c r="G800" s="40" t="str">
        <f>IF(C800="","",IF(C800="Match",INDEX('Match Log'!$C:$C,D800),IF(C800="Tournament",INDEX('Tournament Log'!$B:$B,E800)&amp;" (Phantom)",INDEX('Guest Log'!$H:$H,Q800)&amp;" (Guest)")))</f>
        <v/>
      </c>
      <c r="H800" s="40" t="str">
        <f t="array" ref="H800">IF(C800="","",IFERROR(LOOKUP(2,1/(($F$1:F799=F800)+($G$1:G799=F800)),IF($F$1:F799=F800,$N$1:N799,$O$1:O799)),1000))</f>
        <v/>
      </c>
      <c r="I800" s="40" t="str">
        <f t="array" ref="I800">IF(C800="","",IF(C800="Tournament",INDEX('Tournament Log'!$J:$J,E800),IF(C800="Guest",IF(INDEX('Guest Log'!$I:$I,Q800)="",1000,INDEX('Guest Log'!$I:$I,Q800)),IFERROR(LOOKUP(2,1/(($F$1:F799=G800)+($G$1:G799=G800)),IF($F$1:F799=G800,$N$1:N799,$O$1:O799)),1000))))</f>
        <v/>
      </c>
      <c r="J800" s="40" t="str">
        <f t="shared" si="61"/>
        <v/>
      </c>
      <c r="K800" s="12" t="str">
        <f>IF(C800="","",IF(C800="Match",IF(INDEX('Match Log'!$D:$D,D800)="Win",1,IF(INDEX('Match Log'!$D:$D,D800)="Draw",0.5,0)),IF(C800="Tournament",INDEX('Tournament Log'!$K:$K,E800),IF(INDEX('Guest Log'!$C:$C,Q800)="Win",1,IF(INDEX('Guest Log'!$C:$C,Q800)="Draw",0.5,0)))))</f>
        <v/>
      </c>
      <c r="L800" s="12" t="str">
        <f>IF(C800="","",IF(C800="Match",32,IF(C800="Tournament",MIN(32*INDEX('Tournament Log'!$D:$D,E800),96),32)))</f>
        <v/>
      </c>
      <c r="M800" s="12" t="str">
        <f t="shared" si="62"/>
        <v/>
      </c>
      <c r="N800" s="12" t="str">
        <f t="shared" si="63"/>
        <v/>
      </c>
      <c r="O800" s="12" t="str">
        <f t="shared" si="64"/>
        <v/>
      </c>
      <c r="P800" s="12" t="str">
        <f>IF(C800="Tournament",INDEX('Tournament Log'!$B:$B,E800),IF(C800="Guest","Guest: "&amp;INDEX('Guest Log'!$H:$H,Q800),""))</f>
        <v/>
      </c>
      <c r="Q800" t="str">
        <f>IFERROR(MATCH($A800,'Guest Log'!$L$4:$L$203,0)+3,"")</f>
        <v/>
      </c>
    </row>
    <row r="801" spans="1:17" ht="15" customHeight="1" x14ac:dyDescent="0.2">
      <c r="A801" s="40">
        <f>800</f>
        <v>800</v>
      </c>
      <c r="B801" s="40" t="str">
        <f>IF(C801="","",IF(C801="Match",INDEX('Match Log'!$A:$A,D801),IF(C801="Tournament",INDEX('Tournament Log'!$A:$A,E801),INDEX('Guest Log'!$A:$A,Q801))))</f>
        <v/>
      </c>
      <c r="C801" s="40" t="str">
        <f t="shared" si="60"/>
        <v/>
      </c>
      <c r="D801" s="41" t="str">
        <f>IFERROR(MATCH($A801,'Match Log'!$K$3:$K$501,0)+2,"")</f>
        <v/>
      </c>
      <c r="E801" s="41" t="str">
        <f>IFERROR(MATCH($A801,'Tournament Log'!$O$4:$O$203,0)+3,"")</f>
        <v/>
      </c>
      <c r="F801" s="40" t="str">
        <f>IF(C801="","",IF(C801="Match",INDEX('Match Log'!$B:$B,D801),IF(C801="Tournament",INDEX('Tournament Log'!$C:$C,E801),INDEX('Guest Log'!$B:$B,Q801))))</f>
        <v/>
      </c>
      <c r="G801" s="40" t="str">
        <f>IF(C801="","",IF(C801="Match",INDEX('Match Log'!$C:$C,D801),IF(C801="Tournament",INDEX('Tournament Log'!$B:$B,E801)&amp;" (Phantom)",INDEX('Guest Log'!$H:$H,Q801)&amp;" (Guest)")))</f>
        <v/>
      </c>
      <c r="H801" s="40" t="str">
        <f t="array" ref="H801">IF(C801="","",IFERROR(LOOKUP(2,1/(($F$1:F800=F801)+($G$1:G800=F801)),IF($F$1:F800=F801,$N$1:N800,$O$1:O800)),1000))</f>
        <v/>
      </c>
      <c r="I801" s="40" t="str">
        <f t="array" ref="I801">IF(C801="","",IF(C801="Tournament",INDEX('Tournament Log'!$J:$J,E801),IF(C801="Guest",IF(INDEX('Guest Log'!$I:$I,Q801)="",1000,INDEX('Guest Log'!$I:$I,Q801)),IFERROR(LOOKUP(2,1/(($F$1:F800=G801)+($G$1:G800=G801)),IF($F$1:F800=G801,$N$1:N800,$O$1:O800)),1000))))</f>
        <v/>
      </c>
      <c r="J801" s="40" t="str">
        <f t="shared" si="61"/>
        <v/>
      </c>
      <c r="K801" s="12" t="str">
        <f>IF(C801="","",IF(C801="Match",IF(INDEX('Match Log'!$D:$D,D801)="Win",1,IF(INDEX('Match Log'!$D:$D,D801)="Draw",0.5,0)),IF(C801="Tournament",INDEX('Tournament Log'!$K:$K,E801),IF(INDEX('Guest Log'!$C:$C,Q801)="Win",1,IF(INDEX('Guest Log'!$C:$C,Q801)="Draw",0.5,0)))))</f>
        <v/>
      </c>
      <c r="L801" s="12" t="str">
        <f>IF(C801="","",IF(C801="Match",32,IF(C801="Tournament",MIN(32*INDEX('Tournament Log'!$D:$D,E801),96),32)))</f>
        <v/>
      </c>
      <c r="M801" s="12" t="str">
        <f t="shared" si="62"/>
        <v/>
      </c>
      <c r="N801" s="12" t="str">
        <f t="shared" si="63"/>
        <v/>
      </c>
      <c r="O801" s="12" t="str">
        <f t="shared" si="64"/>
        <v/>
      </c>
      <c r="P801" s="12" t="str">
        <f>IF(C801="Tournament",INDEX('Tournament Log'!$B:$B,E801),IF(C801="Guest","Guest: "&amp;INDEX('Guest Log'!$H:$H,Q801),""))</f>
        <v/>
      </c>
      <c r="Q801" t="str">
        <f>IFERROR(MATCH($A801,'Guest Log'!$L$4:$L$203,0)+3,"")</f>
        <v/>
      </c>
    </row>
    <row r="802" spans="1:17" ht="15" customHeight="1" x14ac:dyDescent="0.2">
      <c r="A802" s="40">
        <f>801</f>
        <v>801</v>
      </c>
      <c r="B802" s="40" t="str">
        <f>IF(C802="","",IF(C802="Match",INDEX('Match Log'!$A:$A,D802),IF(C802="Tournament",INDEX('Tournament Log'!$A:$A,E802),INDEX('Guest Log'!$A:$A,Q802))))</f>
        <v/>
      </c>
      <c r="C802" s="40" t="str">
        <f t="shared" si="60"/>
        <v/>
      </c>
      <c r="D802" s="41" t="str">
        <f>IFERROR(MATCH($A802,'Match Log'!$K$3:$K$501,0)+2,"")</f>
        <v/>
      </c>
      <c r="E802" s="41" t="str">
        <f>IFERROR(MATCH($A802,'Tournament Log'!$O$4:$O$203,0)+3,"")</f>
        <v/>
      </c>
      <c r="F802" s="40" t="str">
        <f>IF(C802="","",IF(C802="Match",INDEX('Match Log'!$B:$B,D802),IF(C802="Tournament",INDEX('Tournament Log'!$C:$C,E802),INDEX('Guest Log'!$B:$B,Q802))))</f>
        <v/>
      </c>
      <c r="G802" s="40" t="str">
        <f>IF(C802="","",IF(C802="Match",INDEX('Match Log'!$C:$C,D802),IF(C802="Tournament",INDEX('Tournament Log'!$B:$B,E802)&amp;" (Phantom)",INDEX('Guest Log'!$H:$H,Q802)&amp;" (Guest)")))</f>
        <v/>
      </c>
      <c r="H802" s="40" t="str">
        <f t="array" ref="H802">IF(C802="","",IFERROR(LOOKUP(2,1/(($F$1:F801=F802)+($G$1:G801=F802)),IF($F$1:F801=F802,$N$1:N801,$O$1:O801)),1000))</f>
        <v/>
      </c>
      <c r="I802" s="40" t="str">
        <f t="array" ref="I802">IF(C802="","",IF(C802="Tournament",INDEX('Tournament Log'!$J:$J,E802),IF(C802="Guest",IF(INDEX('Guest Log'!$I:$I,Q802)="",1000,INDEX('Guest Log'!$I:$I,Q802)),IFERROR(LOOKUP(2,1/(($F$1:F801=G802)+($G$1:G801=G802)),IF($F$1:F801=G802,$N$1:N801,$O$1:O801)),1000))))</f>
        <v/>
      </c>
      <c r="J802" s="40" t="str">
        <f t="shared" si="61"/>
        <v/>
      </c>
      <c r="K802" s="12" t="str">
        <f>IF(C802="","",IF(C802="Match",IF(INDEX('Match Log'!$D:$D,D802)="Win",1,IF(INDEX('Match Log'!$D:$D,D802)="Draw",0.5,0)),IF(C802="Tournament",INDEX('Tournament Log'!$K:$K,E802),IF(INDEX('Guest Log'!$C:$C,Q802)="Win",1,IF(INDEX('Guest Log'!$C:$C,Q802)="Draw",0.5,0)))))</f>
        <v/>
      </c>
      <c r="L802" s="12" t="str">
        <f>IF(C802="","",IF(C802="Match",32,IF(C802="Tournament",MIN(32*INDEX('Tournament Log'!$D:$D,E802),96),32)))</f>
        <v/>
      </c>
      <c r="M802" s="12" t="str">
        <f t="shared" si="62"/>
        <v/>
      </c>
      <c r="N802" s="12" t="str">
        <f t="shared" si="63"/>
        <v/>
      </c>
      <c r="O802" s="12" t="str">
        <f t="shared" si="64"/>
        <v/>
      </c>
      <c r="P802" s="12" t="str">
        <f>IF(C802="Tournament",INDEX('Tournament Log'!$B:$B,E802),IF(C802="Guest","Guest: "&amp;INDEX('Guest Log'!$H:$H,Q802),""))</f>
        <v/>
      </c>
      <c r="Q802" t="str">
        <f>IFERROR(MATCH($A802,'Guest Log'!$L$4:$L$203,0)+3,"")</f>
        <v/>
      </c>
    </row>
    <row r="803" spans="1:17" ht="15" customHeight="1" x14ac:dyDescent="0.2">
      <c r="A803" s="40">
        <f>802</f>
        <v>802</v>
      </c>
      <c r="B803" s="40" t="str">
        <f>IF(C803="","",IF(C803="Match",INDEX('Match Log'!$A:$A,D803),IF(C803="Tournament",INDEX('Tournament Log'!$A:$A,E803),INDEX('Guest Log'!$A:$A,Q803))))</f>
        <v/>
      </c>
      <c r="C803" s="40" t="str">
        <f t="shared" si="60"/>
        <v/>
      </c>
      <c r="D803" s="41" t="str">
        <f>IFERROR(MATCH($A803,'Match Log'!$K$3:$K$501,0)+2,"")</f>
        <v/>
      </c>
      <c r="E803" s="41" t="str">
        <f>IFERROR(MATCH($A803,'Tournament Log'!$O$4:$O$203,0)+3,"")</f>
        <v/>
      </c>
      <c r="F803" s="40" t="str">
        <f>IF(C803="","",IF(C803="Match",INDEX('Match Log'!$B:$B,D803),IF(C803="Tournament",INDEX('Tournament Log'!$C:$C,E803),INDEX('Guest Log'!$B:$B,Q803))))</f>
        <v/>
      </c>
      <c r="G803" s="40" t="str">
        <f>IF(C803="","",IF(C803="Match",INDEX('Match Log'!$C:$C,D803),IF(C803="Tournament",INDEX('Tournament Log'!$B:$B,E803)&amp;" (Phantom)",INDEX('Guest Log'!$H:$H,Q803)&amp;" (Guest)")))</f>
        <v/>
      </c>
      <c r="H803" s="40" t="str">
        <f t="array" ref="H803">IF(C803="","",IFERROR(LOOKUP(2,1/(($F$1:F802=F803)+($G$1:G802=F803)),IF($F$1:F802=F803,$N$1:N802,$O$1:O802)),1000))</f>
        <v/>
      </c>
      <c r="I803" s="40" t="str">
        <f t="array" ref="I803">IF(C803="","",IF(C803="Tournament",INDEX('Tournament Log'!$J:$J,E803),IF(C803="Guest",IF(INDEX('Guest Log'!$I:$I,Q803)="",1000,INDEX('Guest Log'!$I:$I,Q803)),IFERROR(LOOKUP(2,1/(($F$1:F802=G803)+($G$1:G802=G803)),IF($F$1:F802=G803,$N$1:N802,$O$1:O802)),1000))))</f>
        <v/>
      </c>
      <c r="J803" s="40" t="str">
        <f t="shared" si="61"/>
        <v/>
      </c>
      <c r="K803" s="12" t="str">
        <f>IF(C803="","",IF(C803="Match",IF(INDEX('Match Log'!$D:$D,D803)="Win",1,IF(INDEX('Match Log'!$D:$D,D803)="Draw",0.5,0)),IF(C803="Tournament",INDEX('Tournament Log'!$K:$K,E803),IF(INDEX('Guest Log'!$C:$C,Q803)="Win",1,IF(INDEX('Guest Log'!$C:$C,Q803)="Draw",0.5,0)))))</f>
        <v/>
      </c>
      <c r="L803" s="12" t="str">
        <f>IF(C803="","",IF(C803="Match",32,IF(C803="Tournament",MIN(32*INDEX('Tournament Log'!$D:$D,E803),96),32)))</f>
        <v/>
      </c>
      <c r="M803" s="12" t="str">
        <f t="shared" si="62"/>
        <v/>
      </c>
      <c r="N803" s="12" t="str">
        <f t="shared" si="63"/>
        <v/>
      </c>
      <c r="O803" s="12" t="str">
        <f t="shared" si="64"/>
        <v/>
      </c>
      <c r="P803" s="12" t="str">
        <f>IF(C803="Tournament",INDEX('Tournament Log'!$B:$B,E803),IF(C803="Guest","Guest: "&amp;INDEX('Guest Log'!$H:$H,Q803),""))</f>
        <v/>
      </c>
      <c r="Q803" t="str">
        <f>IFERROR(MATCH($A803,'Guest Log'!$L$4:$L$203,0)+3,"")</f>
        <v/>
      </c>
    </row>
    <row r="804" spans="1:17" ht="15" customHeight="1" x14ac:dyDescent="0.2">
      <c r="A804" s="40">
        <f>803</f>
        <v>803</v>
      </c>
      <c r="B804" s="40" t="str">
        <f>IF(C804="","",IF(C804="Match",INDEX('Match Log'!$A:$A,D804),IF(C804="Tournament",INDEX('Tournament Log'!$A:$A,E804),INDEX('Guest Log'!$A:$A,Q804))))</f>
        <v/>
      </c>
      <c r="C804" s="40" t="str">
        <f t="shared" si="60"/>
        <v/>
      </c>
      <c r="D804" s="41" t="str">
        <f>IFERROR(MATCH($A804,'Match Log'!$K$3:$K$501,0)+2,"")</f>
        <v/>
      </c>
      <c r="E804" s="41" t="str">
        <f>IFERROR(MATCH($A804,'Tournament Log'!$O$4:$O$203,0)+3,"")</f>
        <v/>
      </c>
      <c r="F804" s="40" t="str">
        <f>IF(C804="","",IF(C804="Match",INDEX('Match Log'!$B:$B,D804),IF(C804="Tournament",INDEX('Tournament Log'!$C:$C,E804),INDEX('Guest Log'!$B:$B,Q804))))</f>
        <v/>
      </c>
      <c r="G804" s="40" t="str">
        <f>IF(C804="","",IF(C804="Match",INDEX('Match Log'!$C:$C,D804),IF(C804="Tournament",INDEX('Tournament Log'!$B:$B,E804)&amp;" (Phantom)",INDEX('Guest Log'!$H:$H,Q804)&amp;" (Guest)")))</f>
        <v/>
      </c>
      <c r="H804" s="40" t="str">
        <f t="array" ref="H804">IF(C804="","",IFERROR(LOOKUP(2,1/(($F$1:F803=F804)+($G$1:G803=F804)),IF($F$1:F803=F804,$N$1:N803,$O$1:O803)),1000))</f>
        <v/>
      </c>
      <c r="I804" s="40" t="str">
        <f t="array" ref="I804">IF(C804="","",IF(C804="Tournament",INDEX('Tournament Log'!$J:$J,E804),IF(C804="Guest",IF(INDEX('Guest Log'!$I:$I,Q804)="",1000,INDEX('Guest Log'!$I:$I,Q804)),IFERROR(LOOKUP(2,1/(($F$1:F803=G804)+($G$1:G803=G804)),IF($F$1:F803=G804,$N$1:N803,$O$1:O803)),1000))))</f>
        <v/>
      </c>
      <c r="J804" s="40" t="str">
        <f t="shared" si="61"/>
        <v/>
      </c>
      <c r="K804" s="12" t="str">
        <f>IF(C804="","",IF(C804="Match",IF(INDEX('Match Log'!$D:$D,D804)="Win",1,IF(INDEX('Match Log'!$D:$D,D804)="Draw",0.5,0)),IF(C804="Tournament",INDEX('Tournament Log'!$K:$K,E804),IF(INDEX('Guest Log'!$C:$C,Q804)="Win",1,IF(INDEX('Guest Log'!$C:$C,Q804)="Draw",0.5,0)))))</f>
        <v/>
      </c>
      <c r="L804" s="12" t="str">
        <f>IF(C804="","",IF(C804="Match",32,IF(C804="Tournament",MIN(32*INDEX('Tournament Log'!$D:$D,E804),96),32)))</f>
        <v/>
      </c>
      <c r="M804" s="12" t="str">
        <f t="shared" si="62"/>
        <v/>
      </c>
      <c r="N804" s="12" t="str">
        <f t="shared" si="63"/>
        <v/>
      </c>
      <c r="O804" s="12" t="str">
        <f t="shared" si="64"/>
        <v/>
      </c>
      <c r="P804" s="12" t="str">
        <f>IF(C804="Tournament",INDEX('Tournament Log'!$B:$B,E804),IF(C804="Guest","Guest: "&amp;INDEX('Guest Log'!$H:$H,Q804),""))</f>
        <v/>
      </c>
      <c r="Q804" t="str">
        <f>IFERROR(MATCH($A804,'Guest Log'!$L$4:$L$203,0)+3,"")</f>
        <v/>
      </c>
    </row>
    <row r="805" spans="1:17" ht="15" customHeight="1" x14ac:dyDescent="0.2">
      <c r="A805" s="40">
        <f>804</f>
        <v>804</v>
      </c>
      <c r="B805" s="40" t="str">
        <f>IF(C805="","",IF(C805="Match",INDEX('Match Log'!$A:$A,D805),IF(C805="Tournament",INDEX('Tournament Log'!$A:$A,E805),INDEX('Guest Log'!$A:$A,Q805))))</f>
        <v/>
      </c>
      <c r="C805" s="40" t="str">
        <f t="shared" si="60"/>
        <v/>
      </c>
      <c r="D805" s="41" t="str">
        <f>IFERROR(MATCH($A805,'Match Log'!$K$3:$K$501,0)+2,"")</f>
        <v/>
      </c>
      <c r="E805" s="41" t="str">
        <f>IFERROR(MATCH($A805,'Tournament Log'!$O$4:$O$203,0)+3,"")</f>
        <v/>
      </c>
      <c r="F805" s="40" t="str">
        <f>IF(C805="","",IF(C805="Match",INDEX('Match Log'!$B:$B,D805),IF(C805="Tournament",INDEX('Tournament Log'!$C:$C,E805),INDEX('Guest Log'!$B:$B,Q805))))</f>
        <v/>
      </c>
      <c r="G805" s="40" t="str">
        <f>IF(C805="","",IF(C805="Match",INDEX('Match Log'!$C:$C,D805),IF(C805="Tournament",INDEX('Tournament Log'!$B:$B,E805)&amp;" (Phantom)",INDEX('Guest Log'!$H:$H,Q805)&amp;" (Guest)")))</f>
        <v/>
      </c>
      <c r="H805" s="40" t="str">
        <f t="array" ref="H805">IF(C805="","",IFERROR(LOOKUP(2,1/(($F$1:F804=F805)+($G$1:G804=F805)),IF($F$1:F804=F805,$N$1:N804,$O$1:O804)),1000))</f>
        <v/>
      </c>
      <c r="I805" s="40" t="str">
        <f t="array" ref="I805">IF(C805="","",IF(C805="Tournament",INDEX('Tournament Log'!$J:$J,E805),IF(C805="Guest",IF(INDEX('Guest Log'!$I:$I,Q805)="",1000,INDEX('Guest Log'!$I:$I,Q805)),IFERROR(LOOKUP(2,1/(($F$1:F804=G805)+($G$1:G804=G805)),IF($F$1:F804=G805,$N$1:N804,$O$1:O804)),1000))))</f>
        <v/>
      </c>
      <c r="J805" s="40" t="str">
        <f t="shared" si="61"/>
        <v/>
      </c>
      <c r="K805" s="12" t="str">
        <f>IF(C805="","",IF(C805="Match",IF(INDEX('Match Log'!$D:$D,D805)="Win",1,IF(INDEX('Match Log'!$D:$D,D805)="Draw",0.5,0)),IF(C805="Tournament",INDEX('Tournament Log'!$K:$K,E805),IF(INDEX('Guest Log'!$C:$C,Q805)="Win",1,IF(INDEX('Guest Log'!$C:$C,Q805)="Draw",0.5,0)))))</f>
        <v/>
      </c>
      <c r="L805" s="12" t="str">
        <f>IF(C805="","",IF(C805="Match",32,IF(C805="Tournament",MIN(32*INDEX('Tournament Log'!$D:$D,E805),96),32)))</f>
        <v/>
      </c>
      <c r="M805" s="12" t="str">
        <f t="shared" si="62"/>
        <v/>
      </c>
      <c r="N805" s="12" t="str">
        <f t="shared" si="63"/>
        <v/>
      </c>
      <c r="O805" s="12" t="str">
        <f t="shared" si="64"/>
        <v/>
      </c>
      <c r="P805" s="12" t="str">
        <f>IF(C805="Tournament",INDEX('Tournament Log'!$B:$B,E805),IF(C805="Guest","Guest: "&amp;INDEX('Guest Log'!$H:$H,Q805),""))</f>
        <v/>
      </c>
      <c r="Q805" t="str">
        <f>IFERROR(MATCH($A805,'Guest Log'!$L$4:$L$203,0)+3,"")</f>
        <v/>
      </c>
    </row>
    <row r="806" spans="1:17" ht="15" customHeight="1" x14ac:dyDescent="0.2">
      <c r="A806" s="40">
        <f>805</f>
        <v>805</v>
      </c>
      <c r="B806" s="40" t="str">
        <f>IF(C806="","",IF(C806="Match",INDEX('Match Log'!$A:$A,D806),IF(C806="Tournament",INDEX('Tournament Log'!$A:$A,E806),INDEX('Guest Log'!$A:$A,Q806))))</f>
        <v/>
      </c>
      <c r="C806" s="40" t="str">
        <f t="shared" si="60"/>
        <v/>
      </c>
      <c r="D806" s="41" t="str">
        <f>IFERROR(MATCH($A806,'Match Log'!$K$3:$K$501,0)+2,"")</f>
        <v/>
      </c>
      <c r="E806" s="41" t="str">
        <f>IFERROR(MATCH($A806,'Tournament Log'!$O$4:$O$203,0)+3,"")</f>
        <v/>
      </c>
      <c r="F806" s="40" t="str">
        <f>IF(C806="","",IF(C806="Match",INDEX('Match Log'!$B:$B,D806),IF(C806="Tournament",INDEX('Tournament Log'!$C:$C,E806),INDEX('Guest Log'!$B:$B,Q806))))</f>
        <v/>
      </c>
      <c r="G806" s="40" t="str">
        <f>IF(C806="","",IF(C806="Match",INDEX('Match Log'!$C:$C,D806),IF(C806="Tournament",INDEX('Tournament Log'!$B:$B,E806)&amp;" (Phantom)",INDEX('Guest Log'!$H:$H,Q806)&amp;" (Guest)")))</f>
        <v/>
      </c>
      <c r="H806" s="40" t="str">
        <f t="array" ref="H806">IF(C806="","",IFERROR(LOOKUP(2,1/(($F$1:F805=F806)+($G$1:G805=F806)),IF($F$1:F805=F806,$N$1:N805,$O$1:O805)),1000))</f>
        <v/>
      </c>
      <c r="I806" s="40" t="str">
        <f t="array" ref="I806">IF(C806="","",IF(C806="Tournament",INDEX('Tournament Log'!$J:$J,E806),IF(C806="Guest",IF(INDEX('Guest Log'!$I:$I,Q806)="",1000,INDEX('Guest Log'!$I:$I,Q806)),IFERROR(LOOKUP(2,1/(($F$1:F805=G806)+($G$1:G805=G806)),IF($F$1:F805=G806,$N$1:N805,$O$1:O805)),1000))))</f>
        <v/>
      </c>
      <c r="J806" s="40" t="str">
        <f t="shared" si="61"/>
        <v/>
      </c>
      <c r="K806" s="12" t="str">
        <f>IF(C806="","",IF(C806="Match",IF(INDEX('Match Log'!$D:$D,D806)="Win",1,IF(INDEX('Match Log'!$D:$D,D806)="Draw",0.5,0)),IF(C806="Tournament",INDEX('Tournament Log'!$K:$K,E806),IF(INDEX('Guest Log'!$C:$C,Q806)="Win",1,IF(INDEX('Guest Log'!$C:$C,Q806)="Draw",0.5,0)))))</f>
        <v/>
      </c>
      <c r="L806" s="12" t="str">
        <f>IF(C806="","",IF(C806="Match",32,IF(C806="Tournament",MIN(32*INDEX('Tournament Log'!$D:$D,E806),96),32)))</f>
        <v/>
      </c>
      <c r="M806" s="12" t="str">
        <f t="shared" si="62"/>
        <v/>
      </c>
      <c r="N806" s="12" t="str">
        <f t="shared" si="63"/>
        <v/>
      </c>
      <c r="O806" s="12" t="str">
        <f t="shared" si="64"/>
        <v/>
      </c>
      <c r="P806" s="12" t="str">
        <f>IF(C806="Tournament",INDEX('Tournament Log'!$B:$B,E806),IF(C806="Guest","Guest: "&amp;INDEX('Guest Log'!$H:$H,Q806),""))</f>
        <v/>
      </c>
      <c r="Q806" t="str">
        <f>IFERROR(MATCH($A806,'Guest Log'!$L$4:$L$203,0)+3,"")</f>
        <v/>
      </c>
    </row>
    <row r="807" spans="1:17" ht="15" customHeight="1" x14ac:dyDescent="0.2">
      <c r="A807" s="40">
        <f>806</f>
        <v>806</v>
      </c>
      <c r="B807" s="40" t="str">
        <f>IF(C807="","",IF(C807="Match",INDEX('Match Log'!$A:$A,D807),IF(C807="Tournament",INDEX('Tournament Log'!$A:$A,E807),INDEX('Guest Log'!$A:$A,Q807))))</f>
        <v/>
      </c>
      <c r="C807" s="40" t="str">
        <f t="shared" si="60"/>
        <v/>
      </c>
      <c r="D807" s="41" t="str">
        <f>IFERROR(MATCH($A807,'Match Log'!$K$3:$K$501,0)+2,"")</f>
        <v/>
      </c>
      <c r="E807" s="41" t="str">
        <f>IFERROR(MATCH($A807,'Tournament Log'!$O$4:$O$203,0)+3,"")</f>
        <v/>
      </c>
      <c r="F807" s="40" t="str">
        <f>IF(C807="","",IF(C807="Match",INDEX('Match Log'!$B:$B,D807),IF(C807="Tournament",INDEX('Tournament Log'!$C:$C,E807),INDEX('Guest Log'!$B:$B,Q807))))</f>
        <v/>
      </c>
      <c r="G807" s="40" t="str">
        <f>IF(C807="","",IF(C807="Match",INDEX('Match Log'!$C:$C,D807),IF(C807="Tournament",INDEX('Tournament Log'!$B:$B,E807)&amp;" (Phantom)",INDEX('Guest Log'!$H:$H,Q807)&amp;" (Guest)")))</f>
        <v/>
      </c>
      <c r="H807" s="40" t="str">
        <f t="array" ref="H807">IF(C807="","",IFERROR(LOOKUP(2,1/(($F$1:F806=F807)+($G$1:G806=F807)),IF($F$1:F806=F807,$N$1:N806,$O$1:O806)),1000))</f>
        <v/>
      </c>
      <c r="I807" s="40" t="str">
        <f t="array" ref="I807">IF(C807="","",IF(C807="Tournament",INDEX('Tournament Log'!$J:$J,E807),IF(C807="Guest",IF(INDEX('Guest Log'!$I:$I,Q807)="",1000,INDEX('Guest Log'!$I:$I,Q807)),IFERROR(LOOKUP(2,1/(($F$1:F806=G807)+($G$1:G806=G807)),IF($F$1:F806=G807,$N$1:N806,$O$1:O806)),1000))))</f>
        <v/>
      </c>
      <c r="J807" s="40" t="str">
        <f t="shared" si="61"/>
        <v/>
      </c>
      <c r="K807" s="12" t="str">
        <f>IF(C807="","",IF(C807="Match",IF(INDEX('Match Log'!$D:$D,D807)="Win",1,IF(INDEX('Match Log'!$D:$D,D807)="Draw",0.5,0)),IF(C807="Tournament",INDEX('Tournament Log'!$K:$K,E807),IF(INDEX('Guest Log'!$C:$C,Q807)="Win",1,IF(INDEX('Guest Log'!$C:$C,Q807)="Draw",0.5,0)))))</f>
        <v/>
      </c>
      <c r="L807" s="12" t="str">
        <f>IF(C807="","",IF(C807="Match",32,IF(C807="Tournament",MIN(32*INDEX('Tournament Log'!$D:$D,E807),96),32)))</f>
        <v/>
      </c>
      <c r="M807" s="12" t="str">
        <f t="shared" si="62"/>
        <v/>
      </c>
      <c r="N807" s="12" t="str">
        <f t="shared" si="63"/>
        <v/>
      </c>
      <c r="O807" s="12" t="str">
        <f t="shared" si="64"/>
        <v/>
      </c>
      <c r="P807" s="12" t="str">
        <f>IF(C807="Tournament",INDEX('Tournament Log'!$B:$B,E807),IF(C807="Guest","Guest: "&amp;INDEX('Guest Log'!$H:$H,Q807),""))</f>
        <v/>
      </c>
      <c r="Q807" t="str">
        <f>IFERROR(MATCH($A807,'Guest Log'!$L$4:$L$203,0)+3,"")</f>
        <v/>
      </c>
    </row>
    <row r="808" spans="1:17" ht="15" customHeight="1" x14ac:dyDescent="0.2">
      <c r="A808" s="40">
        <f>807</f>
        <v>807</v>
      </c>
      <c r="B808" s="40" t="str">
        <f>IF(C808="","",IF(C808="Match",INDEX('Match Log'!$A:$A,D808),IF(C808="Tournament",INDEX('Tournament Log'!$A:$A,E808),INDEX('Guest Log'!$A:$A,Q808))))</f>
        <v/>
      </c>
      <c r="C808" s="40" t="str">
        <f t="shared" si="60"/>
        <v/>
      </c>
      <c r="D808" s="41" t="str">
        <f>IFERROR(MATCH($A808,'Match Log'!$K$3:$K$501,0)+2,"")</f>
        <v/>
      </c>
      <c r="E808" s="41" t="str">
        <f>IFERROR(MATCH($A808,'Tournament Log'!$O$4:$O$203,0)+3,"")</f>
        <v/>
      </c>
      <c r="F808" s="40" t="str">
        <f>IF(C808="","",IF(C808="Match",INDEX('Match Log'!$B:$B,D808),IF(C808="Tournament",INDEX('Tournament Log'!$C:$C,E808),INDEX('Guest Log'!$B:$B,Q808))))</f>
        <v/>
      </c>
      <c r="G808" s="40" t="str">
        <f>IF(C808="","",IF(C808="Match",INDEX('Match Log'!$C:$C,D808),IF(C808="Tournament",INDEX('Tournament Log'!$B:$B,E808)&amp;" (Phantom)",INDEX('Guest Log'!$H:$H,Q808)&amp;" (Guest)")))</f>
        <v/>
      </c>
      <c r="H808" s="40" t="str">
        <f t="array" ref="H808">IF(C808="","",IFERROR(LOOKUP(2,1/(($F$1:F807=F808)+($G$1:G807=F808)),IF($F$1:F807=F808,$N$1:N807,$O$1:O807)),1000))</f>
        <v/>
      </c>
      <c r="I808" s="40" t="str">
        <f t="array" ref="I808">IF(C808="","",IF(C808="Tournament",INDEX('Tournament Log'!$J:$J,E808),IF(C808="Guest",IF(INDEX('Guest Log'!$I:$I,Q808)="",1000,INDEX('Guest Log'!$I:$I,Q808)),IFERROR(LOOKUP(2,1/(($F$1:F807=G808)+($G$1:G807=G808)),IF($F$1:F807=G808,$N$1:N807,$O$1:O807)),1000))))</f>
        <v/>
      </c>
      <c r="J808" s="40" t="str">
        <f t="shared" si="61"/>
        <v/>
      </c>
      <c r="K808" s="12" t="str">
        <f>IF(C808="","",IF(C808="Match",IF(INDEX('Match Log'!$D:$D,D808)="Win",1,IF(INDEX('Match Log'!$D:$D,D808)="Draw",0.5,0)),IF(C808="Tournament",INDEX('Tournament Log'!$K:$K,E808),IF(INDEX('Guest Log'!$C:$C,Q808)="Win",1,IF(INDEX('Guest Log'!$C:$C,Q808)="Draw",0.5,0)))))</f>
        <v/>
      </c>
      <c r="L808" s="12" t="str">
        <f>IF(C808="","",IF(C808="Match",32,IF(C808="Tournament",MIN(32*INDEX('Tournament Log'!$D:$D,E808),96),32)))</f>
        <v/>
      </c>
      <c r="M808" s="12" t="str">
        <f t="shared" si="62"/>
        <v/>
      </c>
      <c r="N808" s="12" t="str">
        <f t="shared" si="63"/>
        <v/>
      </c>
      <c r="O808" s="12" t="str">
        <f t="shared" si="64"/>
        <v/>
      </c>
      <c r="P808" s="12" t="str">
        <f>IF(C808="Tournament",INDEX('Tournament Log'!$B:$B,E808),IF(C808="Guest","Guest: "&amp;INDEX('Guest Log'!$H:$H,Q808),""))</f>
        <v/>
      </c>
      <c r="Q808" t="str">
        <f>IFERROR(MATCH($A808,'Guest Log'!$L$4:$L$203,0)+3,"")</f>
        <v/>
      </c>
    </row>
    <row r="809" spans="1:17" ht="15" customHeight="1" x14ac:dyDescent="0.2">
      <c r="A809" s="40">
        <f>808</f>
        <v>808</v>
      </c>
      <c r="B809" s="40" t="str">
        <f>IF(C809="","",IF(C809="Match",INDEX('Match Log'!$A:$A,D809),IF(C809="Tournament",INDEX('Tournament Log'!$A:$A,E809),INDEX('Guest Log'!$A:$A,Q809))))</f>
        <v/>
      </c>
      <c r="C809" s="40" t="str">
        <f t="shared" si="60"/>
        <v/>
      </c>
      <c r="D809" s="41" t="str">
        <f>IFERROR(MATCH($A809,'Match Log'!$K$3:$K$501,0)+2,"")</f>
        <v/>
      </c>
      <c r="E809" s="41" t="str">
        <f>IFERROR(MATCH($A809,'Tournament Log'!$O$4:$O$203,0)+3,"")</f>
        <v/>
      </c>
      <c r="F809" s="40" t="str">
        <f>IF(C809="","",IF(C809="Match",INDEX('Match Log'!$B:$B,D809),IF(C809="Tournament",INDEX('Tournament Log'!$C:$C,E809),INDEX('Guest Log'!$B:$B,Q809))))</f>
        <v/>
      </c>
      <c r="G809" s="40" t="str">
        <f>IF(C809="","",IF(C809="Match",INDEX('Match Log'!$C:$C,D809),IF(C809="Tournament",INDEX('Tournament Log'!$B:$B,E809)&amp;" (Phantom)",INDEX('Guest Log'!$H:$H,Q809)&amp;" (Guest)")))</f>
        <v/>
      </c>
      <c r="H809" s="40" t="str">
        <f t="array" ref="H809">IF(C809="","",IFERROR(LOOKUP(2,1/(($F$1:F808=F809)+($G$1:G808=F809)),IF($F$1:F808=F809,$N$1:N808,$O$1:O808)),1000))</f>
        <v/>
      </c>
      <c r="I809" s="40" t="str">
        <f t="array" ref="I809">IF(C809="","",IF(C809="Tournament",INDEX('Tournament Log'!$J:$J,E809),IF(C809="Guest",IF(INDEX('Guest Log'!$I:$I,Q809)="",1000,INDEX('Guest Log'!$I:$I,Q809)),IFERROR(LOOKUP(2,1/(($F$1:F808=G809)+($G$1:G808=G809)),IF($F$1:F808=G809,$N$1:N808,$O$1:O808)),1000))))</f>
        <v/>
      </c>
      <c r="J809" s="40" t="str">
        <f t="shared" si="61"/>
        <v/>
      </c>
      <c r="K809" s="12" t="str">
        <f>IF(C809="","",IF(C809="Match",IF(INDEX('Match Log'!$D:$D,D809)="Win",1,IF(INDEX('Match Log'!$D:$D,D809)="Draw",0.5,0)),IF(C809="Tournament",INDEX('Tournament Log'!$K:$K,E809),IF(INDEX('Guest Log'!$C:$C,Q809)="Win",1,IF(INDEX('Guest Log'!$C:$C,Q809)="Draw",0.5,0)))))</f>
        <v/>
      </c>
      <c r="L809" s="12" t="str">
        <f>IF(C809="","",IF(C809="Match",32,IF(C809="Tournament",MIN(32*INDEX('Tournament Log'!$D:$D,E809),96),32)))</f>
        <v/>
      </c>
      <c r="M809" s="12" t="str">
        <f t="shared" si="62"/>
        <v/>
      </c>
      <c r="N809" s="12" t="str">
        <f t="shared" si="63"/>
        <v/>
      </c>
      <c r="O809" s="12" t="str">
        <f t="shared" si="64"/>
        <v/>
      </c>
      <c r="P809" s="12" t="str">
        <f>IF(C809="Tournament",INDEX('Tournament Log'!$B:$B,E809),IF(C809="Guest","Guest: "&amp;INDEX('Guest Log'!$H:$H,Q809),""))</f>
        <v/>
      </c>
      <c r="Q809" t="str">
        <f>IFERROR(MATCH($A809,'Guest Log'!$L$4:$L$203,0)+3,"")</f>
        <v/>
      </c>
    </row>
    <row r="810" spans="1:17" ht="15" customHeight="1" x14ac:dyDescent="0.2">
      <c r="A810" s="40">
        <f>809</f>
        <v>809</v>
      </c>
      <c r="B810" s="40" t="str">
        <f>IF(C810="","",IF(C810="Match",INDEX('Match Log'!$A:$A,D810),IF(C810="Tournament",INDEX('Tournament Log'!$A:$A,E810),INDEX('Guest Log'!$A:$A,Q810))))</f>
        <v/>
      </c>
      <c r="C810" s="40" t="str">
        <f t="shared" si="60"/>
        <v/>
      </c>
      <c r="D810" s="41" t="str">
        <f>IFERROR(MATCH($A810,'Match Log'!$K$3:$K$501,0)+2,"")</f>
        <v/>
      </c>
      <c r="E810" s="41" t="str">
        <f>IFERROR(MATCH($A810,'Tournament Log'!$O$4:$O$203,0)+3,"")</f>
        <v/>
      </c>
      <c r="F810" s="40" t="str">
        <f>IF(C810="","",IF(C810="Match",INDEX('Match Log'!$B:$B,D810),IF(C810="Tournament",INDEX('Tournament Log'!$C:$C,E810),INDEX('Guest Log'!$B:$B,Q810))))</f>
        <v/>
      </c>
      <c r="G810" s="40" t="str">
        <f>IF(C810="","",IF(C810="Match",INDEX('Match Log'!$C:$C,D810),IF(C810="Tournament",INDEX('Tournament Log'!$B:$B,E810)&amp;" (Phantom)",INDEX('Guest Log'!$H:$H,Q810)&amp;" (Guest)")))</f>
        <v/>
      </c>
      <c r="H810" s="40" t="str">
        <f t="array" ref="H810">IF(C810="","",IFERROR(LOOKUP(2,1/(($F$1:F809=F810)+($G$1:G809=F810)),IF($F$1:F809=F810,$N$1:N809,$O$1:O809)),1000))</f>
        <v/>
      </c>
      <c r="I810" s="40" t="str">
        <f t="array" ref="I810">IF(C810="","",IF(C810="Tournament",INDEX('Tournament Log'!$J:$J,E810),IF(C810="Guest",IF(INDEX('Guest Log'!$I:$I,Q810)="",1000,INDEX('Guest Log'!$I:$I,Q810)),IFERROR(LOOKUP(2,1/(($F$1:F809=G810)+($G$1:G809=G810)),IF($F$1:F809=G810,$N$1:N809,$O$1:O809)),1000))))</f>
        <v/>
      </c>
      <c r="J810" s="40" t="str">
        <f t="shared" si="61"/>
        <v/>
      </c>
      <c r="K810" s="12" t="str">
        <f>IF(C810="","",IF(C810="Match",IF(INDEX('Match Log'!$D:$D,D810)="Win",1,IF(INDEX('Match Log'!$D:$D,D810)="Draw",0.5,0)),IF(C810="Tournament",INDEX('Tournament Log'!$K:$K,E810),IF(INDEX('Guest Log'!$C:$C,Q810)="Win",1,IF(INDEX('Guest Log'!$C:$C,Q810)="Draw",0.5,0)))))</f>
        <v/>
      </c>
      <c r="L810" s="12" t="str">
        <f>IF(C810="","",IF(C810="Match",32,IF(C810="Tournament",MIN(32*INDEX('Tournament Log'!$D:$D,E810),96),32)))</f>
        <v/>
      </c>
      <c r="M810" s="12" t="str">
        <f t="shared" si="62"/>
        <v/>
      </c>
      <c r="N810" s="12" t="str">
        <f t="shared" si="63"/>
        <v/>
      </c>
      <c r="O810" s="12" t="str">
        <f t="shared" si="64"/>
        <v/>
      </c>
      <c r="P810" s="12" t="str">
        <f>IF(C810="Tournament",INDEX('Tournament Log'!$B:$B,E810),IF(C810="Guest","Guest: "&amp;INDEX('Guest Log'!$H:$H,Q810),""))</f>
        <v/>
      </c>
      <c r="Q810" t="str">
        <f>IFERROR(MATCH($A810,'Guest Log'!$L$4:$L$203,0)+3,"")</f>
        <v/>
      </c>
    </row>
    <row r="811" spans="1:17" ht="15" customHeight="1" x14ac:dyDescent="0.2">
      <c r="A811" s="40">
        <f>810</f>
        <v>810</v>
      </c>
      <c r="B811" s="40" t="str">
        <f>IF(C811="","",IF(C811="Match",INDEX('Match Log'!$A:$A,D811),IF(C811="Tournament",INDEX('Tournament Log'!$A:$A,E811),INDEX('Guest Log'!$A:$A,Q811))))</f>
        <v/>
      </c>
      <c r="C811" s="40" t="str">
        <f t="shared" si="60"/>
        <v/>
      </c>
      <c r="D811" s="41" t="str">
        <f>IFERROR(MATCH($A811,'Match Log'!$K$3:$K$501,0)+2,"")</f>
        <v/>
      </c>
      <c r="E811" s="41" t="str">
        <f>IFERROR(MATCH($A811,'Tournament Log'!$O$4:$O$203,0)+3,"")</f>
        <v/>
      </c>
      <c r="F811" s="40" t="str">
        <f>IF(C811="","",IF(C811="Match",INDEX('Match Log'!$B:$B,D811),IF(C811="Tournament",INDEX('Tournament Log'!$C:$C,E811),INDEX('Guest Log'!$B:$B,Q811))))</f>
        <v/>
      </c>
      <c r="G811" s="40" t="str">
        <f>IF(C811="","",IF(C811="Match",INDEX('Match Log'!$C:$C,D811),IF(C811="Tournament",INDEX('Tournament Log'!$B:$B,E811)&amp;" (Phantom)",INDEX('Guest Log'!$H:$H,Q811)&amp;" (Guest)")))</f>
        <v/>
      </c>
      <c r="H811" s="40" t="str">
        <f t="array" ref="H811">IF(C811="","",IFERROR(LOOKUP(2,1/(($F$1:F810=F811)+($G$1:G810=F811)),IF($F$1:F810=F811,$N$1:N810,$O$1:O810)),1000))</f>
        <v/>
      </c>
      <c r="I811" s="40" t="str">
        <f t="array" ref="I811">IF(C811="","",IF(C811="Tournament",INDEX('Tournament Log'!$J:$J,E811),IF(C811="Guest",IF(INDEX('Guest Log'!$I:$I,Q811)="",1000,INDEX('Guest Log'!$I:$I,Q811)),IFERROR(LOOKUP(2,1/(($F$1:F810=G811)+($G$1:G810=G811)),IF($F$1:F810=G811,$N$1:N810,$O$1:O810)),1000))))</f>
        <v/>
      </c>
      <c r="J811" s="40" t="str">
        <f t="shared" si="61"/>
        <v/>
      </c>
      <c r="K811" s="12" t="str">
        <f>IF(C811="","",IF(C811="Match",IF(INDEX('Match Log'!$D:$D,D811)="Win",1,IF(INDEX('Match Log'!$D:$D,D811)="Draw",0.5,0)),IF(C811="Tournament",INDEX('Tournament Log'!$K:$K,E811),IF(INDEX('Guest Log'!$C:$C,Q811)="Win",1,IF(INDEX('Guest Log'!$C:$C,Q811)="Draw",0.5,0)))))</f>
        <v/>
      </c>
      <c r="L811" s="12" t="str">
        <f>IF(C811="","",IF(C811="Match",32,IF(C811="Tournament",MIN(32*INDEX('Tournament Log'!$D:$D,E811),96),32)))</f>
        <v/>
      </c>
      <c r="M811" s="12" t="str">
        <f t="shared" si="62"/>
        <v/>
      </c>
      <c r="N811" s="12" t="str">
        <f t="shared" si="63"/>
        <v/>
      </c>
      <c r="O811" s="12" t="str">
        <f t="shared" si="64"/>
        <v/>
      </c>
      <c r="P811" s="12" t="str">
        <f>IF(C811="Tournament",INDEX('Tournament Log'!$B:$B,E811),IF(C811="Guest","Guest: "&amp;INDEX('Guest Log'!$H:$H,Q811),""))</f>
        <v/>
      </c>
      <c r="Q811" t="str">
        <f>IFERROR(MATCH($A811,'Guest Log'!$L$4:$L$203,0)+3,"")</f>
        <v/>
      </c>
    </row>
    <row r="812" spans="1:17" ht="15" customHeight="1" x14ac:dyDescent="0.2">
      <c r="A812" s="40">
        <f>811</f>
        <v>811</v>
      </c>
      <c r="B812" s="40" t="str">
        <f>IF(C812="","",IF(C812="Match",INDEX('Match Log'!$A:$A,D812),IF(C812="Tournament",INDEX('Tournament Log'!$A:$A,E812),INDEX('Guest Log'!$A:$A,Q812))))</f>
        <v/>
      </c>
      <c r="C812" s="40" t="str">
        <f t="shared" si="60"/>
        <v/>
      </c>
      <c r="D812" s="41" t="str">
        <f>IFERROR(MATCH($A812,'Match Log'!$K$3:$K$501,0)+2,"")</f>
        <v/>
      </c>
      <c r="E812" s="41" t="str">
        <f>IFERROR(MATCH($A812,'Tournament Log'!$O$4:$O$203,0)+3,"")</f>
        <v/>
      </c>
      <c r="F812" s="40" t="str">
        <f>IF(C812="","",IF(C812="Match",INDEX('Match Log'!$B:$B,D812),IF(C812="Tournament",INDEX('Tournament Log'!$C:$C,E812),INDEX('Guest Log'!$B:$B,Q812))))</f>
        <v/>
      </c>
      <c r="G812" s="40" t="str">
        <f>IF(C812="","",IF(C812="Match",INDEX('Match Log'!$C:$C,D812),IF(C812="Tournament",INDEX('Tournament Log'!$B:$B,E812)&amp;" (Phantom)",INDEX('Guest Log'!$H:$H,Q812)&amp;" (Guest)")))</f>
        <v/>
      </c>
      <c r="H812" s="40" t="str">
        <f t="array" ref="H812">IF(C812="","",IFERROR(LOOKUP(2,1/(($F$1:F811=F812)+($G$1:G811=F812)),IF($F$1:F811=F812,$N$1:N811,$O$1:O811)),1000))</f>
        <v/>
      </c>
      <c r="I812" s="40" t="str">
        <f t="array" ref="I812">IF(C812="","",IF(C812="Tournament",INDEX('Tournament Log'!$J:$J,E812),IF(C812="Guest",IF(INDEX('Guest Log'!$I:$I,Q812)="",1000,INDEX('Guest Log'!$I:$I,Q812)),IFERROR(LOOKUP(2,1/(($F$1:F811=G812)+($G$1:G811=G812)),IF($F$1:F811=G812,$N$1:N811,$O$1:O811)),1000))))</f>
        <v/>
      </c>
      <c r="J812" s="40" t="str">
        <f t="shared" si="61"/>
        <v/>
      </c>
      <c r="K812" s="12" t="str">
        <f>IF(C812="","",IF(C812="Match",IF(INDEX('Match Log'!$D:$D,D812)="Win",1,IF(INDEX('Match Log'!$D:$D,D812)="Draw",0.5,0)),IF(C812="Tournament",INDEX('Tournament Log'!$K:$K,E812),IF(INDEX('Guest Log'!$C:$C,Q812)="Win",1,IF(INDEX('Guest Log'!$C:$C,Q812)="Draw",0.5,0)))))</f>
        <v/>
      </c>
      <c r="L812" s="12" t="str">
        <f>IF(C812="","",IF(C812="Match",32,IF(C812="Tournament",MIN(32*INDEX('Tournament Log'!$D:$D,E812),96),32)))</f>
        <v/>
      </c>
      <c r="M812" s="12" t="str">
        <f t="shared" si="62"/>
        <v/>
      </c>
      <c r="N812" s="12" t="str">
        <f t="shared" si="63"/>
        <v/>
      </c>
      <c r="O812" s="12" t="str">
        <f t="shared" si="64"/>
        <v/>
      </c>
      <c r="P812" s="12" t="str">
        <f>IF(C812="Tournament",INDEX('Tournament Log'!$B:$B,E812),IF(C812="Guest","Guest: "&amp;INDEX('Guest Log'!$H:$H,Q812),""))</f>
        <v/>
      </c>
      <c r="Q812" t="str">
        <f>IFERROR(MATCH($A812,'Guest Log'!$L$4:$L$203,0)+3,"")</f>
        <v/>
      </c>
    </row>
    <row r="813" spans="1:17" ht="15" customHeight="1" x14ac:dyDescent="0.2">
      <c r="A813" s="40">
        <f>812</f>
        <v>812</v>
      </c>
      <c r="B813" s="40" t="str">
        <f>IF(C813="","",IF(C813="Match",INDEX('Match Log'!$A:$A,D813),IF(C813="Tournament",INDEX('Tournament Log'!$A:$A,E813),INDEX('Guest Log'!$A:$A,Q813))))</f>
        <v/>
      </c>
      <c r="C813" s="40" t="str">
        <f t="shared" si="60"/>
        <v/>
      </c>
      <c r="D813" s="41" t="str">
        <f>IFERROR(MATCH($A813,'Match Log'!$K$3:$K$501,0)+2,"")</f>
        <v/>
      </c>
      <c r="E813" s="41" t="str">
        <f>IFERROR(MATCH($A813,'Tournament Log'!$O$4:$O$203,0)+3,"")</f>
        <v/>
      </c>
      <c r="F813" s="40" t="str">
        <f>IF(C813="","",IF(C813="Match",INDEX('Match Log'!$B:$B,D813),IF(C813="Tournament",INDEX('Tournament Log'!$C:$C,E813),INDEX('Guest Log'!$B:$B,Q813))))</f>
        <v/>
      </c>
      <c r="G813" s="40" t="str">
        <f>IF(C813="","",IF(C813="Match",INDEX('Match Log'!$C:$C,D813),IF(C813="Tournament",INDEX('Tournament Log'!$B:$B,E813)&amp;" (Phantom)",INDEX('Guest Log'!$H:$H,Q813)&amp;" (Guest)")))</f>
        <v/>
      </c>
      <c r="H813" s="40" t="str">
        <f t="array" ref="H813">IF(C813="","",IFERROR(LOOKUP(2,1/(($F$1:F812=F813)+($G$1:G812=F813)),IF($F$1:F812=F813,$N$1:N812,$O$1:O812)),1000))</f>
        <v/>
      </c>
      <c r="I813" s="40" t="str">
        <f t="array" ref="I813">IF(C813="","",IF(C813="Tournament",INDEX('Tournament Log'!$J:$J,E813),IF(C813="Guest",IF(INDEX('Guest Log'!$I:$I,Q813)="",1000,INDEX('Guest Log'!$I:$I,Q813)),IFERROR(LOOKUP(2,1/(($F$1:F812=G813)+($G$1:G812=G813)),IF($F$1:F812=G813,$N$1:N812,$O$1:O812)),1000))))</f>
        <v/>
      </c>
      <c r="J813" s="40" t="str">
        <f t="shared" si="61"/>
        <v/>
      </c>
      <c r="K813" s="12" t="str">
        <f>IF(C813="","",IF(C813="Match",IF(INDEX('Match Log'!$D:$D,D813)="Win",1,IF(INDEX('Match Log'!$D:$D,D813)="Draw",0.5,0)),IF(C813="Tournament",INDEX('Tournament Log'!$K:$K,E813),IF(INDEX('Guest Log'!$C:$C,Q813)="Win",1,IF(INDEX('Guest Log'!$C:$C,Q813)="Draw",0.5,0)))))</f>
        <v/>
      </c>
      <c r="L813" s="12" t="str">
        <f>IF(C813="","",IF(C813="Match",32,IF(C813="Tournament",MIN(32*INDEX('Tournament Log'!$D:$D,E813),96),32)))</f>
        <v/>
      </c>
      <c r="M813" s="12" t="str">
        <f t="shared" si="62"/>
        <v/>
      </c>
      <c r="N813" s="12" t="str">
        <f t="shared" si="63"/>
        <v/>
      </c>
      <c r="O813" s="12" t="str">
        <f t="shared" si="64"/>
        <v/>
      </c>
      <c r="P813" s="12" t="str">
        <f>IF(C813="Tournament",INDEX('Tournament Log'!$B:$B,E813),IF(C813="Guest","Guest: "&amp;INDEX('Guest Log'!$H:$H,Q813),""))</f>
        <v/>
      </c>
      <c r="Q813" t="str">
        <f>IFERROR(MATCH($A813,'Guest Log'!$L$4:$L$203,0)+3,"")</f>
        <v/>
      </c>
    </row>
    <row r="814" spans="1:17" ht="15" customHeight="1" x14ac:dyDescent="0.2">
      <c r="A814" s="40">
        <f>813</f>
        <v>813</v>
      </c>
      <c r="B814" s="40" t="str">
        <f>IF(C814="","",IF(C814="Match",INDEX('Match Log'!$A:$A,D814),IF(C814="Tournament",INDEX('Tournament Log'!$A:$A,E814),INDEX('Guest Log'!$A:$A,Q814))))</f>
        <v/>
      </c>
      <c r="C814" s="40" t="str">
        <f t="shared" si="60"/>
        <v/>
      </c>
      <c r="D814" s="41" t="str">
        <f>IFERROR(MATCH($A814,'Match Log'!$K$3:$K$501,0)+2,"")</f>
        <v/>
      </c>
      <c r="E814" s="41" t="str">
        <f>IFERROR(MATCH($A814,'Tournament Log'!$O$4:$O$203,0)+3,"")</f>
        <v/>
      </c>
      <c r="F814" s="40" t="str">
        <f>IF(C814="","",IF(C814="Match",INDEX('Match Log'!$B:$B,D814),IF(C814="Tournament",INDEX('Tournament Log'!$C:$C,E814),INDEX('Guest Log'!$B:$B,Q814))))</f>
        <v/>
      </c>
      <c r="G814" s="40" t="str">
        <f>IF(C814="","",IF(C814="Match",INDEX('Match Log'!$C:$C,D814),IF(C814="Tournament",INDEX('Tournament Log'!$B:$B,E814)&amp;" (Phantom)",INDEX('Guest Log'!$H:$H,Q814)&amp;" (Guest)")))</f>
        <v/>
      </c>
      <c r="H814" s="40" t="str">
        <f t="array" ref="H814">IF(C814="","",IFERROR(LOOKUP(2,1/(($F$1:F813=F814)+($G$1:G813=F814)),IF($F$1:F813=F814,$N$1:N813,$O$1:O813)),1000))</f>
        <v/>
      </c>
      <c r="I814" s="40" t="str">
        <f t="array" ref="I814">IF(C814="","",IF(C814="Tournament",INDEX('Tournament Log'!$J:$J,E814),IF(C814="Guest",IF(INDEX('Guest Log'!$I:$I,Q814)="",1000,INDEX('Guest Log'!$I:$I,Q814)),IFERROR(LOOKUP(2,1/(($F$1:F813=G814)+($G$1:G813=G814)),IF($F$1:F813=G814,$N$1:N813,$O$1:O813)),1000))))</f>
        <v/>
      </c>
      <c r="J814" s="40" t="str">
        <f t="shared" si="61"/>
        <v/>
      </c>
      <c r="K814" s="12" t="str">
        <f>IF(C814="","",IF(C814="Match",IF(INDEX('Match Log'!$D:$D,D814)="Win",1,IF(INDEX('Match Log'!$D:$D,D814)="Draw",0.5,0)),IF(C814="Tournament",INDEX('Tournament Log'!$K:$K,E814),IF(INDEX('Guest Log'!$C:$C,Q814)="Win",1,IF(INDEX('Guest Log'!$C:$C,Q814)="Draw",0.5,0)))))</f>
        <v/>
      </c>
      <c r="L814" s="12" t="str">
        <f>IF(C814="","",IF(C814="Match",32,IF(C814="Tournament",MIN(32*INDEX('Tournament Log'!$D:$D,E814),96),32)))</f>
        <v/>
      </c>
      <c r="M814" s="12" t="str">
        <f t="shared" si="62"/>
        <v/>
      </c>
      <c r="N814" s="12" t="str">
        <f t="shared" si="63"/>
        <v/>
      </c>
      <c r="O814" s="12" t="str">
        <f t="shared" si="64"/>
        <v/>
      </c>
      <c r="P814" s="12" t="str">
        <f>IF(C814="Tournament",INDEX('Tournament Log'!$B:$B,E814),IF(C814="Guest","Guest: "&amp;INDEX('Guest Log'!$H:$H,Q814),""))</f>
        <v/>
      </c>
      <c r="Q814" t="str">
        <f>IFERROR(MATCH($A814,'Guest Log'!$L$4:$L$203,0)+3,"")</f>
        <v/>
      </c>
    </row>
    <row r="815" spans="1:17" ht="15" customHeight="1" x14ac:dyDescent="0.2">
      <c r="A815" s="40">
        <f>814</f>
        <v>814</v>
      </c>
      <c r="B815" s="40" t="str">
        <f>IF(C815="","",IF(C815="Match",INDEX('Match Log'!$A:$A,D815),IF(C815="Tournament",INDEX('Tournament Log'!$A:$A,E815),INDEX('Guest Log'!$A:$A,Q815))))</f>
        <v/>
      </c>
      <c r="C815" s="40" t="str">
        <f t="shared" si="60"/>
        <v/>
      </c>
      <c r="D815" s="41" t="str">
        <f>IFERROR(MATCH($A815,'Match Log'!$K$3:$K$501,0)+2,"")</f>
        <v/>
      </c>
      <c r="E815" s="41" t="str">
        <f>IFERROR(MATCH($A815,'Tournament Log'!$O$4:$O$203,0)+3,"")</f>
        <v/>
      </c>
      <c r="F815" s="40" t="str">
        <f>IF(C815="","",IF(C815="Match",INDEX('Match Log'!$B:$B,D815),IF(C815="Tournament",INDEX('Tournament Log'!$C:$C,E815),INDEX('Guest Log'!$B:$B,Q815))))</f>
        <v/>
      </c>
      <c r="G815" s="40" t="str">
        <f>IF(C815="","",IF(C815="Match",INDEX('Match Log'!$C:$C,D815),IF(C815="Tournament",INDEX('Tournament Log'!$B:$B,E815)&amp;" (Phantom)",INDEX('Guest Log'!$H:$H,Q815)&amp;" (Guest)")))</f>
        <v/>
      </c>
      <c r="H815" s="40" t="str">
        <f t="array" ref="H815">IF(C815="","",IFERROR(LOOKUP(2,1/(($F$1:F814=F815)+($G$1:G814=F815)),IF($F$1:F814=F815,$N$1:N814,$O$1:O814)),1000))</f>
        <v/>
      </c>
      <c r="I815" s="40" t="str">
        <f t="array" ref="I815">IF(C815="","",IF(C815="Tournament",INDEX('Tournament Log'!$J:$J,E815),IF(C815="Guest",IF(INDEX('Guest Log'!$I:$I,Q815)="",1000,INDEX('Guest Log'!$I:$I,Q815)),IFERROR(LOOKUP(2,1/(($F$1:F814=G815)+($G$1:G814=G815)),IF($F$1:F814=G815,$N$1:N814,$O$1:O814)),1000))))</f>
        <v/>
      </c>
      <c r="J815" s="40" t="str">
        <f t="shared" si="61"/>
        <v/>
      </c>
      <c r="K815" s="12" t="str">
        <f>IF(C815="","",IF(C815="Match",IF(INDEX('Match Log'!$D:$D,D815)="Win",1,IF(INDEX('Match Log'!$D:$D,D815)="Draw",0.5,0)),IF(C815="Tournament",INDEX('Tournament Log'!$K:$K,E815),IF(INDEX('Guest Log'!$C:$C,Q815)="Win",1,IF(INDEX('Guest Log'!$C:$C,Q815)="Draw",0.5,0)))))</f>
        <v/>
      </c>
      <c r="L815" s="12" t="str">
        <f>IF(C815="","",IF(C815="Match",32,IF(C815="Tournament",MIN(32*INDEX('Tournament Log'!$D:$D,E815),96),32)))</f>
        <v/>
      </c>
      <c r="M815" s="12" t="str">
        <f t="shared" si="62"/>
        <v/>
      </c>
      <c r="N815" s="12" t="str">
        <f t="shared" si="63"/>
        <v/>
      </c>
      <c r="O815" s="12" t="str">
        <f t="shared" si="64"/>
        <v/>
      </c>
      <c r="P815" s="12" t="str">
        <f>IF(C815="Tournament",INDEX('Tournament Log'!$B:$B,E815),IF(C815="Guest","Guest: "&amp;INDEX('Guest Log'!$H:$H,Q815),""))</f>
        <v/>
      </c>
      <c r="Q815" t="str">
        <f>IFERROR(MATCH($A815,'Guest Log'!$L$4:$L$203,0)+3,"")</f>
        <v/>
      </c>
    </row>
    <row r="816" spans="1:17" ht="15" customHeight="1" x14ac:dyDescent="0.2">
      <c r="A816" s="40">
        <f>815</f>
        <v>815</v>
      </c>
      <c r="B816" s="40" t="str">
        <f>IF(C816="","",IF(C816="Match",INDEX('Match Log'!$A:$A,D816),IF(C816="Tournament",INDEX('Tournament Log'!$A:$A,E816),INDEX('Guest Log'!$A:$A,Q816))))</f>
        <v/>
      </c>
      <c r="C816" s="40" t="str">
        <f t="shared" si="60"/>
        <v/>
      </c>
      <c r="D816" s="41" t="str">
        <f>IFERROR(MATCH($A816,'Match Log'!$K$3:$K$501,0)+2,"")</f>
        <v/>
      </c>
      <c r="E816" s="41" t="str">
        <f>IFERROR(MATCH($A816,'Tournament Log'!$O$4:$O$203,0)+3,"")</f>
        <v/>
      </c>
      <c r="F816" s="40" t="str">
        <f>IF(C816="","",IF(C816="Match",INDEX('Match Log'!$B:$B,D816),IF(C816="Tournament",INDEX('Tournament Log'!$C:$C,E816),INDEX('Guest Log'!$B:$B,Q816))))</f>
        <v/>
      </c>
      <c r="G816" s="40" t="str">
        <f>IF(C816="","",IF(C816="Match",INDEX('Match Log'!$C:$C,D816),IF(C816="Tournament",INDEX('Tournament Log'!$B:$B,E816)&amp;" (Phantom)",INDEX('Guest Log'!$H:$H,Q816)&amp;" (Guest)")))</f>
        <v/>
      </c>
      <c r="H816" s="40" t="str">
        <f t="array" ref="H816">IF(C816="","",IFERROR(LOOKUP(2,1/(($F$1:F815=F816)+($G$1:G815=F816)),IF($F$1:F815=F816,$N$1:N815,$O$1:O815)),1000))</f>
        <v/>
      </c>
      <c r="I816" s="40" t="str">
        <f t="array" ref="I816">IF(C816="","",IF(C816="Tournament",INDEX('Tournament Log'!$J:$J,E816),IF(C816="Guest",IF(INDEX('Guest Log'!$I:$I,Q816)="",1000,INDEX('Guest Log'!$I:$I,Q816)),IFERROR(LOOKUP(2,1/(($F$1:F815=G816)+($G$1:G815=G816)),IF($F$1:F815=G816,$N$1:N815,$O$1:O815)),1000))))</f>
        <v/>
      </c>
      <c r="J816" s="40" t="str">
        <f t="shared" si="61"/>
        <v/>
      </c>
      <c r="K816" s="12" t="str">
        <f>IF(C816="","",IF(C816="Match",IF(INDEX('Match Log'!$D:$D,D816)="Win",1,IF(INDEX('Match Log'!$D:$D,D816)="Draw",0.5,0)),IF(C816="Tournament",INDEX('Tournament Log'!$K:$K,E816),IF(INDEX('Guest Log'!$C:$C,Q816)="Win",1,IF(INDEX('Guest Log'!$C:$C,Q816)="Draw",0.5,0)))))</f>
        <v/>
      </c>
      <c r="L816" s="12" t="str">
        <f>IF(C816="","",IF(C816="Match",32,IF(C816="Tournament",MIN(32*INDEX('Tournament Log'!$D:$D,E816),96),32)))</f>
        <v/>
      </c>
      <c r="M816" s="12" t="str">
        <f t="shared" si="62"/>
        <v/>
      </c>
      <c r="N816" s="12" t="str">
        <f t="shared" si="63"/>
        <v/>
      </c>
      <c r="O816" s="12" t="str">
        <f t="shared" si="64"/>
        <v/>
      </c>
      <c r="P816" s="12" t="str">
        <f>IF(C816="Tournament",INDEX('Tournament Log'!$B:$B,E816),IF(C816="Guest","Guest: "&amp;INDEX('Guest Log'!$H:$H,Q816),""))</f>
        <v/>
      </c>
      <c r="Q816" t="str">
        <f>IFERROR(MATCH($A816,'Guest Log'!$L$4:$L$203,0)+3,"")</f>
        <v/>
      </c>
    </row>
    <row r="817" spans="1:17" ht="15" customHeight="1" x14ac:dyDescent="0.2">
      <c r="A817" s="40">
        <f>816</f>
        <v>816</v>
      </c>
      <c r="B817" s="40" t="str">
        <f>IF(C817="","",IF(C817="Match",INDEX('Match Log'!$A:$A,D817),IF(C817="Tournament",INDEX('Tournament Log'!$A:$A,E817),INDEX('Guest Log'!$A:$A,Q817))))</f>
        <v/>
      </c>
      <c r="C817" s="40" t="str">
        <f t="shared" si="60"/>
        <v/>
      </c>
      <c r="D817" s="41" t="str">
        <f>IFERROR(MATCH($A817,'Match Log'!$K$3:$K$501,0)+2,"")</f>
        <v/>
      </c>
      <c r="E817" s="41" t="str">
        <f>IFERROR(MATCH($A817,'Tournament Log'!$O$4:$O$203,0)+3,"")</f>
        <v/>
      </c>
      <c r="F817" s="40" t="str">
        <f>IF(C817="","",IF(C817="Match",INDEX('Match Log'!$B:$B,D817),IF(C817="Tournament",INDEX('Tournament Log'!$C:$C,E817),INDEX('Guest Log'!$B:$B,Q817))))</f>
        <v/>
      </c>
      <c r="G817" s="40" t="str">
        <f>IF(C817="","",IF(C817="Match",INDEX('Match Log'!$C:$C,D817),IF(C817="Tournament",INDEX('Tournament Log'!$B:$B,E817)&amp;" (Phantom)",INDEX('Guest Log'!$H:$H,Q817)&amp;" (Guest)")))</f>
        <v/>
      </c>
      <c r="H817" s="40" t="str">
        <f t="array" ref="H817">IF(C817="","",IFERROR(LOOKUP(2,1/(($F$1:F816=F817)+($G$1:G816=F817)),IF($F$1:F816=F817,$N$1:N816,$O$1:O816)),1000))</f>
        <v/>
      </c>
      <c r="I817" s="40" t="str">
        <f t="array" ref="I817">IF(C817="","",IF(C817="Tournament",INDEX('Tournament Log'!$J:$J,E817),IF(C817="Guest",IF(INDEX('Guest Log'!$I:$I,Q817)="",1000,INDEX('Guest Log'!$I:$I,Q817)),IFERROR(LOOKUP(2,1/(($F$1:F816=G817)+($G$1:G816=G817)),IF($F$1:F816=G817,$N$1:N816,$O$1:O816)),1000))))</f>
        <v/>
      </c>
      <c r="J817" s="40" t="str">
        <f t="shared" si="61"/>
        <v/>
      </c>
      <c r="K817" s="12" t="str">
        <f>IF(C817="","",IF(C817="Match",IF(INDEX('Match Log'!$D:$D,D817)="Win",1,IF(INDEX('Match Log'!$D:$D,D817)="Draw",0.5,0)),IF(C817="Tournament",INDEX('Tournament Log'!$K:$K,E817),IF(INDEX('Guest Log'!$C:$C,Q817)="Win",1,IF(INDEX('Guest Log'!$C:$C,Q817)="Draw",0.5,0)))))</f>
        <v/>
      </c>
      <c r="L817" s="12" t="str">
        <f>IF(C817="","",IF(C817="Match",32,IF(C817="Tournament",MIN(32*INDEX('Tournament Log'!$D:$D,E817),96),32)))</f>
        <v/>
      </c>
      <c r="M817" s="12" t="str">
        <f t="shared" si="62"/>
        <v/>
      </c>
      <c r="N817" s="12" t="str">
        <f t="shared" si="63"/>
        <v/>
      </c>
      <c r="O817" s="12" t="str">
        <f t="shared" si="64"/>
        <v/>
      </c>
      <c r="P817" s="12" t="str">
        <f>IF(C817="Tournament",INDEX('Tournament Log'!$B:$B,E817),IF(C817="Guest","Guest: "&amp;INDEX('Guest Log'!$H:$H,Q817),""))</f>
        <v/>
      </c>
      <c r="Q817" t="str">
        <f>IFERROR(MATCH($A817,'Guest Log'!$L$4:$L$203,0)+3,"")</f>
        <v/>
      </c>
    </row>
    <row r="818" spans="1:17" ht="15" customHeight="1" x14ac:dyDescent="0.2">
      <c r="A818" s="40">
        <f>817</f>
        <v>817</v>
      </c>
      <c r="B818" s="40" t="str">
        <f>IF(C818="","",IF(C818="Match",INDEX('Match Log'!$A:$A,D818),IF(C818="Tournament",INDEX('Tournament Log'!$A:$A,E818),INDEX('Guest Log'!$A:$A,Q818))))</f>
        <v/>
      </c>
      <c r="C818" s="40" t="str">
        <f t="shared" si="60"/>
        <v/>
      </c>
      <c r="D818" s="41" t="str">
        <f>IFERROR(MATCH($A818,'Match Log'!$K$3:$K$501,0)+2,"")</f>
        <v/>
      </c>
      <c r="E818" s="41" t="str">
        <f>IFERROR(MATCH($A818,'Tournament Log'!$O$4:$O$203,0)+3,"")</f>
        <v/>
      </c>
      <c r="F818" s="40" t="str">
        <f>IF(C818="","",IF(C818="Match",INDEX('Match Log'!$B:$B,D818),IF(C818="Tournament",INDEX('Tournament Log'!$C:$C,E818),INDEX('Guest Log'!$B:$B,Q818))))</f>
        <v/>
      </c>
      <c r="G818" s="40" t="str">
        <f>IF(C818="","",IF(C818="Match",INDEX('Match Log'!$C:$C,D818),IF(C818="Tournament",INDEX('Tournament Log'!$B:$B,E818)&amp;" (Phantom)",INDEX('Guest Log'!$H:$H,Q818)&amp;" (Guest)")))</f>
        <v/>
      </c>
      <c r="H818" s="40" t="str">
        <f t="array" ref="H818">IF(C818="","",IFERROR(LOOKUP(2,1/(($F$1:F817=F818)+($G$1:G817=F818)),IF($F$1:F817=F818,$N$1:N817,$O$1:O817)),1000))</f>
        <v/>
      </c>
      <c r="I818" s="40" t="str">
        <f t="array" ref="I818">IF(C818="","",IF(C818="Tournament",INDEX('Tournament Log'!$J:$J,E818),IF(C818="Guest",IF(INDEX('Guest Log'!$I:$I,Q818)="",1000,INDEX('Guest Log'!$I:$I,Q818)),IFERROR(LOOKUP(2,1/(($F$1:F817=G818)+($G$1:G817=G818)),IF($F$1:F817=G818,$N$1:N817,$O$1:O817)),1000))))</f>
        <v/>
      </c>
      <c r="J818" s="40" t="str">
        <f t="shared" si="61"/>
        <v/>
      </c>
      <c r="K818" s="12" t="str">
        <f>IF(C818="","",IF(C818="Match",IF(INDEX('Match Log'!$D:$D,D818)="Win",1,IF(INDEX('Match Log'!$D:$D,D818)="Draw",0.5,0)),IF(C818="Tournament",INDEX('Tournament Log'!$K:$K,E818),IF(INDEX('Guest Log'!$C:$C,Q818)="Win",1,IF(INDEX('Guest Log'!$C:$C,Q818)="Draw",0.5,0)))))</f>
        <v/>
      </c>
      <c r="L818" s="12" t="str">
        <f>IF(C818="","",IF(C818="Match",32,IF(C818="Tournament",MIN(32*INDEX('Tournament Log'!$D:$D,E818),96),32)))</f>
        <v/>
      </c>
      <c r="M818" s="12" t="str">
        <f t="shared" si="62"/>
        <v/>
      </c>
      <c r="N818" s="12" t="str">
        <f t="shared" si="63"/>
        <v/>
      </c>
      <c r="O818" s="12" t="str">
        <f t="shared" si="64"/>
        <v/>
      </c>
      <c r="P818" s="12" t="str">
        <f>IF(C818="Tournament",INDEX('Tournament Log'!$B:$B,E818),IF(C818="Guest","Guest: "&amp;INDEX('Guest Log'!$H:$H,Q818),""))</f>
        <v/>
      </c>
      <c r="Q818" t="str">
        <f>IFERROR(MATCH($A818,'Guest Log'!$L$4:$L$203,0)+3,"")</f>
        <v/>
      </c>
    </row>
    <row r="819" spans="1:17" ht="15" customHeight="1" x14ac:dyDescent="0.2">
      <c r="A819" s="40">
        <f>818</f>
        <v>818</v>
      </c>
      <c r="B819" s="40" t="str">
        <f>IF(C819="","",IF(C819="Match",INDEX('Match Log'!$A:$A,D819),IF(C819="Tournament",INDEX('Tournament Log'!$A:$A,E819),INDEX('Guest Log'!$A:$A,Q819))))</f>
        <v/>
      </c>
      <c r="C819" s="40" t="str">
        <f t="shared" si="60"/>
        <v/>
      </c>
      <c r="D819" s="41" t="str">
        <f>IFERROR(MATCH($A819,'Match Log'!$K$3:$K$501,0)+2,"")</f>
        <v/>
      </c>
      <c r="E819" s="41" t="str">
        <f>IFERROR(MATCH($A819,'Tournament Log'!$O$4:$O$203,0)+3,"")</f>
        <v/>
      </c>
      <c r="F819" s="40" t="str">
        <f>IF(C819="","",IF(C819="Match",INDEX('Match Log'!$B:$B,D819),IF(C819="Tournament",INDEX('Tournament Log'!$C:$C,E819),INDEX('Guest Log'!$B:$B,Q819))))</f>
        <v/>
      </c>
      <c r="G819" s="40" t="str">
        <f>IF(C819="","",IF(C819="Match",INDEX('Match Log'!$C:$C,D819),IF(C819="Tournament",INDEX('Tournament Log'!$B:$B,E819)&amp;" (Phantom)",INDEX('Guest Log'!$H:$H,Q819)&amp;" (Guest)")))</f>
        <v/>
      </c>
      <c r="H819" s="40" t="str">
        <f t="array" ref="H819">IF(C819="","",IFERROR(LOOKUP(2,1/(($F$1:F818=F819)+($G$1:G818=F819)),IF($F$1:F818=F819,$N$1:N818,$O$1:O818)),1000))</f>
        <v/>
      </c>
      <c r="I819" s="40" t="str">
        <f t="array" ref="I819">IF(C819="","",IF(C819="Tournament",INDEX('Tournament Log'!$J:$J,E819),IF(C819="Guest",IF(INDEX('Guest Log'!$I:$I,Q819)="",1000,INDEX('Guest Log'!$I:$I,Q819)),IFERROR(LOOKUP(2,1/(($F$1:F818=G819)+($G$1:G818=G819)),IF($F$1:F818=G819,$N$1:N818,$O$1:O818)),1000))))</f>
        <v/>
      </c>
      <c r="J819" s="40" t="str">
        <f t="shared" si="61"/>
        <v/>
      </c>
      <c r="K819" s="12" t="str">
        <f>IF(C819="","",IF(C819="Match",IF(INDEX('Match Log'!$D:$D,D819)="Win",1,IF(INDEX('Match Log'!$D:$D,D819)="Draw",0.5,0)),IF(C819="Tournament",INDEX('Tournament Log'!$K:$K,E819),IF(INDEX('Guest Log'!$C:$C,Q819)="Win",1,IF(INDEX('Guest Log'!$C:$C,Q819)="Draw",0.5,0)))))</f>
        <v/>
      </c>
      <c r="L819" s="12" t="str">
        <f>IF(C819="","",IF(C819="Match",32,IF(C819="Tournament",MIN(32*INDEX('Tournament Log'!$D:$D,E819),96),32)))</f>
        <v/>
      </c>
      <c r="M819" s="12" t="str">
        <f t="shared" si="62"/>
        <v/>
      </c>
      <c r="N819" s="12" t="str">
        <f t="shared" si="63"/>
        <v/>
      </c>
      <c r="O819" s="12" t="str">
        <f t="shared" si="64"/>
        <v/>
      </c>
      <c r="P819" s="12" t="str">
        <f>IF(C819="Tournament",INDEX('Tournament Log'!$B:$B,E819),IF(C819="Guest","Guest: "&amp;INDEX('Guest Log'!$H:$H,Q819),""))</f>
        <v/>
      </c>
      <c r="Q819" t="str">
        <f>IFERROR(MATCH($A819,'Guest Log'!$L$4:$L$203,0)+3,"")</f>
        <v/>
      </c>
    </row>
    <row r="820" spans="1:17" ht="15" customHeight="1" x14ac:dyDescent="0.2">
      <c r="A820" s="40">
        <f>819</f>
        <v>819</v>
      </c>
      <c r="B820" s="40" t="str">
        <f>IF(C820="","",IF(C820="Match",INDEX('Match Log'!$A:$A,D820),IF(C820="Tournament",INDEX('Tournament Log'!$A:$A,E820),INDEX('Guest Log'!$A:$A,Q820))))</f>
        <v/>
      </c>
      <c r="C820" s="40" t="str">
        <f t="shared" si="60"/>
        <v/>
      </c>
      <c r="D820" s="41" t="str">
        <f>IFERROR(MATCH($A820,'Match Log'!$K$3:$K$501,0)+2,"")</f>
        <v/>
      </c>
      <c r="E820" s="41" t="str">
        <f>IFERROR(MATCH($A820,'Tournament Log'!$O$4:$O$203,0)+3,"")</f>
        <v/>
      </c>
      <c r="F820" s="40" t="str">
        <f>IF(C820="","",IF(C820="Match",INDEX('Match Log'!$B:$B,D820),IF(C820="Tournament",INDEX('Tournament Log'!$C:$C,E820),INDEX('Guest Log'!$B:$B,Q820))))</f>
        <v/>
      </c>
      <c r="G820" s="40" t="str">
        <f>IF(C820="","",IF(C820="Match",INDEX('Match Log'!$C:$C,D820),IF(C820="Tournament",INDEX('Tournament Log'!$B:$B,E820)&amp;" (Phantom)",INDEX('Guest Log'!$H:$H,Q820)&amp;" (Guest)")))</f>
        <v/>
      </c>
      <c r="H820" s="40" t="str">
        <f t="array" ref="H820">IF(C820="","",IFERROR(LOOKUP(2,1/(($F$1:F819=F820)+($G$1:G819=F820)),IF($F$1:F819=F820,$N$1:N819,$O$1:O819)),1000))</f>
        <v/>
      </c>
      <c r="I820" s="40" t="str">
        <f t="array" ref="I820">IF(C820="","",IF(C820="Tournament",INDEX('Tournament Log'!$J:$J,E820),IF(C820="Guest",IF(INDEX('Guest Log'!$I:$I,Q820)="",1000,INDEX('Guest Log'!$I:$I,Q820)),IFERROR(LOOKUP(2,1/(($F$1:F819=G820)+($G$1:G819=G820)),IF($F$1:F819=G820,$N$1:N819,$O$1:O819)),1000))))</f>
        <v/>
      </c>
      <c r="J820" s="40" t="str">
        <f t="shared" si="61"/>
        <v/>
      </c>
      <c r="K820" s="12" t="str">
        <f>IF(C820="","",IF(C820="Match",IF(INDEX('Match Log'!$D:$D,D820)="Win",1,IF(INDEX('Match Log'!$D:$D,D820)="Draw",0.5,0)),IF(C820="Tournament",INDEX('Tournament Log'!$K:$K,E820),IF(INDEX('Guest Log'!$C:$C,Q820)="Win",1,IF(INDEX('Guest Log'!$C:$C,Q820)="Draw",0.5,0)))))</f>
        <v/>
      </c>
      <c r="L820" s="12" t="str">
        <f>IF(C820="","",IF(C820="Match",32,IF(C820="Tournament",MIN(32*INDEX('Tournament Log'!$D:$D,E820),96),32)))</f>
        <v/>
      </c>
      <c r="M820" s="12" t="str">
        <f t="shared" si="62"/>
        <v/>
      </c>
      <c r="N820" s="12" t="str">
        <f t="shared" si="63"/>
        <v/>
      </c>
      <c r="O820" s="12" t="str">
        <f t="shared" si="64"/>
        <v/>
      </c>
      <c r="P820" s="12" t="str">
        <f>IF(C820="Tournament",INDEX('Tournament Log'!$B:$B,E820),IF(C820="Guest","Guest: "&amp;INDEX('Guest Log'!$H:$H,Q820),""))</f>
        <v/>
      </c>
      <c r="Q820" t="str">
        <f>IFERROR(MATCH($A820,'Guest Log'!$L$4:$L$203,0)+3,"")</f>
        <v/>
      </c>
    </row>
    <row r="821" spans="1:17" ht="15" customHeight="1" x14ac:dyDescent="0.2">
      <c r="A821" s="40">
        <f>820</f>
        <v>820</v>
      </c>
      <c r="B821" s="40" t="str">
        <f>IF(C821="","",IF(C821="Match",INDEX('Match Log'!$A:$A,D821),IF(C821="Tournament",INDEX('Tournament Log'!$A:$A,E821),INDEX('Guest Log'!$A:$A,Q821))))</f>
        <v/>
      </c>
      <c r="C821" s="40" t="str">
        <f t="shared" si="60"/>
        <v/>
      </c>
      <c r="D821" s="41" t="str">
        <f>IFERROR(MATCH($A821,'Match Log'!$K$3:$K$501,0)+2,"")</f>
        <v/>
      </c>
      <c r="E821" s="41" t="str">
        <f>IFERROR(MATCH($A821,'Tournament Log'!$O$4:$O$203,0)+3,"")</f>
        <v/>
      </c>
      <c r="F821" s="40" t="str">
        <f>IF(C821="","",IF(C821="Match",INDEX('Match Log'!$B:$B,D821),IF(C821="Tournament",INDEX('Tournament Log'!$C:$C,E821),INDEX('Guest Log'!$B:$B,Q821))))</f>
        <v/>
      </c>
      <c r="G821" s="40" t="str">
        <f>IF(C821="","",IF(C821="Match",INDEX('Match Log'!$C:$C,D821),IF(C821="Tournament",INDEX('Tournament Log'!$B:$B,E821)&amp;" (Phantom)",INDEX('Guest Log'!$H:$H,Q821)&amp;" (Guest)")))</f>
        <v/>
      </c>
      <c r="H821" s="40" t="str">
        <f t="array" ref="H821">IF(C821="","",IFERROR(LOOKUP(2,1/(($F$1:F820=F821)+($G$1:G820=F821)),IF($F$1:F820=F821,$N$1:N820,$O$1:O820)),1000))</f>
        <v/>
      </c>
      <c r="I821" s="40" t="str">
        <f t="array" ref="I821">IF(C821="","",IF(C821="Tournament",INDEX('Tournament Log'!$J:$J,E821),IF(C821="Guest",IF(INDEX('Guest Log'!$I:$I,Q821)="",1000,INDEX('Guest Log'!$I:$I,Q821)),IFERROR(LOOKUP(2,1/(($F$1:F820=G821)+($G$1:G820=G821)),IF($F$1:F820=G821,$N$1:N820,$O$1:O820)),1000))))</f>
        <v/>
      </c>
      <c r="J821" s="40" t="str">
        <f t="shared" si="61"/>
        <v/>
      </c>
      <c r="K821" s="12" t="str">
        <f>IF(C821="","",IF(C821="Match",IF(INDEX('Match Log'!$D:$D,D821)="Win",1,IF(INDEX('Match Log'!$D:$D,D821)="Draw",0.5,0)),IF(C821="Tournament",INDEX('Tournament Log'!$K:$K,E821),IF(INDEX('Guest Log'!$C:$C,Q821)="Win",1,IF(INDEX('Guest Log'!$C:$C,Q821)="Draw",0.5,0)))))</f>
        <v/>
      </c>
      <c r="L821" s="12" t="str">
        <f>IF(C821="","",IF(C821="Match",32,IF(C821="Tournament",MIN(32*INDEX('Tournament Log'!$D:$D,E821),96),32)))</f>
        <v/>
      </c>
      <c r="M821" s="12" t="str">
        <f t="shared" si="62"/>
        <v/>
      </c>
      <c r="N821" s="12" t="str">
        <f t="shared" si="63"/>
        <v/>
      </c>
      <c r="O821" s="12" t="str">
        <f t="shared" si="64"/>
        <v/>
      </c>
      <c r="P821" s="12" t="str">
        <f>IF(C821="Tournament",INDEX('Tournament Log'!$B:$B,E821),IF(C821="Guest","Guest: "&amp;INDEX('Guest Log'!$H:$H,Q821),""))</f>
        <v/>
      </c>
      <c r="Q821" t="str">
        <f>IFERROR(MATCH($A821,'Guest Log'!$L$4:$L$203,0)+3,"")</f>
        <v/>
      </c>
    </row>
    <row r="822" spans="1:17" ht="15" customHeight="1" x14ac:dyDescent="0.2">
      <c r="A822" s="40">
        <f>821</f>
        <v>821</v>
      </c>
      <c r="B822" s="40" t="str">
        <f>IF(C822="","",IF(C822="Match",INDEX('Match Log'!$A:$A,D822),IF(C822="Tournament",INDEX('Tournament Log'!$A:$A,E822),INDEX('Guest Log'!$A:$A,Q822))))</f>
        <v/>
      </c>
      <c r="C822" s="40" t="str">
        <f t="shared" si="60"/>
        <v/>
      </c>
      <c r="D822" s="41" t="str">
        <f>IFERROR(MATCH($A822,'Match Log'!$K$3:$K$501,0)+2,"")</f>
        <v/>
      </c>
      <c r="E822" s="41" t="str">
        <f>IFERROR(MATCH($A822,'Tournament Log'!$O$4:$O$203,0)+3,"")</f>
        <v/>
      </c>
      <c r="F822" s="40" t="str">
        <f>IF(C822="","",IF(C822="Match",INDEX('Match Log'!$B:$B,D822),IF(C822="Tournament",INDEX('Tournament Log'!$C:$C,E822),INDEX('Guest Log'!$B:$B,Q822))))</f>
        <v/>
      </c>
      <c r="G822" s="40" t="str">
        <f>IF(C822="","",IF(C822="Match",INDEX('Match Log'!$C:$C,D822),IF(C822="Tournament",INDEX('Tournament Log'!$B:$B,E822)&amp;" (Phantom)",INDEX('Guest Log'!$H:$H,Q822)&amp;" (Guest)")))</f>
        <v/>
      </c>
      <c r="H822" s="40" t="str">
        <f t="array" ref="H822">IF(C822="","",IFERROR(LOOKUP(2,1/(($F$1:F821=F822)+($G$1:G821=F822)),IF($F$1:F821=F822,$N$1:N821,$O$1:O821)),1000))</f>
        <v/>
      </c>
      <c r="I822" s="40" t="str">
        <f t="array" ref="I822">IF(C822="","",IF(C822="Tournament",INDEX('Tournament Log'!$J:$J,E822),IF(C822="Guest",IF(INDEX('Guest Log'!$I:$I,Q822)="",1000,INDEX('Guest Log'!$I:$I,Q822)),IFERROR(LOOKUP(2,1/(($F$1:F821=G822)+($G$1:G821=G822)),IF($F$1:F821=G822,$N$1:N821,$O$1:O821)),1000))))</f>
        <v/>
      </c>
      <c r="J822" s="40" t="str">
        <f t="shared" si="61"/>
        <v/>
      </c>
      <c r="K822" s="12" t="str">
        <f>IF(C822="","",IF(C822="Match",IF(INDEX('Match Log'!$D:$D,D822)="Win",1,IF(INDEX('Match Log'!$D:$D,D822)="Draw",0.5,0)),IF(C822="Tournament",INDEX('Tournament Log'!$K:$K,E822),IF(INDEX('Guest Log'!$C:$C,Q822)="Win",1,IF(INDEX('Guest Log'!$C:$C,Q822)="Draw",0.5,0)))))</f>
        <v/>
      </c>
      <c r="L822" s="12" t="str">
        <f>IF(C822="","",IF(C822="Match",32,IF(C822="Tournament",MIN(32*INDEX('Tournament Log'!$D:$D,E822),96),32)))</f>
        <v/>
      </c>
      <c r="M822" s="12" t="str">
        <f t="shared" si="62"/>
        <v/>
      </c>
      <c r="N822" s="12" t="str">
        <f t="shared" si="63"/>
        <v/>
      </c>
      <c r="O822" s="12" t="str">
        <f t="shared" si="64"/>
        <v/>
      </c>
      <c r="P822" s="12" t="str">
        <f>IF(C822="Tournament",INDEX('Tournament Log'!$B:$B,E822),IF(C822="Guest","Guest: "&amp;INDEX('Guest Log'!$H:$H,Q822),""))</f>
        <v/>
      </c>
      <c r="Q822" t="str">
        <f>IFERROR(MATCH($A822,'Guest Log'!$L$4:$L$203,0)+3,"")</f>
        <v/>
      </c>
    </row>
    <row r="823" spans="1:17" ht="15" customHeight="1" x14ac:dyDescent="0.2">
      <c r="A823" s="40">
        <f>822</f>
        <v>822</v>
      </c>
      <c r="B823" s="40" t="str">
        <f>IF(C823="","",IF(C823="Match",INDEX('Match Log'!$A:$A,D823),IF(C823="Tournament",INDEX('Tournament Log'!$A:$A,E823),INDEX('Guest Log'!$A:$A,Q823))))</f>
        <v/>
      </c>
      <c r="C823" s="40" t="str">
        <f t="shared" si="60"/>
        <v/>
      </c>
      <c r="D823" s="41" t="str">
        <f>IFERROR(MATCH($A823,'Match Log'!$K$3:$K$501,0)+2,"")</f>
        <v/>
      </c>
      <c r="E823" s="41" t="str">
        <f>IFERROR(MATCH($A823,'Tournament Log'!$O$4:$O$203,0)+3,"")</f>
        <v/>
      </c>
      <c r="F823" s="40" t="str">
        <f>IF(C823="","",IF(C823="Match",INDEX('Match Log'!$B:$B,D823),IF(C823="Tournament",INDEX('Tournament Log'!$C:$C,E823),INDEX('Guest Log'!$B:$B,Q823))))</f>
        <v/>
      </c>
      <c r="G823" s="40" t="str">
        <f>IF(C823="","",IF(C823="Match",INDEX('Match Log'!$C:$C,D823),IF(C823="Tournament",INDEX('Tournament Log'!$B:$B,E823)&amp;" (Phantom)",INDEX('Guest Log'!$H:$H,Q823)&amp;" (Guest)")))</f>
        <v/>
      </c>
      <c r="H823" s="40" t="str">
        <f t="array" ref="H823">IF(C823="","",IFERROR(LOOKUP(2,1/(($F$1:F822=F823)+($G$1:G822=F823)),IF($F$1:F822=F823,$N$1:N822,$O$1:O822)),1000))</f>
        <v/>
      </c>
      <c r="I823" s="40" t="str">
        <f t="array" ref="I823">IF(C823="","",IF(C823="Tournament",INDEX('Tournament Log'!$J:$J,E823),IF(C823="Guest",IF(INDEX('Guest Log'!$I:$I,Q823)="",1000,INDEX('Guest Log'!$I:$I,Q823)),IFERROR(LOOKUP(2,1/(($F$1:F822=G823)+($G$1:G822=G823)),IF($F$1:F822=G823,$N$1:N822,$O$1:O822)),1000))))</f>
        <v/>
      </c>
      <c r="J823" s="40" t="str">
        <f t="shared" si="61"/>
        <v/>
      </c>
      <c r="K823" s="12" t="str">
        <f>IF(C823="","",IF(C823="Match",IF(INDEX('Match Log'!$D:$D,D823)="Win",1,IF(INDEX('Match Log'!$D:$D,D823)="Draw",0.5,0)),IF(C823="Tournament",INDEX('Tournament Log'!$K:$K,E823),IF(INDEX('Guest Log'!$C:$C,Q823)="Win",1,IF(INDEX('Guest Log'!$C:$C,Q823)="Draw",0.5,0)))))</f>
        <v/>
      </c>
      <c r="L823" s="12" t="str">
        <f>IF(C823="","",IF(C823="Match",32,IF(C823="Tournament",MIN(32*INDEX('Tournament Log'!$D:$D,E823),96),32)))</f>
        <v/>
      </c>
      <c r="M823" s="12" t="str">
        <f t="shared" si="62"/>
        <v/>
      </c>
      <c r="N823" s="12" t="str">
        <f t="shared" si="63"/>
        <v/>
      </c>
      <c r="O823" s="12" t="str">
        <f t="shared" si="64"/>
        <v/>
      </c>
      <c r="P823" s="12" t="str">
        <f>IF(C823="Tournament",INDEX('Tournament Log'!$B:$B,E823),IF(C823="Guest","Guest: "&amp;INDEX('Guest Log'!$H:$H,Q823),""))</f>
        <v/>
      </c>
      <c r="Q823" t="str">
        <f>IFERROR(MATCH($A823,'Guest Log'!$L$4:$L$203,0)+3,"")</f>
        <v/>
      </c>
    </row>
    <row r="824" spans="1:17" ht="15" customHeight="1" x14ac:dyDescent="0.2">
      <c r="A824" s="40">
        <f>823</f>
        <v>823</v>
      </c>
      <c r="B824" s="40" t="str">
        <f>IF(C824="","",IF(C824="Match",INDEX('Match Log'!$A:$A,D824),IF(C824="Tournament",INDEX('Tournament Log'!$A:$A,E824),INDEX('Guest Log'!$A:$A,Q824))))</f>
        <v/>
      </c>
      <c r="C824" s="40" t="str">
        <f t="shared" si="60"/>
        <v/>
      </c>
      <c r="D824" s="41" t="str">
        <f>IFERROR(MATCH($A824,'Match Log'!$K$3:$K$501,0)+2,"")</f>
        <v/>
      </c>
      <c r="E824" s="41" t="str">
        <f>IFERROR(MATCH($A824,'Tournament Log'!$O$4:$O$203,0)+3,"")</f>
        <v/>
      </c>
      <c r="F824" s="40" t="str">
        <f>IF(C824="","",IF(C824="Match",INDEX('Match Log'!$B:$B,D824),IF(C824="Tournament",INDEX('Tournament Log'!$C:$C,E824),INDEX('Guest Log'!$B:$B,Q824))))</f>
        <v/>
      </c>
      <c r="G824" s="40" t="str">
        <f>IF(C824="","",IF(C824="Match",INDEX('Match Log'!$C:$C,D824),IF(C824="Tournament",INDEX('Tournament Log'!$B:$B,E824)&amp;" (Phantom)",INDEX('Guest Log'!$H:$H,Q824)&amp;" (Guest)")))</f>
        <v/>
      </c>
      <c r="H824" s="40" t="str">
        <f t="array" ref="H824">IF(C824="","",IFERROR(LOOKUP(2,1/(($F$1:F823=F824)+($G$1:G823=F824)),IF($F$1:F823=F824,$N$1:N823,$O$1:O823)),1000))</f>
        <v/>
      </c>
      <c r="I824" s="40" t="str">
        <f t="array" ref="I824">IF(C824="","",IF(C824="Tournament",INDEX('Tournament Log'!$J:$J,E824),IF(C824="Guest",IF(INDEX('Guest Log'!$I:$I,Q824)="",1000,INDEX('Guest Log'!$I:$I,Q824)),IFERROR(LOOKUP(2,1/(($F$1:F823=G824)+($G$1:G823=G824)),IF($F$1:F823=G824,$N$1:N823,$O$1:O823)),1000))))</f>
        <v/>
      </c>
      <c r="J824" s="40" t="str">
        <f t="shared" si="61"/>
        <v/>
      </c>
      <c r="K824" s="12" t="str">
        <f>IF(C824="","",IF(C824="Match",IF(INDEX('Match Log'!$D:$D,D824)="Win",1,IF(INDEX('Match Log'!$D:$D,D824)="Draw",0.5,0)),IF(C824="Tournament",INDEX('Tournament Log'!$K:$K,E824),IF(INDEX('Guest Log'!$C:$C,Q824)="Win",1,IF(INDEX('Guest Log'!$C:$C,Q824)="Draw",0.5,0)))))</f>
        <v/>
      </c>
      <c r="L824" s="12" t="str">
        <f>IF(C824="","",IF(C824="Match",32,IF(C824="Tournament",MIN(32*INDEX('Tournament Log'!$D:$D,E824),96),32)))</f>
        <v/>
      </c>
      <c r="M824" s="12" t="str">
        <f t="shared" si="62"/>
        <v/>
      </c>
      <c r="N824" s="12" t="str">
        <f t="shared" si="63"/>
        <v/>
      </c>
      <c r="O824" s="12" t="str">
        <f t="shared" si="64"/>
        <v/>
      </c>
      <c r="P824" s="12" t="str">
        <f>IF(C824="Tournament",INDEX('Tournament Log'!$B:$B,E824),IF(C824="Guest","Guest: "&amp;INDEX('Guest Log'!$H:$H,Q824),""))</f>
        <v/>
      </c>
      <c r="Q824" t="str">
        <f>IFERROR(MATCH($A824,'Guest Log'!$L$4:$L$203,0)+3,"")</f>
        <v/>
      </c>
    </row>
    <row r="825" spans="1:17" ht="15" customHeight="1" x14ac:dyDescent="0.2">
      <c r="A825" s="40">
        <f>824</f>
        <v>824</v>
      </c>
      <c r="B825" s="40" t="str">
        <f>IF(C825="","",IF(C825="Match",INDEX('Match Log'!$A:$A,D825),IF(C825="Tournament",INDEX('Tournament Log'!$A:$A,E825),INDEX('Guest Log'!$A:$A,Q825))))</f>
        <v/>
      </c>
      <c r="C825" s="40" t="str">
        <f t="shared" si="60"/>
        <v/>
      </c>
      <c r="D825" s="41" t="str">
        <f>IFERROR(MATCH($A825,'Match Log'!$K$3:$K$501,0)+2,"")</f>
        <v/>
      </c>
      <c r="E825" s="41" t="str">
        <f>IFERROR(MATCH($A825,'Tournament Log'!$O$4:$O$203,0)+3,"")</f>
        <v/>
      </c>
      <c r="F825" s="40" t="str">
        <f>IF(C825="","",IF(C825="Match",INDEX('Match Log'!$B:$B,D825),IF(C825="Tournament",INDEX('Tournament Log'!$C:$C,E825),INDEX('Guest Log'!$B:$B,Q825))))</f>
        <v/>
      </c>
      <c r="G825" s="40" t="str">
        <f>IF(C825="","",IF(C825="Match",INDEX('Match Log'!$C:$C,D825),IF(C825="Tournament",INDEX('Tournament Log'!$B:$B,E825)&amp;" (Phantom)",INDEX('Guest Log'!$H:$H,Q825)&amp;" (Guest)")))</f>
        <v/>
      </c>
      <c r="H825" s="40" t="str">
        <f t="array" ref="H825">IF(C825="","",IFERROR(LOOKUP(2,1/(($F$1:F824=F825)+($G$1:G824=F825)),IF($F$1:F824=F825,$N$1:N824,$O$1:O824)),1000))</f>
        <v/>
      </c>
      <c r="I825" s="40" t="str">
        <f t="array" ref="I825">IF(C825="","",IF(C825="Tournament",INDEX('Tournament Log'!$J:$J,E825),IF(C825="Guest",IF(INDEX('Guest Log'!$I:$I,Q825)="",1000,INDEX('Guest Log'!$I:$I,Q825)),IFERROR(LOOKUP(2,1/(($F$1:F824=G825)+($G$1:G824=G825)),IF($F$1:F824=G825,$N$1:N824,$O$1:O824)),1000))))</f>
        <v/>
      </c>
      <c r="J825" s="40" t="str">
        <f t="shared" si="61"/>
        <v/>
      </c>
      <c r="K825" s="12" t="str">
        <f>IF(C825="","",IF(C825="Match",IF(INDEX('Match Log'!$D:$D,D825)="Win",1,IF(INDEX('Match Log'!$D:$D,D825)="Draw",0.5,0)),IF(C825="Tournament",INDEX('Tournament Log'!$K:$K,E825),IF(INDEX('Guest Log'!$C:$C,Q825)="Win",1,IF(INDEX('Guest Log'!$C:$C,Q825)="Draw",0.5,0)))))</f>
        <v/>
      </c>
      <c r="L825" s="12" t="str">
        <f>IF(C825="","",IF(C825="Match",32,IF(C825="Tournament",MIN(32*INDEX('Tournament Log'!$D:$D,E825),96),32)))</f>
        <v/>
      </c>
      <c r="M825" s="12" t="str">
        <f t="shared" si="62"/>
        <v/>
      </c>
      <c r="N825" s="12" t="str">
        <f t="shared" si="63"/>
        <v/>
      </c>
      <c r="O825" s="12" t="str">
        <f t="shared" si="64"/>
        <v/>
      </c>
      <c r="P825" s="12" t="str">
        <f>IF(C825="Tournament",INDEX('Tournament Log'!$B:$B,E825),IF(C825="Guest","Guest: "&amp;INDEX('Guest Log'!$H:$H,Q825),""))</f>
        <v/>
      </c>
      <c r="Q825" t="str">
        <f>IFERROR(MATCH($A825,'Guest Log'!$L$4:$L$203,0)+3,"")</f>
        <v/>
      </c>
    </row>
    <row r="826" spans="1:17" ht="15" customHeight="1" x14ac:dyDescent="0.2">
      <c r="A826" s="40">
        <f>825</f>
        <v>825</v>
      </c>
      <c r="B826" s="40" t="str">
        <f>IF(C826="","",IF(C826="Match",INDEX('Match Log'!$A:$A,D826),IF(C826="Tournament",INDEX('Tournament Log'!$A:$A,E826),INDEX('Guest Log'!$A:$A,Q826))))</f>
        <v/>
      </c>
      <c r="C826" s="40" t="str">
        <f t="shared" si="60"/>
        <v/>
      </c>
      <c r="D826" s="41" t="str">
        <f>IFERROR(MATCH($A826,'Match Log'!$K$3:$K$501,0)+2,"")</f>
        <v/>
      </c>
      <c r="E826" s="41" t="str">
        <f>IFERROR(MATCH($A826,'Tournament Log'!$O$4:$O$203,0)+3,"")</f>
        <v/>
      </c>
      <c r="F826" s="40" t="str">
        <f>IF(C826="","",IF(C826="Match",INDEX('Match Log'!$B:$B,D826),IF(C826="Tournament",INDEX('Tournament Log'!$C:$C,E826),INDEX('Guest Log'!$B:$B,Q826))))</f>
        <v/>
      </c>
      <c r="G826" s="40" t="str">
        <f>IF(C826="","",IF(C826="Match",INDEX('Match Log'!$C:$C,D826),IF(C826="Tournament",INDEX('Tournament Log'!$B:$B,E826)&amp;" (Phantom)",INDEX('Guest Log'!$H:$H,Q826)&amp;" (Guest)")))</f>
        <v/>
      </c>
      <c r="H826" s="40" t="str">
        <f t="array" ref="H826">IF(C826="","",IFERROR(LOOKUP(2,1/(($F$1:F825=F826)+($G$1:G825=F826)),IF($F$1:F825=F826,$N$1:N825,$O$1:O825)),1000))</f>
        <v/>
      </c>
      <c r="I826" s="40" t="str">
        <f t="array" ref="I826">IF(C826="","",IF(C826="Tournament",INDEX('Tournament Log'!$J:$J,E826),IF(C826="Guest",IF(INDEX('Guest Log'!$I:$I,Q826)="",1000,INDEX('Guest Log'!$I:$I,Q826)),IFERROR(LOOKUP(2,1/(($F$1:F825=G826)+($G$1:G825=G826)),IF($F$1:F825=G826,$N$1:N825,$O$1:O825)),1000))))</f>
        <v/>
      </c>
      <c r="J826" s="40" t="str">
        <f t="shared" si="61"/>
        <v/>
      </c>
      <c r="K826" s="12" t="str">
        <f>IF(C826="","",IF(C826="Match",IF(INDEX('Match Log'!$D:$D,D826)="Win",1,IF(INDEX('Match Log'!$D:$D,D826)="Draw",0.5,0)),IF(C826="Tournament",INDEX('Tournament Log'!$K:$K,E826),IF(INDEX('Guest Log'!$C:$C,Q826)="Win",1,IF(INDEX('Guest Log'!$C:$C,Q826)="Draw",0.5,0)))))</f>
        <v/>
      </c>
      <c r="L826" s="12" t="str">
        <f>IF(C826="","",IF(C826="Match",32,IF(C826="Tournament",MIN(32*INDEX('Tournament Log'!$D:$D,E826),96),32)))</f>
        <v/>
      </c>
      <c r="M826" s="12" t="str">
        <f t="shared" si="62"/>
        <v/>
      </c>
      <c r="N826" s="12" t="str">
        <f t="shared" si="63"/>
        <v/>
      </c>
      <c r="O826" s="12" t="str">
        <f t="shared" si="64"/>
        <v/>
      </c>
      <c r="P826" s="12" t="str">
        <f>IF(C826="Tournament",INDEX('Tournament Log'!$B:$B,E826),IF(C826="Guest","Guest: "&amp;INDEX('Guest Log'!$H:$H,Q826),""))</f>
        <v/>
      </c>
      <c r="Q826" t="str">
        <f>IFERROR(MATCH($A826,'Guest Log'!$L$4:$L$203,0)+3,"")</f>
        <v/>
      </c>
    </row>
    <row r="827" spans="1:17" ht="15" customHeight="1" x14ac:dyDescent="0.2">
      <c r="A827" s="40">
        <f>826</f>
        <v>826</v>
      </c>
      <c r="B827" s="40" t="str">
        <f>IF(C827="","",IF(C827="Match",INDEX('Match Log'!$A:$A,D827),IF(C827="Tournament",INDEX('Tournament Log'!$A:$A,E827),INDEX('Guest Log'!$A:$A,Q827))))</f>
        <v/>
      </c>
      <c r="C827" s="40" t="str">
        <f t="shared" si="60"/>
        <v/>
      </c>
      <c r="D827" s="41" t="str">
        <f>IFERROR(MATCH($A827,'Match Log'!$K$3:$K$501,0)+2,"")</f>
        <v/>
      </c>
      <c r="E827" s="41" t="str">
        <f>IFERROR(MATCH($A827,'Tournament Log'!$O$4:$O$203,0)+3,"")</f>
        <v/>
      </c>
      <c r="F827" s="40" t="str">
        <f>IF(C827="","",IF(C827="Match",INDEX('Match Log'!$B:$B,D827),IF(C827="Tournament",INDEX('Tournament Log'!$C:$C,E827),INDEX('Guest Log'!$B:$B,Q827))))</f>
        <v/>
      </c>
      <c r="G827" s="40" t="str">
        <f>IF(C827="","",IF(C827="Match",INDEX('Match Log'!$C:$C,D827),IF(C827="Tournament",INDEX('Tournament Log'!$B:$B,E827)&amp;" (Phantom)",INDEX('Guest Log'!$H:$H,Q827)&amp;" (Guest)")))</f>
        <v/>
      </c>
      <c r="H827" s="40" t="str">
        <f t="array" ref="H827">IF(C827="","",IFERROR(LOOKUP(2,1/(($F$1:F826=F827)+($G$1:G826=F827)),IF($F$1:F826=F827,$N$1:N826,$O$1:O826)),1000))</f>
        <v/>
      </c>
      <c r="I827" s="40" t="str">
        <f t="array" ref="I827">IF(C827="","",IF(C827="Tournament",INDEX('Tournament Log'!$J:$J,E827),IF(C827="Guest",IF(INDEX('Guest Log'!$I:$I,Q827)="",1000,INDEX('Guest Log'!$I:$I,Q827)),IFERROR(LOOKUP(2,1/(($F$1:F826=G827)+($G$1:G826=G827)),IF($F$1:F826=G827,$N$1:N826,$O$1:O826)),1000))))</f>
        <v/>
      </c>
      <c r="J827" s="40" t="str">
        <f t="shared" si="61"/>
        <v/>
      </c>
      <c r="K827" s="12" t="str">
        <f>IF(C827="","",IF(C827="Match",IF(INDEX('Match Log'!$D:$D,D827)="Win",1,IF(INDEX('Match Log'!$D:$D,D827)="Draw",0.5,0)),IF(C827="Tournament",INDEX('Tournament Log'!$K:$K,E827),IF(INDEX('Guest Log'!$C:$C,Q827)="Win",1,IF(INDEX('Guest Log'!$C:$C,Q827)="Draw",0.5,0)))))</f>
        <v/>
      </c>
      <c r="L827" s="12" t="str">
        <f>IF(C827="","",IF(C827="Match",32,IF(C827="Tournament",MIN(32*INDEX('Tournament Log'!$D:$D,E827),96),32)))</f>
        <v/>
      </c>
      <c r="M827" s="12" t="str">
        <f t="shared" si="62"/>
        <v/>
      </c>
      <c r="N827" s="12" t="str">
        <f t="shared" si="63"/>
        <v/>
      </c>
      <c r="O827" s="12" t="str">
        <f t="shared" si="64"/>
        <v/>
      </c>
      <c r="P827" s="12" t="str">
        <f>IF(C827="Tournament",INDEX('Tournament Log'!$B:$B,E827),IF(C827="Guest","Guest: "&amp;INDEX('Guest Log'!$H:$H,Q827),""))</f>
        <v/>
      </c>
      <c r="Q827" t="str">
        <f>IFERROR(MATCH($A827,'Guest Log'!$L$4:$L$203,0)+3,"")</f>
        <v/>
      </c>
    </row>
    <row r="828" spans="1:17" ht="15" customHeight="1" x14ac:dyDescent="0.2">
      <c r="A828" s="40">
        <f>827</f>
        <v>827</v>
      </c>
      <c r="B828" s="40" t="str">
        <f>IF(C828="","",IF(C828="Match",INDEX('Match Log'!$A:$A,D828),IF(C828="Tournament",INDEX('Tournament Log'!$A:$A,E828),INDEX('Guest Log'!$A:$A,Q828))))</f>
        <v/>
      </c>
      <c r="C828" s="40" t="str">
        <f t="shared" si="60"/>
        <v/>
      </c>
      <c r="D828" s="41" t="str">
        <f>IFERROR(MATCH($A828,'Match Log'!$K$3:$K$501,0)+2,"")</f>
        <v/>
      </c>
      <c r="E828" s="41" t="str">
        <f>IFERROR(MATCH($A828,'Tournament Log'!$O$4:$O$203,0)+3,"")</f>
        <v/>
      </c>
      <c r="F828" s="40" t="str">
        <f>IF(C828="","",IF(C828="Match",INDEX('Match Log'!$B:$B,D828),IF(C828="Tournament",INDEX('Tournament Log'!$C:$C,E828),INDEX('Guest Log'!$B:$B,Q828))))</f>
        <v/>
      </c>
      <c r="G828" s="40" t="str">
        <f>IF(C828="","",IF(C828="Match",INDEX('Match Log'!$C:$C,D828),IF(C828="Tournament",INDEX('Tournament Log'!$B:$B,E828)&amp;" (Phantom)",INDEX('Guest Log'!$H:$H,Q828)&amp;" (Guest)")))</f>
        <v/>
      </c>
      <c r="H828" s="40" t="str">
        <f t="array" ref="H828">IF(C828="","",IFERROR(LOOKUP(2,1/(($F$1:F827=F828)+($G$1:G827=F828)),IF($F$1:F827=F828,$N$1:N827,$O$1:O827)),1000))</f>
        <v/>
      </c>
      <c r="I828" s="40" t="str">
        <f t="array" ref="I828">IF(C828="","",IF(C828="Tournament",INDEX('Tournament Log'!$J:$J,E828),IF(C828="Guest",IF(INDEX('Guest Log'!$I:$I,Q828)="",1000,INDEX('Guest Log'!$I:$I,Q828)),IFERROR(LOOKUP(2,1/(($F$1:F827=G828)+($G$1:G827=G828)),IF($F$1:F827=G828,$N$1:N827,$O$1:O827)),1000))))</f>
        <v/>
      </c>
      <c r="J828" s="40" t="str">
        <f t="shared" si="61"/>
        <v/>
      </c>
      <c r="K828" s="12" t="str">
        <f>IF(C828="","",IF(C828="Match",IF(INDEX('Match Log'!$D:$D,D828)="Win",1,IF(INDEX('Match Log'!$D:$D,D828)="Draw",0.5,0)),IF(C828="Tournament",INDEX('Tournament Log'!$K:$K,E828),IF(INDEX('Guest Log'!$C:$C,Q828)="Win",1,IF(INDEX('Guest Log'!$C:$C,Q828)="Draw",0.5,0)))))</f>
        <v/>
      </c>
      <c r="L828" s="12" t="str">
        <f>IF(C828="","",IF(C828="Match",32,IF(C828="Tournament",MIN(32*INDEX('Tournament Log'!$D:$D,E828),96),32)))</f>
        <v/>
      </c>
      <c r="M828" s="12" t="str">
        <f t="shared" si="62"/>
        <v/>
      </c>
      <c r="N828" s="12" t="str">
        <f t="shared" si="63"/>
        <v/>
      </c>
      <c r="O828" s="12" t="str">
        <f t="shared" si="64"/>
        <v/>
      </c>
      <c r="P828" s="12" t="str">
        <f>IF(C828="Tournament",INDEX('Tournament Log'!$B:$B,E828),IF(C828="Guest","Guest: "&amp;INDEX('Guest Log'!$H:$H,Q828),""))</f>
        <v/>
      </c>
      <c r="Q828" t="str">
        <f>IFERROR(MATCH($A828,'Guest Log'!$L$4:$L$203,0)+3,"")</f>
        <v/>
      </c>
    </row>
    <row r="829" spans="1:17" ht="15" customHeight="1" x14ac:dyDescent="0.2">
      <c r="A829" s="40">
        <f>828</f>
        <v>828</v>
      </c>
      <c r="B829" s="40" t="str">
        <f>IF(C829="","",IF(C829="Match",INDEX('Match Log'!$A:$A,D829),IF(C829="Tournament",INDEX('Tournament Log'!$A:$A,E829),INDEX('Guest Log'!$A:$A,Q829))))</f>
        <v/>
      </c>
      <c r="C829" s="40" t="str">
        <f t="shared" si="60"/>
        <v/>
      </c>
      <c r="D829" s="41" t="str">
        <f>IFERROR(MATCH($A829,'Match Log'!$K$3:$K$501,0)+2,"")</f>
        <v/>
      </c>
      <c r="E829" s="41" t="str">
        <f>IFERROR(MATCH($A829,'Tournament Log'!$O$4:$O$203,0)+3,"")</f>
        <v/>
      </c>
      <c r="F829" s="40" t="str">
        <f>IF(C829="","",IF(C829="Match",INDEX('Match Log'!$B:$B,D829),IF(C829="Tournament",INDEX('Tournament Log'!$C:$C,E829),INDEX('Guest Log'!$B:$B,Q829))))</f>
        <v/>
      </c>
      <c r="G829" s="40" t="str">
        <f>IF(C829="","",IF(C829="Match",INDEX('Match Log'!$C:$C,D829),IF(C829="Tournament",INDEX('Tournament Log'!$B:$B,E829)&amp;" (Phantom)",INDEX('Guest Log'!$H:$H,Q829)&amp;" (Guest)")))</f>
        <v/>
      </c>
      <c r="H829" s="40" t="str">
        <f t="array" ref="H829">IF(C829="","",IFERROR(LOOKUP(2,1/(($F$1:F828=F829)+($G$1:G828=F829)),IF($F$1:F828=F829,$N$1:N828,$O$1:O828)),1000))</f>
        <v/>
      </c>
      <c r="I829" s="40" t="str">
        <f t="array" ref="I829">IF(C829="","",IF(C829="Tournament",INDEX('Tournament Log'!$J:$J,E829),IF(C829="Guest",IF(INDEX('Guest Log'!$I:$I,Q829)="",1000,INDEX('Guest Log'!$I:$I,Q829)),IFERROR(LOOKUP(2,1/(($F$1:F828=G829)+($G$1:G828=G829)),IF($F$1:F828=G829,$N$1:N828,$O$1:O828)),1000))))</f>
        <v/>
      </c>
      <c r="J829" s="40" t="str">
        <f t="shared" si="61"/>
        <v/>
      </c>
      <c r="K829" s="12" t="str">
        <f>IF(C829="","",IF(C829="Match",IF(INDEX('Match Log'!$D:$D,D829)="Win",1,IF(INDEX('Match Log'!$D:$D,D829)="Draw",0.5,0)),IF(C829="Tournament",INDEX('Tournament Log'!$K:$K,E829),IF(INDEX('Guest Log'!$C:$C,Q829)="Win",1,IF(INDEX('Guest Log'!$C:$C,Q829)="Draw",0.5,0)))))</f>
        <v/>
      </c>
      <c r="L829" s="12" t="str">
        <f>IF(C829="","",IF(C829="Match",32,IF(C829="Tournament",MIN(32*INDEX('Tournament Log'!$D:$D,E829),96),32)))</f>
        <v/>
      </c>
      <c r="M829" s="12" t="str">
        <f t="shared" si="62"/>
        <v/>
      </c>
      <c r="N829" s="12" t="str">
        <f t="shared" si="63"/>
        <v/>
      </c>
      <c r="O829" s="12" t="str">
        <f t="shared" si="64"/>
        <v/>
      </c>
      <c r="P829" s="12" t="str">
        <f>IF(C829="Tournament",INDEX('Tournament Log'!$B:$B,E829),IF(C829="Guest","Guest: "&amp;INDEX('Guest Log'!$H:$H,Q829),""))</f>
        <v/>
      </c>
      <c r="Q829" t="str">
        <f>IFERROR(MATCH($A829,'Guest Log'!$L$4:$L$203,0)+3,"")</f>
        <v/>
      </c>
    </row>
    <row r="830" spans="1:17" ht="15" customHeight="1" x14ac:dyDescent="0.2">
      <c r="A830" s="40">
        <f>829</f>
        <v>829</v>
      </c>
      <c r="B830" s="40" t="str">
        <f>IF(C830="","",IF(C830="Match",INDEX('Match Log'!$A:$A,D830),IF(C830="Tournament",INDEX('Tournament Log'!$A:$A,E830),INDEX('Guest Log'!$A:$A,Q830))))</f>
        <v/>
      </c>
      <c r="C830" s="40" t="str">
        <f t="shared" si="60"/>
        <v/>
      </c>
      <c r="D830" s="41" t="str">
        <f>IFERROR(MATCH($A830,'Match Log'!$K$3:$K$501,0)+2,"")</f>
        <v/>
      </c>
      <c r="E830" s="41" t="str">
        <f>IFERROR(MATCH($A830,'Tournament Log'!$O$4:$O$203,0)+3,"")</f>
        <v/>
      </c>
      <c r="F830" s="40" t="str">
        <f>IF(C830="","",IF(C830="Match",INDEX('Match Log'!$B:$B,D830),IF(C830="Tournament",INDEX('Tournament Log'!$C:$C,E830),INDEX('Guest Log'!$B:$B,Q830))))</f>
        <v/>
      </c>
      <c r="G830" s="40" t="str">
        <f>IF(C830="","",IF(C830="Match",INDEX('Match Log'!$C:$C,D830),IF(C830="Tournament",INDEX('Tournament Log'!$B:$B,E830)&amp;" (Phantom)",INDEX('Guest Log'!$H:$H,Q830)&amp;" (Guest)")))</f>
        <v/>
      </c>
      <c r="H830" s="40" t="str">
        <f t="array" ref="H830">IF(C830="","",IFERROR(LOOKUP(2,1/(($F$1:F829=F830)+($G$1:G829=F830)),IF($F$1:F829=F830,$N$1:N829,$O$1:O829)),1000))</f>
        <v/>
      </c>
      <c r="I830" s="40" t="str">
        <f t="array" ref="I830">IF(C830="","",IF(C830="Tournament",INDEX('Tournament Log'!$J:$J,E830),IF(C830="Guest",IF(INDEX('Guest Log'!$I:$I,Q830)="",1000,INDEX('Guest Log'!$I:$I,Q830)),IFERROR(LOOKUP(2,1/(($F$1:F829=G830)+($G$1:G829=G830)),IF($F$1:F829=G830,$N$1:N829,$O$1:O829)),1000))))</f>
        <v/>
      </c>
      <c r="J830" s="40" t="str">
        <f t="shared" si="61"/>
        <v/>
      </c>
      <c r="K830" s="12" t="str">
        <f>IF(C830="","",IF(C830="Match",IF(INDEX('Match Log'!$D:$D,D830)="Win",1,IF(INDEX('Match Log'!$D:$D,D830)="Draw",0.5,0)),IF(C830="Tournament",INDEX('Tournament Log'!$K:$K,E830),IF(INDEX('Guest Log'!$C:$C,Q830)="Win",1,IF(INDEX('Guest Log'!$C:$C,Q830)="Draw",0.5,0)))))</f>
        <v/>
      </c>
      <c r="L830" s="12" t="str">
        <f>IF(C830="","",IF(C830="Match",32,IF(C830="Tournament",MIN(32*INDEX('Tournament Log'!$D:$D,E830),96),32)))</f>
        <v/>
      </c>
      <c r="M830" s="12" t="str">
        <f t="shared" si="62"/>
        <v/>
      </c>
      <c r="N830" s="12" t="str">
        <f t="shared" si="63"/>
        <v/>
      </c>
      <c r="O830" s="12" t="str">
        <f t="shared" si="64"/>
        <v/>
      </c>
      <c r="P830" s="12" t="str">
        <f>IF(C830="Tournament",INDEX('Tournament Log'!$B:$B,E830),IF(C830="Guest","Guest: "&amp;INDEX('Guest Log'!$H:$H,Q830),""))</f>
        <v/>
      </c>
      <c r="Q830" t="str">
        <f>IFERROR(MATCH($A830,'Guest Log'!$L$4:$L$203,0)+3,"")</f>
        <v/>
      </c>
    </row>
    <row r="831" spans="1:17" ht="15" customHeight="1" x14ac:dyDescent="0.2">
      <c r="A831" s="40">
        <f>830</f>
        <v>830</v>
      </c>
      <c r="B831" s="40" t="str">
        <f>IF(C831="","",IF(C831="Match",INDEX('Match Log'!$A:$A,D831),IF(C831="Tournament",INDEX('Tournament Log'!$A:$A,E831),INDEX('Guest Log'!$A:$A,Q831))))</f>
        <v/>
      </c>
      <c r="C831" s="40" t="str">
        <f t="shared" si="60"/>
        <v/>
      </c>
      <c r="D831" s="41" t="str">
        <f>IFERROR(MATCH($A831,'Match Log'!$K$3:$K$501,0)+2,"")</f>
        <v/>
      </c>
      <c r="E831" s="41" t="str">
        <f>IFERROR(MATCH($A831,'Tournament Log'!$O$4:$O$203,0)+3,"")</f>
        <v/>
      </c>
      <c r="F831" s="40" t="str">
        <f>IF(C831="","",IF(C831="Match",INDEX('Match Log'!$B:$B,D831),IF(C831="Tournament",INDEX('Tournament Log'!$C:$C,E831),INDEX('Guest Log'!$B:$B,Q831))))</f>
        <v/>
      </c>
      <c r="G831" s="40" t="str">
        <f>IF(C831="","",IF(C831="Match",INDEX('Match Log'!$C:$C,D831),IF(C831="Tournament",INDEX('Tournament Log'!$B:$B,E831)&amp;" (Phantom)",INDEX('Guest Log'!$H:$H,Q831)&amp;" (Guest)")))</f>
        <v/>
      </c>
      <c r="H831" s="40" t="str">
        <f t="array" ref="H831">IF(C831="","",IFERROR(LOOKUP(2,1/(($F$1:F830=F831)+($G$1:G830=F831)),IF($F$1:F830=F831,$N$1:N830,$O$1:O830)),1000))</f>
        <v/>
      </c>
      <c r="I831" s="40" t="str">
        <f t="array" ref="I831">IF(C831="","",IF(C831="Tournament",INDEX('Tournament Log'!$J:$J,E831),IF(C831="Guest",IF(INDEX('Guest Log'!$I:$I,Q831)="",1000,INDEX('Guest Log'!$I:$I,Q831)),IFERROR(LOOKUP(2,1/(($F$1:F830=G831)+($G$1:G830=G831)),IF($F$1:F830=G831,$N$1:N830,$O$1:O830)),1000))))</f>
        <v/>
      </c>
      <c r="J831" s="40" t="str">
        <f t="shared" si="61"/>
        <v/>
      </c>
      <c r="K831" s="12" t="str">
        <f>IF(C831="","",IF(C831="Match",IF(INDEX('Match Log'!$D:$D,D831)="Win",1,IF(INDEX('Match Log'!$D:$D,D831)="Draw",0.5,0)),IF(C831="Tournament",INDEX('Tournament Log'!$K:$K,E831),IF(INDEX('Guest Log'!$C:$C,Q831)="Win",1,IF(INDEX('Guest Log'!$C:$C,Q831)="Draw",0.5,0)))))</f>
        <v/>
      </c>
      <c r="L831" s="12" t="str">
        <f>IF(C831="","",IF(C831="Match",32,IF(C831="Tournament",MIN(32*INDEX('Tournament Log'!$D:$D,E831),96),32)))</f>
        <v/>
      </c>
      <c r="M831" s="12" t="str">
        <f t="shared" si="62"/>
        <v/>
      </c>
      <c r="N831" s="12" t="str">
        <f t="shared" si="63"/>
        <v/>
      </c>
      <c r="O831" s="12" t="str">
        <f t="shared" si="64"/>
        <v/>
      </c>
      <c r="P831" s="12" t="str">
        <f>IF(C831="Tournament",INDEX('Tournament Log'!$B:$B,E831),IF(C831="Guest","Guest: "&amp;INDEX('Guest Log'!$H:$H,Q831),""))</f>
        <v/>
      </c>
      <c r="Q831" t="str">
        <f>IFERROR(MATCH($A831,'Guest Log'!$L$4:$L$203,0)+3,"")</f>
        <v/>
      </c>
    </row>
    <row r="832" spans="1:17" ht="15" customHeight="1" x14ac:dyDescent="0.2">
      <c r="A832" s="40">
        <f>831</f>
        <v>831</v>
      </c>
      <c r="B832" s="40" t="str">
        <f>IF(C832="","",IF(C832="Match",INDEX('Match Log'!$A:$A,D832),IF(C832="Tournament",INDEX('Tournament Log'!$A:$A,E832),INDEX('Guest Log'!$A:$A,Q832))))</f>
        <v/>
      </c>
      <c r="C832" s="40" t="str">
        <f t="shared" si="60"/>
        <v/>
      </c>
      <c r="D832" s="41" t="str">
        <f>IFERROR(MATCH($A832,'Match Log'!$K$3:$K$501,0)+2,"")</f>
        <v/>
      </c>
      <c r="E832" s="41" t="str">
        <f>IFERROR(MATCH($A832,'Tournament Log'!$O$4:$O$203,0)+3,"")</f>
        <v/>
      </c>
      <c r="F832" s="40" t="str">
        <f>IF(C832="","",IF(C832="Match",INDEX('Match Log'!$B:$B,D832),IF(C832="Tournament",INDEX('Tournament Log'!$C:$C,E832),INDEX('Guest Log'!$B:$B,Q832))))</f>
        <v/>
      </c>
      <c r="G832" s="40" t="str">
        <f>IF(C832="","",IF(C832="Match",INDEX('Match Log'!$C:$C,D832),IF(C832="Tournament",INDEX('Tournament Log'!$B:$B,E832)&amp;" (Phantom)",INDEX('Guest Log'!$H:$H,Q832)&amp;" (Guest)")))</f>
        <v/>
      </c>
      <c r="H832" s="40" t="str">
        <f t="array" ref="H832">IF(C832="","",IFERROR(LOOKUP(2,1/(($F$1:F831=F832)+($G$1:G831=F832)),IF($F$1:F831=F832,$N$1:N831,$O$1:O831)),1000))</f>
        <v/>
      </c>
      <c r="I832" s="40" t="str">
        <f t="array" ref="I832">IF(C832="","",IF(C832="Tournament",INDEX('Tournament Log'!$J:$J,E832),IF(C832="Guest",IF(INDEX('Guest Log'!$I:$I,Q832)="",1000,INDEX('Guest Log'!$I:$I,Q832)),IFERROR(LOOKUP(2,1/(($F$1:F831=G832)+($G$1:G831=G832)),IF($F$1:F831=G832,$N$1:N831,$O$1:O831)),1000))))</f>
        <v/>
      </c>
      <c r="J832" s="40" t="str">
        <f t="shared" si="61"/>
        <v/>
      </c>
      <c r="K832" s="12" t="str">
        <f>IF(C832="","",IF(C832="Match",IF(INDEX('Match Log'!$D:$D,D832)="Win",1,IF(INDEX('Match Log'!$D:$D,D832)="Draw",0.5,0)),IF(C832="Tournament",INDEX('Tournament Log'!$K:$K,E832),IF(INDEX('Guest Log'!$C:$C,Q832)="Win",1,IF(INDEX('Guest Log'!$C:$C,Q832)="Draw",0.5,0)))))</f>
        <v/>
      </c>
      <c r="L832" s="12" t="str">
        <f>IF(C832="","",IF(C832="Match",32,IF(C832="Tournament",MIN(32*INDEX('Tournament Log'!$D:$D,E832),96),32)))</f>
        <v/>
      </c>
      <c r="M832" s="12" t="str">
        <f t="shared" si="62"/>
        <v/>
      </c>
      <c r="N832" s="12" t="str">
        <f t="shared" si="63"/>
        <v/>
      </c>
      <c r="O832" s="12" t="str">
        <f t="shared" si="64"/>
        <v/>
      </c>
      <c r="P832" s="12" t="str">
        <f>IF(C832="Tournament",INDEX('Tournament Log'!$B:$B,E832),IF(C832="Guest","Guest: "&amp;INDEX('Guest Log'!$H:$H,Q832),""))</f>
        <v/>
      </c>
      <c r="Q832" t="str">
        <f>IFERROR(MATCH($A832,'Guest Log'!$L$4:$L$203,0)+3,"")</f>
        <v/>
      </c>
    </row>
    <row r="833" spans="1:17" ht="15" customHeight="1" x14ac:dyDescent="0.2">
      <c r="A833" s="40">
        <f>832</f>
        <v>832</v>
      </c>
      <c r="B833" s="40" t="str">
        <f>IF(C833="","",IF(C833="Match",INDEX('Match Log'!$A:$A,D833),IF(C833="Tournament",INDEX('Tournament Log'!$A:$A,E833),INDEX('Guest Log'!$A:$A,Q833))))</f>
        <v/>
      </c>
      <c r="C833" s="40" t="str">
        <f t="shared" si="60"/>
        <v/>
      </c>
      <c r="D833" s="41" t="str">
        <f>IFERROR(MATCH($A833,'Match Log'!$K$3:$K$501,0)+2,"")</f>
        <v/>
      </c>
      <c r="E833" s="41" t="str">
        <f>IFERROR(MATCH($A833,'Tournament Log'!$O$4:$O$203,0)+3,"")</f>
        <v/>
      </c>
      <c r="F833" s="40" t="str">
        <f>IF(C833="","",IF(C833="Match",INDEX('Match Log'!$B:$B,D833),IF(C833="Tournament",INDEX('Tournament Log'!$C:$C,E833),INDEX('Guest Log'!$B:$B,Q833))))</f>
        <v/>
      </c>
      <c r="G833" s="40" t="str">
        <f>IF(C833="","",IF(C833="Match",INDEX('Match Log'!$C:$C,D833),IF(C833="Tournament",INDEX('Tournament Log'!$B:$B,E833)&amp;" (Phantom)",INDEX('Guest Log'!$H:$H,Q833)&amp;" (Guest)")))</f>
        <v/>
      </c>
      <c r="H833" s="40" t="str">
        <f t="array" ref="H833">IF(C833="","",IFERROR(LOOKUP(2,1/(($F$1:F832=F833)+($G$1:G832=F833)),IF($F$1:F832=F833,$N$1:N832,$O$1:O832)),1000))</f>
        <v/>
      </c>
      <c r="I833" s="40" t="str">
        <f t="array" ref="I833">IF(C833="","",IF(C833="Tournament",INDEX('Tournament Log'!$J:$J,E833),IF(C833="Guest",IF(INDEX('Guest Log'!$I:$I,Q833)="",1000,INDEX('Guest Log'!$I:$I,Q833)),IFERROR(LOOKUP(2,1/(($F$1:F832=G833)+($G$1:G832=G833)),IF($F$1:F832=G833,$N$1:N832,$O$1:O832)),1000))))</f>
        <v/>
      </c>
      <c r="J833" s="40" t="str">
        <f t="shared" si="61"/>
        <v/>
      </c>
      <c r="K833" s="12" t="str">
        <f>IF(C833="","",IF(C833="Match",IF(INDEX('Match Log'!$D:$D,D833)="Win",1,IF(INDEX('Match Log'!$D:$D,D833)="Draw",0.5,0)),IF(C833="Tournament",INDEX('Tournament Log'!$K:$K,E833),IF(INDEX('Guest Log'!$C:$C,Q833)="Win",1,IF(INDEX('Guest Log'!$C:$C,Q833)="Draw",0.5,0)))))</f>
        <v/>
      </c>
      <c r="L833" s="12" t="str">
        <f>IF(C833="","",IF(C833="Match",32,IF(C833="Tournament",MIN(32*INDEX('Tournament Log'!$D:$D,E833),96),32)))</f>
        <v/>
      </c>
      <c r="M833" s="12" t="str">
        <f t="shared" si="62"/>
        <v/>
      </c>
      <c r="N833" s="12" t="str">
        <f t="shared" si="63"/>
        <v/>
      </c>
      <c r="O833" s="12" t="str">
        <f t="shared" si="64"/>
        <v/>
      </c>
      <c r="P833" s="12" t="str">
        <f>IF(C833="Tournament",INDEX('Tournament Log'!$B:$B,E833),IF(C833="Guest","Guest: "&amp;INDEX('Guest Log'!$H:$H,Q833),""))</f>
        <v/>
      </c>
      <c r="Q833" t="str">
        <f>IFERROR(MATCH($A833,'Guest Log'!$L$4:$L$203,0)+3,"")</f>
        <v/>
      </c>
    </row>
    <row r="834" spans="1:17" ht="15" customHeight="1" x14ac:dyDescent="0.2">
      <c r="A834" s="40">
        <f>833</f>
        <v>833</v>
      </c>
      <c r="B834" s="40" t="str">
        <f>IF(C834="","",IF(C834="Match",INDEX('Match Log'!$A:$A,D834),IF(C834="Tournament",INDEX('Tournament Log'!$A:$A,E834),INDEX('Guest Log'!$A:$A,Q834))))</f>
        <v/>
      </c>
      <c r="C834" s="40" t="str">
        <f t="shared" ref="C834:C897" si="65">IF(D834&lt;&gt;"","Match",IF(E834&lt;&gt;"","Tournament",IF(Q834&lt;&gt;"","Guest","")))</f>
        <v/>
      </c>
      <c r="D834" s="41" t="str">
        <f>IFERROR(MATCH($A834,'Match Log'!$K$3:$K$501,0)+2,"")</f>
        <v/>
      </c>
      <c r="E834" s="41" t="str">
        <f>IFERROR(MATCH($A834,'Tournament Log'!$O$4:$O$203,0)+3,"")</f>
        <v/>
      </c>
      <c r="F834" s="40" t="str">
        <f>IF(C834="","",IF(C834="Match",INDEX('Match Log'!$B:$B,D834),IF(C834="Tournament",INDEX('Tournament Log'!$C:$C,E834),INDEX('Guest Log'!$B:$B,Q834))))</f>
        <v/>
      </c>
      <c r="G834" s="40" t="str">
        <f>IF(C834="","",IF(C834="Match",INDEX('Match Log'!$C:$C,D834),IF(C834="Tournament",INDEX('Tournament Log'!$B:$B,E834)&amp;" (Phantom)",INDEX('Guest Log'!$H:$H,Q834)&amp;" (Guest)")))</f>
        <v/>
      </c>
      <c r="H834" s="40" t="str">
        <f t="array" ref="H834">IF(C834="","",IFERROR(LOOKUP(2,1/(($F$1:F833=F834)+($G$1:G833=F834)),IF($F$1:F833=F834,$N$1:N833,$O$1:O833)),1000))</f>
        <v/>
      </c>
      <c r="I834" s="40" t="str">
        <f t="array" ref="I834">IF(C834="","",IF(C834="Tournament",INDEX('Tournament Log'!$J:$J,E834),IF(C834="Guest",IF(INDEX('Guest Log'!$I:$I,Q834)="",1000,INDEX('Guest Log'!$I:$I,Q834)),IFERROR(LOOKUP(2,1/(($F$1:F833=G834)+($G$1:G833=G834)),IF($F$1:F833=G834,$N$1:N833,$O$1:O833)),1000))))</f>
        <v/>
      </c>
      <c r="J834" s="40" t="str">
        <f t="shared" ref="J834:J897" si="66">IF(C834="","",1/(1+10^((I834-H834)/400)))</f>
        <v/>
      </c>
      <c r="K834" s="12" t="str">
        <f>IF(C834="","",IF(C834="Match",IF(INDEX('Match Log'!$D:$D,D834)="Win",1,IF(INDEX('Match Log'!$D:$D,D834)="Draw",0.5,0)),IF(C834="Tournament",INDEX('Tournament Log'!$K:$K,E834),IF(INDEX('Guest Log'!$C:$C,Q834)="Win",1,IF(INDEX('Guest Log'!$C:$C,Q834)="Draw",0.5,0)))))</f>
        <v/>
      </c>
      <c r="L834" s="12" t="str">
        <f>IF(C834="","",IF(C834="Match",32,IF(C834="Tournament",MIN(32*INDEX('Tournament Log'!$D:$D,E834),96),32)))</f>
        <v/>
      </c>
      <c r="M834" s="12" t="str">
        <f t="shared" ref="M834:M897" si="67">IF(C834="","",ROUND(L834*(K834-J834),0))</f>
        <v/>
      </c>
      <c r="N834" s="12" t="str">
        <f t="shared" ref="N834:N897" si="68">IF(C834="","",H834+M834)</f>
        <v/>
      </c>
      <c r="O834" s="12" t="str">
        <f t="shared" ref="O834:O900" si="69">IF(C834="","",IF(C834="Match",I834-M834,""))</f>
        <v/>
      </c>
      <c r="P834" s="12" t="str">
        <f>IF(C834="Tournament",INDEX('Tournament Log'!$B:$B,E834),IF(C834="Guest","Guest: "&amp;INDEX('Guest Log'!$H:$H,Q834),""))</f>
        <v/>
      </c>
      <c r="Q834" t="str">
        <f>IFERROR(MATCH($A834,'Guest Log'!$L$4:$L$203,0)+3,"")</f>
        <v/>
      </c>
    </row>
    <row r="835" spans="1:17" ht="15" customHeight="1" x14ac:dyDescent="0.2">
      <c r="A835" s="40">
        <f>834</f>
        <v>834</v>
      </c>
      <c r="B835" s="40" t="str">
        <f>IF(C835="","",IF(C835="Match",INDEX('Match Log'!$A:$A,D835),IF(C835="Tournament",INDEX('Tournament Log'!$A:$A,E835),INDEX('Guest Log'!$A:$A,Q835))))</f>
        <v/>
      </c>
      <c r="C835" s="40" t="str">
        <f t="shared" si="65"/>
        <v/>
      </c>
      <c r="D835" s="41" t="str">
        <f>IFERROR(MATCH($A835,'Match Log'!$K$3:$K$501,0)+2,"")</f>
        <v/>
      </c>
      <c r="E835" s="41" t="str">
        <f>IFERROR(MATCH($A835,'Tournament Log'!$O$4:$O$203,0)+3,"")</f>
        <v/>
      </c>
      <c r="F835" s="40" t="str">
        <f>IF(C835="","",IF(C835="Match",INDEX('Match Log'!$B:$B,D835),IF(C835="Tournament",INDEX('Tournament Log'!$C:$C,E835),INDEX('Guest Log'!$B:$B,Q835))))</f>
        <v/>
      </c>
      <c r="G835" s="40" t="str">
        <f>IF(C835="","",IF(C835="Match",INDEX('Match Log'!$C:$C,D835),IF(C835="Tournament",INDEX('Tournament Log'!$B:$B,E835)&amp;" (Phantom)",INDEX('Guest Log'!$H:$H,Q835)&amp;" (Guest)")))</f>
        <v/>
      </c>
      <c r="H835" s="40" t="str">
        <f t="array" ref="H835">IF(C835="","",IFERROR(LOOKUP(2,1/(($F$1:F834=F835)+($G$1:G834=F835)),IF($F$1:F834=F835,$N$1:N834,$O$1:O834)),1000))</f>
        <v/>
      </c>
      <c r="I835" s="40" t="str">
        <f t="array" ref="I835">IF(C835="","",IF(C835="Tournament",INDEX('Tournament Log'!$J:$J,E835),IF(C835="Guest",IF(INDEX('Guest Log'!$I:$I,Q835)="",1000,INDEX('Guest Log'!$I:$I,Q835)),IFERROR(LOOKUP(2,1/(($F$1:F834=G835)+($G$1:G834=G835)),IF($F$1:F834=G835,$N$1:N834,$O$1:O834)),1000))))</f>
        <v/>
      </c>
      <c r="J835" s="40" t="str">
        <f t="shared" si="66"/>
        <v/>
      </c>
      <c r="K835" s="12" t="str">
        <f>IF(C835="","",IF(C835="Match",IF(INDEX('Match Log'!$D:$D,D835)="Win",1,IF(INDEX('Match Log'!$D:$D,D835)="Draw",0.5,0)),IF(C835="Tournament",INDEX('Tournament Log'!$K:$K,E835),IF(INDEX('Guest Log'!$C:$C,Q835)="Win",1,IF(INDEX('Guest Log'!$C:$C,Q835)="Draw",0.5,0)))))</f>
        <v/>
      </c>
      <c r="L835" s="12" t="str">
        <f>IF(C835="","",IF(C835="Match",32,IF(C835="Tournament",MIN(32*INDEX('Tournament Log'!$D:$D,E835),96),32)))</f>
        <v/>
      </c>
      <c r="M835" s="12" t="str">
        <f t="shared" si="67"/>
        <v/>
      </c>
      <c r="N835" s="12" t="str">
        <f t="shared" si="68"/>
        <v/>
      </c>
      <c r="O835" s="12" t="str">
        <f t="shared" si="69"/>
        <v/>
      </c>
      <c r="P835" s="12" t="str">
        <f>IF(C835="Tournament",INDEX('Tournament Log'!$B:$B,E835),IF(C835="Guest","Guest: "&amp;INDEX('Guest Log'!$H:$H,Q835),""))</f>
        <v/>
      </c>
      <c r="Q835" t="str">
        <f>IFERROR(MATCH($A835,'Guest Log'!$L$4:$L$203,0)+3,"")</f>
        <v/>
      </c>
    </row>
    <row r="836" spans="1:17" ht="15" customHeight="1" x14ac:dyDescent="0.2">
      <c r="A836" s="40">
        <f>835</f>
        <v>835</v>
      </c>
      <c r="B836" s="40" t="str">
        <f>IF(C836="","",IF(C836="Match",INDEX('Match Log'!$A:$A,D836),IF(C836="Tournament",INDEX('Tournament Log'!$A:$A,E836),INDEX('Guest Log'!$A:$A,Q836))))</f>
        <v/>
      </c>
      <c r="C836" s="40" t="str">
        <f t="shared" si="65"/>
        <v/>
      </c>
      <c r="D836" s="41" t="str">
        <f>IFERROR(MATCH($A836,'Match Log'!$K$3:$K$501,0)+2,"")</f>
        <v/>
      </c>
      <c r="E836" s="41" t="str">
        <f>IFERROR(MATCH($A836,'Tournament Log'!$O$4:$O$203,0)+3,"")</f>
        <v/>
      </c>
      <c r="F836" s="40" t="str">
        <f>IF(C836="","",IF(C836="Match",INDEX('Match Log'!$B:$B,D836),IF(C836="Tournament",INDEX('Tournament Log'!$C:$C,E836),INDEX('Guest Log'!$B:$B,Q836))))</f>
        <v/>
      </c>
      <c r="G836" s="40" t="str">
        <f>IF(C836="","",IF(C836="Match",INDEX('Match Log'!$C:$C,D836),IF(C836="Tournament",INDEX('Tournament Log'!$B:$B,E836)&amp;" (Phantom)",INDEX('Guest Log'!$H:$H,Q836)&amp;" (Guest)")))</f>
        <v/>
      </c>
      <c r="H836" s="40" t="str">
        <f t="array" ref="H836">IF(C836="","",IFERROR(LOOKUP(2,1/(($F$1:F835=F836)+($G$1:G835=F836)),IF($F$1:F835=F836,$N$1:N835,$O$1:O835)),1000))</f>
        <v/>
      </c>
      <c r="I836" s="40" t="str">
        <f t="array" ref="I836">IF(C836="","",IF(C836="Tournament",INDEX('Tournament Log'!$J:$J,E836),IF(C836="Guest",IF(INDEX('Guest Log'!$I:$I,Q836)="",1000,INDEX('Guest Log'!$I:$I,Q836)),IFERROR(LOOKUP(2,1/(($F$1:F835=G836)+($G$1:G835=G836)),IF($F$1:F835=G836,$N$1:N835,$O$1:O835)),1000))))</f>
        <v/>
      </c>
      <c r="J836" s="40" t="str">
        <f t="shared" si="66"/>
        <v/>
      </c>
      <c r="K836" s="12" t="str">
        <f>IF(C836="","",IF(C836="Match",IF(INDEX('Match Log'!$D:$D,D836)="Win",1,IF(INDEX('Match Log'!$D:$D,D836)="Draw",0.5,0)),IF(C836="Tournament",INDEX('Tournament Log'!$K:$K,E836),IF(INDEX('Guest Log'!$C:$C,Q836)="Win",1,IF(INDEX('Guest Log'!$C:$C,Q836)="Draw",0.5,0)))))</f>
        <v/>
      </c>
      <c r="L836" s="12" t="str">
        <f>IF(C836="","",IF(C836="Match",32,IF(C836="Tournament",MIN(32*INDEX('Tournament Log'!$D:$D,E836),96),32)))</f>
        <v/>
      </c>
      <c r="M836" s="12" t="str">
        <f t="shared" si="67"/>
        <v/>
      </c>
      <c r="N836" s="12" t="str">
        <f t="shared" si="68"/>
        <v/>
      </c>
      <c r="O836" s="12" t="str">
        <f t="shared" si="69"/>
        <v/>
      </c>
      <c r="P836" s="12" t="str">
        <f>IF(C836="Tournament",INDEX('Tournament Log'!$B:$B,E836),IF(C836="Guest","Guest: "&amp;INDEX('Guest Log'!$H:$H,Q836),""))</f>
        <v/>
      </c>
      <c r="Q836" t="str">
        <f>IFERROR(MATCH($A836,'Guest Log'!$L$4:$L$203,0)+3,"")</f>
        <v/>
      </c>
    </row>
    <row r="837" spans="1:17" ht="15" customHeight="1" x14ac:dyDescent="0.2">
      <c r="A837" s="40">
        <f>836</f>
        <v>836</v>
      </c>
      <c r="B837" s="40" t="str">
        <f>IF(C837="","",IF(C837="Match",INDEX('Match Log'!$A:$A,D837),IF(C837="Tournament",INDEX('Tournament Log'!$A:$A,E837),INDEX('Guest Log'!$A:$A,Q837))))</f>
        <v/>
      </c>
      <c r="C837" s="40" t="str">
        <f t="shared" si="65"/>
        <v/>
      </c>
      <c r="D837" s="41" t="str">
        <f>IFERROR(MATCH($A837,'Match Log'!$K$3:$K$501,0)+2,"")</f>
        <v/>
      </c>
      <c r="E837" s="41" t="str">
        <f>IFERROR(MATCH($A837,'Tournament Log'!$O$4:$O$203,0)+3,"")</f>
        <v/>
      </c>
      <c r="F837" s="40" t="str">
        <f>IF(C837="","",IF(C837="Match",INDEX('Match Log'!$B:$B,D837),IF(C837="Tournament",INDEX('Tournament Log'!$C:$C,E837),INDEX('Guest Log'!$B:$B,Q837))))</f>
        <v/>
      </c>
      <c r="G837" s="40" t="str">
        <f>IF(C837="","",IF(C837="Match",INDEX('Match Log'!$C:$C,D837),IF(C837="Tournament",INDEX('Tournament Log'!$B:$B,E837)&amp;" (Phantom)",INDEX('Guest Log'!$H:$H,Q837)&amp;" (Guest)")))</f>
        <v/>
      </c>
      <c r="H837" s="40" t="str">
        <f t="array" ref="H837">IF(C837="","",IFERROR(LOOKUP(2,1/(($F$1:F836=F837)+($G$1:G836=F837)),IF($F$1:F836=F837,$N$1:N836,$O$1:O836)),1000))</f>
        <v/>
      </c>
      <c r="I837" s="40" t="str">
        <f t="array" ref="I837">IF(C837="","",IF(C837="Tournament",INDEX('Tournament Log'!$J:$J,E837),IF(C837="Guest",IF(INDEX('Guest Log'!$I:$I,Q837)="",1000,INDEX('Guest Log'!$I:$I,Q837)),IFERROR(LOOKUP(2,1/(($F$1:F836=G837)+($G$1:G836=G837)),IF($F$1:F836=G837,$N$1:N836,$O$1:O836)),1000))))</f>
        <v/>
      </c>
      <c r="J837" s="40" t="str">
        <f t="shared" si="66"/>
        <v/>
      </c>
      <c r="K837" s="12" t="str">
        <f>IF(C837="","",IF(C837="Match",IF(INDEX('Match Log'!$D:$D,D837)="Win",1,IF(INDEX('Match Log'!$D:$D,D837)="Draw",0.5,0)),IF(C837="Tournament",INDEX('Tournament Log'!$K:$K,E837),IF(INDEX('Guest Log'!$C:$C,Q837)="Win",1,IF(INDEX('Guest Log'!$C:$C,Q837)="Draw",0.5,0)))))</f>
        <v/>
      </c>
      <c r="L837" s="12" t="str">
        <f>IF(C837="","",IF(C837="Match",32,IF(C837="Tournament",MIN(32*INDEX('Tournament Log'!$D:$D,E837),96),32)))</f>
        <v/>
      </c>
      <c r="M837" s="12" t="str">
        <f t="shared" si="67"/>
        <v/>
      </c>
      <c r="N837" s="12" t="str">
        <f t="shared" si="68"/>
        <v/>
      </c>
      <c r="O837" s="12" t="str">
        <f t="shared" si="69"/>
        <v/>
      </c>
      <c r="P837" s="12" t="str">
        <f>IF(C837="Tournament",INDEX('Tournament Log'!$B:$B,E837),IF(C837="Guest","Guest: "&amp;INDEX('Guest Log'!$H:$H,Q837),""))</f>
        <v/>
      </c>
      <c r="Q837" t="str">
        <f>IFERROR(MATCH($A837,'Guest Log'!$L$4:$L$203,0)+3,"")</f>
        <v/>
      </c>
    </row>
    <row r="838" spans="1:17" ht="15" customHeight="1" x14ac:dyDescent="0.2">
      <c r="A838" s="40">
        <f>837</f>
        <v>837</v>
      </c>
      <c r="B838" s="40" t="str">
        <f>IF(C838="","",IF(C838="Match",INDEX('Match Log'!$A:$A,D838),IF(C838="Tournament",INDEX('Tournament Log'!$A:$A,E838),INDEX('Guest Log'!$A:$A,Q838))))</f>
        <v/>
      </c>
      <c r="C838" s="40" t="str">
        <f t="shared" si="65"/>
        <v/>
      </c>
      <c r="D838" s="41" t="str">
        <f>IFERROR(MATCH($A838,'Match Log'!$K$3:$K$501,0)+2,"")</f>
        <v/>
      </c>
      <c r="E838" s="41" t="str">
        <f>IFERROR(MATCH($A838,'Tournament Log'!$O$4:$O$203,0)+3,"")</f>
        <v/>
      </c>
      <c r="F838" s="40" t="str">
        <f>IF(C838="","",IF(C838="Match",INDEX('Match Log'!$B:$B,D838),IF(C838="Tournament",INDEX('Tournament Log'!$C:$C,E838),INDEX('Guest Log'!$B:$B,Q838))))</f>
        <v/>
      </c>
      <c r="G838" s="40" t="str">
        <f>IF(C838="","",IF(C838="Match",INDEX('Match Log'!$C:$C,D838),IF(C838="Tournament",INDEX('Tournament Log'!$B:$B,E838)&amp;" (Phantom)",INDEX('Guest Log'!$H:$H,Q838)&amp;" (Guest)")))</f>
        <v/>
      </c>
      <c r="H838" s="40" t="str">
        <f t="array" ref="H838">IF(C838="","",IFERROR(LOOKUP(2,1/(($F$1:F837=F838)+($G$1:G837=F838)),IF($F$1:F837=F838,$N$1:N837,$O$1:O837)),1000))</f>
        <v/>
      </c>
      <c r="I838" s="40" t="str">
        <f t="array" ref="I838">IF(C838="","",IF(C838="Tournament",INDEX('Tournament Log'!$J:$J,E838),IF(C838="Guest",IF(INDEX('Guest Log'!$I:$I,Q838)="",1000,INDEX('Guest Log'!$I:$I,Q838)),IFERROR(LOOKUP(2,1/(($F$1:F837=G838)+($G$1:G837=G838)),IF($F$1:F837=G838,$N$1:N837,$O$1:O837)),1000))))</f>
        <v/>
      </c>
      <c r="J838" s="40" t="str">
        <f t="shared" si="66"/>
        <v/>
      </c>
      <c r="K838" s="12" t="str">
        <f>IF(C838="","",IF(C838="Match",IF(INDEX('Match Log'!$D:$D,D838)="Win",1,IF(INDEX('Match Log'!$D:$D,D838)="Draw",0.5,0)),IF(C838="Tournament",INDEX('Tournament Log'!$K:$K,E838),IF(INDEX('Guest Log'!$C:$C,Q838)="Win",1,IF(INDEX('Guest Log'!$C:$C,Q838)="Draw",0.5,0)))))</f>
        <v/>
      </c>
      <c r="L838" s="12" t="str">
        <f>IF(C838="","",IF(C838="Match",32,IF(C838="Tournament",MIN(32*INDEX('Tournament Log'!$D:$D,E838),96),32)))</f>
        <v/>
      </c>
      <c r="M838" s="12" t="str">
        <f t="shared" si="67"/>
        <v/>
      </c>
      <c r="N838" s="12" t="str">
        <f t="shared" si="68"/>
        <v/>
      </c>
      <c r="O838" s="12" t="str">
        <f t="shared" si="69"/>
        <v/>
      </c>
      <c r="P838" s="12" t="str">
        <f>IF(C838="Tournament",INDEX('Tournament Log'!$B:$B,E838),IF(C838="Guest","Guest: "&amp;INDEX('Guest Log'!$H:$H,Q838),""))</f>
        <v/>
      </c>
      <c r="Q838" t="str">
        <f>IFERROR(MATCH($A838,'Guest Log'!$L$4:$L$203,0)+3,"")</f>
        <v/>
      </c>
    </row>
    <row r="839" spans="1:17" ht="15" customHeight="1" x14ac:dyDescent="0.2">
      <c r="A839" s="40">
        <f>838</f>
        <v>838</v>
      </c>
      <c r="B839" s="40" t="str">
        <f>IF(C839="","",IF(C839="Match",INDEX('Match Log'!$A:$A,D839),IF(C839="Tournament",INDEX('Tournament Log'!$A:$A,E839),INDEX('Guest Log'!$A:$A,Q839))))</f>
        <v/>
      </c>
      <c r="C839" s="40" t="str">
        <f t="shared" si="65"/>
        <v/>
      </c>
      <c r="D839" s="41" t="str">
        <f>IFERROR(MATCH($A839,'Match Log'!$K$3:$K$501,0)+2,"")</f>
        <v/>
      </c>
      <c r="E839" s="41" t="str">
        <f>IFERROR(MATCH($A839,'Tournament Log'!$O$4:$O$203,0)+3,"")</f>
        <v/>
      </c>
      <c r="F839" s="40" t="str">
        <f>IF(C839="","",IF(C839="Match",INDEX('Match Log'!$B:$B,D839),IF(C839="Tournament",INDEX('Tournament Log'!$C:$C,E839),INDEX('Guest Log'!$B:$B,Q839))))</f>
        <v/>
      </c>
      <c r="G839" s="40" t="str">
        <f>IF(C839="","",IF(C839="Match",INDEX('Match Log'!$C:$C,D839),IF(C839="Tournament",INDEX('Tournament Log'!$B:$B,E839)&amp;" (Phantom)",INDEX('Guest Log'!$H:$H,Q839)&amp;" (Guest)")))</f>
        <v/>
      </c>
      <c r="H839" s="40" t="str">
        <f t="array" ref="H839">IF(C839="","",IFERROR(LOOKUP(2,1/(($F$1:F838=F839)+($G$1:G838=F839)),IF($F$1:F838=F839,$N$1:N838,$O$1:O838)),1000))</f>
        <v/>
      </c>
      <c r="I839" s="40" t="str">
        <f t="array" ref="I839">IF(C839="","",IF(C839="Tournament",INDEX('Tournament Log'!$J:$J,E839),IF(C839="Guest",IF(INDEX('Guest Log'!$I:$I,Q839)="",1000,INDEX('Guest Log'!$I:$I,Q839)),IFERROR(LOOKUP(2,1/(($F$1:F838=G839)+($G$1:G838=G839)),IF($F$1:F838=G839,$N$1:N838,$O$1:O838)),1000))))</f>
        <v/>
      </c>
      <c r="J839" s="40" t="str">
        <f t="shared" si="66"/>
        <v/>
      </c>
      <c r="K839" s="12" t="str">
        <f>IF(C839="","",IF(C839="Match",IF(INDEX('Match Log'!$D:$D,D839)="Win",1,IF(INDEX('Match Log'!$D:$D,D839)="Draw",0.5,0)),IF(C839="Tournament",INDEX('Tournament Log'!$K:$K,E839),IF(INDEX('Guest Log'!$C:$C,Q839)="Win",1,IF(INDEX('Guest Log'!$C:$C,Q839)="Draw",0.5,0)))))</f>
        <v/>
      </c>
      <c r="L839" s="12" t="str">
        <f>IF(C839="","",IF(C839="Match",32,IF(C839="Tournament",MIN(32*INDEX('Tournament Log'!$D:$D,E839),96),32)))</f>
        <v/>
      </c>
      <c r="M839" s="12" t="str">
        <f t="shared" si="67"/>
        <v/>
      </c>
      <c r="N839" s="12" t="str">
        <f t="shared" si="68"/>
        <v/>
      </c>
      <c r="O839" s="12" t="str">
        <f t="shared" si="69"/>
        <v/>
      </c>
      <c r="P839" s="12" t="str">
        <f>IF(C839="Tournament",INDEX('Tournament Log'!$B:$B,E839),IF(C839="Guest","Guest: "&amp;INDEX('Guest Log'!$H:$H,Q839),""))</f>
        <v/>
      </c>
      <c r="Q839" t="str">
        <f>IFERROR(MATCH($A839,'Guest Log'!$L$4:$L$203,0)+3,"")</f>
        <v/>
      </c>
    </row>
    <row r="840" spans="1:17" ht="15" customHeight="1" x14ac:dyDescent="0.2">
      <c r="A840" s="40">
        <f>839</f>
        <v>839</v>
      </c>
      <c r="B840" s="40" t="str">
        <f>IF(C840="","",IF(C840="Match",INDEX('Match Log'!$A:$A,D840),IF(C840="Tournament",INDEX('Tournament Log'!$A:$A,E840),INDEX('Guest Log'!$A:$A,Q840))))</f>
        <v/>
      </c>
      <c r="C840" s="40" t="str">
        <f t="shared" si="65"/>
        <v/>
      </c>
      <c r="D840" s="41" t="str">
        <f>IFERROR(MATCH($A840,'Match Log'!$K$3:$K$501,0)+2,"")</f>
        <v/>
      </c>
      <c r="E840" s="41" t="str">
        <f>IFERROR(MATCH($A840,'Tournament Log'!$O$4:$O$203,0)+3,"")</f>
        <v/>
      </c>
      <c r="F840" s="40" t="str">
        <f>IF(C840="","",IF(C840="Match",INDEX('Match Log'!$B:$B,D840),IF(C840="Tournament",INDEX('Tournament Log'!$C:$C,E840),INDEX('Guest Log'!$B:$B,Q840))))</f>
        <v/>
      </c>
      <c r="G840" s="40" t="str">
        <f>IF(C840="","",IF(C840="Match",INDEX('Match Log'!$C:$C,D840),IF(C840="Tournament",INDEX('Tournament Log'!$B:$B,E840)&amp;" (Phantom)",INDEX('Guest Log'!$H:$H,Q840)&amp;" (Guest)")))</f>
        <v/>
      </c>
      <c r="H840" s="40" t="str">
        <f t="array" ref="H840">IF(C840="","",IFERROR(LOOKUP(2,1/(($F$1:F839=F840)+($G$1:G839=F840)),IF($F$1:F839=F840,$N$1:N839,$O$1:O839)),1000))</f>
        <v/>
      </c>
      <c r="I840" s="40" t="str">
        <f t="array" ref="I840">IF(C840="","",IF(C840="Tournament",INDEX('Tournament Log'!$J:$J,E840),IF(C840="Guest",IF(INDEX('Guest Log'!$I:$I,Q840)="",1000,INDEX('Guest Log'!$I:$I,Q840)),IFERROR(LOOKUP(2,1/(($F$1:F839=G840)+($G$1:G839=G840)),IF($F$1:F839=G840,$N$1:N839,$O$1:O839)),1000))))</f>
        <v/>
      </c>
      <c r="J840" s="40" t="str">
        <f t="shared" si="66"/>
        <v/>
      </c>
      <c r="K840" s="12" t="str">
        <f>IF(C840="","",IF(C840="Match",IF(INDEX('Match Log'!$D:$D,D840)="Win",1,IF(INDEX('Match Log'!$D:$D,D840)="Draw",0.5,0)),IF(C840="Tournament",INDEX('Tournament Log'!$K:$K,E840),IF(INDEX('Guest Log'!$C:$C,Q840)="Win",1,IF(INDEX('Guest Log'!$C:$C,Q840)="Draw",0.5,0)))))</f>
        <v/>
      </c>
      <c r="L840" s="12" t="str">
        <f>IF(C840="","",IF(C840="Match",32,IF(C840="Tournament",MIN(32*INDEX('Tournament Log'!$D:$D,E840),96),32)))</f>
        <v/>
      </c>
      <c r="M840" s="12" t="str">
        <f t="shared" si="67"/>
        <v/>
      </c>
      <c r="N840" s="12" t="str">
        <f t="shared" si="68"/>
        <v/>
      </c>
      <c r="O840" s="12" t="str">
        <f t="shared" si="69"/>
        <v/>
      </c>
      <c r="P840" s="12" t="str">
        <f>IF(C840="Tournament",INDEX('Tournament Log'!$B:$B,E840),IF(C840="Guest","Guest: "&amp;INDEX('Guest Log'!$H:$H,Q840),""))</f>
        <v/>
      </c>
      <c r="Q840" t="str">
        <f>IFERROR(MATCH($A840,'Guest Log'!$L$4:$L$203,0)+3,"")</f>
        <v/>
      </c>
    </row>
    <row r="841" spans="1:17" ht="15" customHeight="1" x14ac:dyDescent="0.2">
      <c r="A841" s="40">
        <f>840</f>
        <v>840</v>
      </c>
      <c r="B841" s="40" t="str">
        <f>IF(C841="","",IF(C841="Match",INDEX('Match Log'!$A:$A,D841),IF(C841="Tournament",INDEX('Tournament Log'!$A:$A,E841),INDEX('Guest Log'!$A:$A,Q841))))</f>
        <v/>
      </c>
      <c r="C841" s="40" t="str">
        <f t="shared" si="65"/>
        <v/>
      </c>
      <c r="D841" s="41" t="str">
        <f>IFERROR(MATCH($A841,'Match Log'!$K$3:$K$501,0)+2,"")</f>
        <v/>
      </c>
      <c r="E841" s="41" t="str">
        <f>IFERROR(MATCH($A841,'Tournament Log'!$O$4:$O$203,0)+3,"")</f>
        <v/>
      </c>
      <c r="F841" s="40" t="str">
        <f>IF(C841="","",IF(C841="Match",INDEX('Match Log'!$B:$B,D841),IF(C841="Tournament",INDEX('Tournament Log'!$C:$C,E841),INDEX('Guest Log'!$B:$B,Q841))))</f>
        <v/>
      </c>
      <c r="G841" s="40" t="str">
        <f>IF(C841="","",IF(C841="Match",INDEX('Match Log'!$C:$C,D841),IF(C841="Tournament",INDEX('Tournament Log'!$B:$B,E841)&amp;" (Phantom)",INDEX('Guest Log'!$H:$H,Q841)&amp;" (Guest)")))</f>
        <v/>
      </c>
      <c r="H841" s="40" t="str">
        <f t="array" ref="H841">IF(C841="","",IFERROR(LOOKUP(2,1/(($F$1:F840=F841)+($G$1:G840=F841)),IF($F$1:F840=F841,$N$1:N840,$O$1:O840)),1000))</f>
        <v/>
      </c>
      <c r="I841" s="40" t="str">
        <f t="array" ref="I841">IF(C841="","",IF(C841="Tournament",INDEX('Tournament Log'!$J:$J,E841),IF(C841="Guest",IF(INDEX('Guest Log'!$I:$I,Q841)="",1000,INDEX('Guest Log'!$I:$I,Q841)),IFERROR(LOOKUP(2,1/(($F$1:F840=G841)+($G$1:G840=G841)),IF($F$1:F840=G841,$N$1:N840,$O$1:O840)),1000))))</f>
        <v/>
      </c>
      <c r="J841" s="40" t="str">
        <f t="shared" si="66"/>
        <v/>
      </c>
      <c r="K841" s="12" t="str">
        <f>IF(C841="","",IF(C841="Match",IF(INDEX('Match Log'!$D:$D,D841)="Win",1,IF(INDEX('Match Log'!$D:$D,D841)="Draw",0.5,0)),IF(C841="Tournament",INDEX('Tournament Log'!$K:$K,E841),IF(INDEX('Guest Log'!$C:$C,Q841)="Win",1,IF(INDEX('Guest Log'!$C:$C,Q841)="Draw",0.5,0)))))</f>
        <v/>
      </c>
      <c r="L841" s="12" t="str">
        <f>IF(C841="","",IF(C841="Match",32,IF(C841="Tournament",MIN(32*INDEX('Tournament Log'!$D:$D,E841),96),32)))</f>
        <v/>
      </c>
      <c r="M841" s="12" t="str">
        <f t="shared" si="67"/>
        <v/>
      </c>
      <c r="N841" s="12" t="str">
        <f t="shared" si="68"/>
        <v/>
      </c>
      <c r="O841" s="12" t="str">
        <f t="shared" si="69"/>
        <v/>
      </c>
      <c r="P841" s="12" t="str">
        <f>IF(C841="Tournament",INDEX('Tournament Log'!$B:$B,E841),IF(C841="Guest","Guest: "&amp;INDEX('Guest Log'!$H:$H,Q841),""))</f>
        <v/>
      </c>
      <c r="Q841" t="str">
        <f>IFERROR(MATCH($A841,'Guest Log'!$L$4:$L$203,0)+3,"")</f>
        <v/>
      </c>
    </row>
    <row r="842" spans="1:17" ht="15" customHeight="1" x14ac:dyDescent="0.2">
      <c r="A842" s="40">
        <f>841</f>
        <v>841</v>
      </c>
      <c r="B842" s="40" t="str">
        <f>IF(C842="","",IF(C842="Match",INDEX('Match Log'!$A:$A,D842),IF(C842="Tournament",INDEX('Tournament Log'!$A:$A,E842),INDEX('Guest Log'!$A:$A,Q842))))</f>
        <v/>
      </c>
      <c r="C842" s="40" t="str">
        <f t="shared" si="65"/>
        <v/>
      </c>
      <c r="D842" s="41" t="str">
        <f>IFERROR(MATCH($A842,'Match Log'!$K$3:$K$501,0)+2,"")</f>
        <v/>
      </c>
      <c r="E842" s="41" t="str">
        <f>IFERROR(MATCH($A842,'Tournament Log'!$O$4:$O$203,0)+3,"")</f>
        <v/>
      </c>
      <c r="F842" s="40" t="str">
        <f>IF(C842="","",IF(C842="Match",INDEX('Match Log'!$B:$B,D842),IF(C842="Tournament",INDEX('Tournament Log'!$C:$C,E842),INDEX('Guest Log'!$B:$B,Q842))))</f>
        <v/>
      </c>
      <c r="G842" s="40" t="str">
        <f>IF(C842="","",IF(C842="Match",INDEX('Match Log'!$C:$C,D842),IF(C842="Tournament",INDEX('Tournament Log'!$B:$B,E842)&amp;" (Phantom)",INDEX('Guest Log'!$H:$H,Q842)&amp;" (Guest)")))</f>
        <v/>
      </c>
      <c r="H842" s="40" t="str">
        <f t="array" ref="H842">IF(C842="","",IFERROR(LOOKUP(2,1/(($F$1:F841=F842)+($G$1:G841=F842)),IF($F$1:F841=F842,$N$1:N841,$O$1:O841)),1000))</f>
        <v/>
      </c>
      <c r="I842" s="40" t="str">
        <f t="array" ref="I842">IF(C842="","",IF(C842="Tournament",INDEX('Tournament Log'!$J:$J,E842),IF(C842="Guest",IF(INDEX('Guest Log'!$I:$I,Q842)="",1000,INDEX('Guest Log'!$I:$I,Q842)),IFERROR(LOOKUP(2,1/(($F$1:F841=G842)+($G$1:G841=G842)),IF($F$1:F841=G842,$N$1:N841,$O$1:O841)),1000))))</f>
        <v/>
      </c>
      <c r="J842" s="40" t="str">
        <f t="shared" si="66"/>
        <v/>
      </c>
      <c r="K842" s="12" t="str">
        <f>IF(C842="","",IF(C842="Match",IF(INDEX('Match Log'!$D:$D,D842)="Win",1,IF(INDEX('Match Log'!$D:$D,D842)="Draw",0.5,0)),IF(C842="Tournament",INDEX('Tournament Log'!$K:$K,E842),IF(INDEX('Guest Log'!$C:$C,Q842)="Win",1,IF(INDEX('Guest Log'!$C:$C,Q842)="Draw",0.5,0)))))</f>
        <v/>
      </c>
      <c r="L842" s="12" t="str">
        <f>IF(C842="","",IF(C842="Match",32,IF(C842="Tournament",MIN(32*INDEX('Tournament Log'!$D:$D,E842),96),32)))</f>
        <v/>
      </c>
      <c r="M842" s="12" t="str">
        <f t="shared" si="67"/>
        <v/>
      </c>
      <c r="N842" s="12" t="str">
        <f t="shared" si="68"/>
        <v/>
      </c>
      <c r="O842" s="12" t="str">
        <f t="shared" si="69"/>
        <v/>
      </c>
      <c r="P842" s="12" t="str">
        <f>IF(C842="Tournament",INDEX('Tournament Log'!$B:$B,E842),IF(C842="Guest","Guest: "&amp;INDEX('Guest Log'!$H:$H,Q842),""))</f>
        <v/>
      </c>
      <c r="Q842" t="str">
        <f>IFERROR(MATCH($A842,'Guest Log'!$L$4:$L$203,0)+3,"")</f>
        <v/>
      </c>
    </row>
    <row r="843" spans="1:17" ht="15" customHeight="1" x14ac:dyDescent="0.2">
      <c r="A843" s="40">
        <f>842</f>
        <v>842</v>
      </c>
      <c r="B843" s="40" t="str">
        <f>IF(C843="","",IF(C843="Match",INDEX('Match Log'!$A:$A,D843),IF(C843="Tournament",INDEX('Tournament Log'!$A:$A,E843),INDEX('Guest Log'!$A:$A,Q843))))</f>
        <v/>
      </c>
      <c r="C843" s="40" t="str">
        <f t="shared" si="65"/>
        <v/>
      </c>
      <c r="D843" s="41" t="str">
        <f>IFERROR(MATCH($A843,'Match Log'!$K$3:$K$501,0)+2,"")</f>
        <v/>
      </c>
      <c r="E843" s="41" t="str">
        <f>IFERROR(MATCH($A843,'Tournament Log'!$O$4:$O$203,0)+3,"")</f>
        <v/>
      </c>
      <c r="F843" s="40" t="str">
        <f>IF(C843="","",IF(C843="Match",INDEX('Match Log'!$B:$B,D843),IF(C843="Tournament",INDEX('Tournament Log'!$C:$C,E843),INDEX('Guest Log'!$B:$B,Q843))))</f>
        <v/>
      </c>
      <c r="G843" s="40" t="str">
        <f>IF(C843="","",IF(C843="Match",INDEX('Match Log'!$C:$C,D843),IF(C843="Tournament",INDEX('Tournament Log'!$B:$B,E843)&amp;" (Phantom)",INDEX('Guest Log'!$H:$H,Q843)&amp;" (Guest)")))</f>
        <v/>
      </c>
      <c r="H843" s="40" t="str">
        <f t="array" ref="H843">IF(C843="","",IFERROR(LOOKUP(2,1/(($F$1:F842=F843)+($G$1:G842=F843)),IF($F$1:F842=F843,$N$1:N842,$O$1:O842)),1000))</f>
        <v/>
      </c>
      <c r="I843" s="40" t="str">
        <f t="array" ref="I843">IF(C843="","",IF(C843="Tournament",INDEX('Tournament Log'!$J:$J,E843),IF(C843="Guest",IF(INDEX('Guest Log'!$I:$I,Q843)="",1000,INDEX('Guest Log'!$I:$I,Q843)),IFERROR(LOOKUP(2,1/(($F$1:F842=G843)+($G$1:G842=G843)),IF($F$1:F842=G843,$N$1:N842,$O$1:O842)),1000))))</f>
        <v/>
      </c>
      <c r="J843" s="40" t="str">
        <f t="shared" si="66"/>
        <v/>
      </c>
      <c r="K843" s="12" t="str">
        <f>IF(C843="","",IF(C843="Match",IF(INDEX('Match Log'!$D:$D,D843)="Win",1,IF(INDEX('Match Log'!$D:$D,D843)="Draw",0.5,0)),IF(C843="Tournament",INDEX('Tournament Log'!$K:$K,E843),IF(INDEX('Guest Log'!$C:$C,Q843)="Win",1,IF(INDEX('Guest Log'!$C:$C,Q843)="Draw",0.5,0)))))</f>
        <v/>
      </c>
      <c r="L843" s="12" t="str">
        <f>IF(C843="","",IF(C843="Match",32,IF(C843="Tournament",MIN(32*INDEX('Tournament Log'!$D:$D,E843),96),32)))</f>
        <v/>
      </c>
      <c r="M843" s="12" t="str">
        <f t="shared" si="67"/>
        <v/>
      </c>
      <c r="N843" s="12" t="str">
        <f t="shared" si="68"/>
        <v/>
      </c>
      <c r="O843" s="12" t="str">
        <f t="shared" si="69"/>
        <v/>
      </c>
      <c r="P843" s="12" t="str">
        <f>IF(C843="Tournament",INDEX('Tournament Log'!$B:$B,E843),IF(C843="Guest","Guest: "&amp;INDEX('Guest Log'!$H:$H,Q843),""))</f>
        <v/>
      </c>
      <c r="Q843" t="str">
        <f>IFERROR(MATCH($A843,'Guest Log'!$L$4:$L$203,0)+3,"")</f>
        <v/>
      </c>
    </row>
    <row r="844" spans="1:17" ht="15" customHeight="1" x14ac:dyDescent="0.2">
      <c r="A844" s="40">
        <f>843</f>
        <v>843</v>
      </c>
      <c r="B844" s="40" t="str">
        <f>IF(C844="","",IF(C844="Match",INDEX('Match Log'!$A:$A,D844),IF(C844="Tournament",INDEX('Tournament Log'!$A:$A,E844),INDEX('Guest Log'!$A:$A,Q844))))</f>
        <v/>
      </c>
      <c r="C844" s="40" t="str">
        <f t="shared" si="65"/>
        <v/>
      </c>
      <c r="D844" s="41" t="str">
        <f>IFERROR(MATCH($A844,'Match Log'!$K$3:$K$501,0)+2,"")</f>
        <v/>
      </c>
      <c r="E844" s="41" t="str">
        <f>IFERROR(MATCH($A844,'Tournament Log'!$O$4:$O$203,0)+3,"")</f>
        <v/>
      </c>
      <c r="F844" s="40" t="str">
        <f>IF(C844="","",IF(C844="Match",INDEX('Match Log'!$B:$B,D844),IF(C844="Tournament",INDEX('Tournament Log'!$C:$C,E844),INDEX('Guest Log'!$B:$B,Q844))))</f>
        <v/>
      </c>
      <c r="G844" s="40" t="str">
        <f>IF(C844="","",IF(C844="Match",INDEX('Match Log'!$C:$C,D844),IF(C844="Tournament",INDEX('Tournament Log'!$B:$B,E844)&amp;" (Phantom)",INDEX('Guest Log'!$H:$H,Q844)&amp;" (Guest)")))</f>
        <v/>
      </c>
      <c r="H844" s="40" t="str">
        <f t="array" ref="H844">IF(C844="","",IFERROR(LOOKUP(2,1/(($F$1:F843=F844)+($G$1:G843=F844)),IF($F$1:F843=F844,$N$1:N843,$O$1:O843)),1000))</f>
        <v/>
      </c>
      <c r="I844" s="40" t="str">
        <f t="array" ref="I844">IF(C844="","",IF(C844="Tournament",INDEX('Tournament Log'!$J:$J,E844),IF(C844="Guest",IF(INDEX('Guest Log'!$I:$I,Q844)="",1000,INDEX('Guest Log'!$I:$I,Q844)),IFERROR(LOOKUP(2,1/(($F$1:F843=G844)+($G$1:G843=G844)),IF($F$1:F843=G844,$N$1:N843,$O$1:O843)),1000))))</f>
        <v/>
      </c>
      <c r="J844" s="40" t="str">
        <f t="shared" si="66"/>
        <v/>
      </c>
      <c r="K844" s="12" t="str">
        <f>IF(C844="","",IF(C844="Match",IF(INDEX('Match Log'!$D:$D,D844)="Win",1,IF(INDEX('Match Log'!$D:$D,D844)="Draw",0.5,0)),IF(C844="Tournament",INDEX('Tournament Log'!$K:$K,E844),IF(INDEX('Guest Log'!$C:$C,Q844)="Win",1,IF(INDEX('Guest Log'!$C:$C,Q844)="Draw",0.5,0)))))</f>
        <v/>
      </c>
      <c r="L844" s="12" t="str">
        <f>IF(C844="","",IF(C844="Match",32,IF(C844="Tournament",MIN(32*INDEX('Tournament Log'!$D:$D,E844),96),32)))</f>
        <v/>
      </c>
      <c r="M844" s="12" t="str">
        <f t="shared" si="67"/>
        <v/>
      </c>
      <c r="N844" s="12" t="str">
        <f t="shared" si="68"/>
        <v/>
      </c>
      <c r="O844" s="12" t="str">
        <f t="shared" si="69"/>
        <v/>
      </c>
      <c r="P844" s="12" t="str">
        <f>IF(C844="Tournament",INDEX('Tournament Log'!$B:$B,E844),IF(C844="Guest","Guest: "&amp;INDEX('Guest Log'!$H:$H,Q844),""))</f>
        <v/>
      </c>
      <c r="Q844" t="str">
        <f>IFERROR(MATCH($A844,'Guest Log'!$L$4:$L$203,0)+3,"")</f>
        <v/>
      </c>
    </row>
    <row r="845" spans="1:17" ht="15" customHeight="1" x14ac:dyDescent="0.2">
      <c r="A845" s="40">
        <f>844</f>
        <v>844</v>
      </c>
      <c r="B845" s="40" t="str">
        <f>IF(C845="","",IF(C845="Match",INDEX('Match Log'!$A:$A,D845),IF(C845="Tournament",INDEX('Tournament Log'!$A:$A,E845),INDEX('Guest Log'!$A:$A,Q845))))</f>
        <v/>
      </c>
      <c r="C845" s="40" t="str">
        <f t="shared" si="65"/>
        <v/>
      </c>
      <c r="D845" s="41" t="str">
        <f>IFERROR(MATCH($A845,'Match Log'!$K$3:$K$501,0)+2,"")</f>
        <v/>
      </c>
      <c r="E845" s="41" t="str">
        <f>IFERROR(MATCH($A845,'Tournament Log'!$O$4:$O$203,0)+3,"")</f>
        <v/>
      </c>
      <c r="F845" s="40" t="str">
        <f>IF(C845="","",IF(C845="Match",INDEX('Match Log'!$B:$B,D845),IF(C845="Tournament",INDEX('Tournament Log'!$C:$C,E845),INDEX('Guest Log'!$B:$B,Q845))))</f>
        <v/>
      </c>
      <c r="G845" s="40" t="str">
        <f>IF(C845="","",IF(C845="Match",INDEX('Match Log'!$C:$C,D845),IF(C845="Tournament",INDEX('Tournament Log'!$B:$B,E845)&amp;" (Phantom)",INDEX('Guest Log'!$H:$H,Q845)&amp;" (Guest)")))</f>
        <v/>
      </c>
      <c r="H845" s="40" t="str">
        <f t="array" ref="H845">IF(C845="","",IFERROR(LOOKUP(2,1/(($F$1:F844=F845)+($G$1:G844=F845)),IF($F$1:F844=F845,$N$1:N844,$O$1:O844)),1000))</f>
        <v/>
      </c>
      <c r="I845" s="40" t="str">
        <f t="array" ref="I845">IF(C845="","",IF(C845="Tournament",INDEX('Tournament Log'!$J:$J,E845),IF(C845="Guest",IF(INDEX('Guest Log'!$I:$I,Q845)="",1000,INDEX('Guest Log'!$I:$I,Q845)),IFERROR(LOOKUP(2,1/(($F$1:F844=G845)+($G$1:G844=G845)),IF($F$1:F844=G845,$N$1:N844,$O$1:O844)),1000))))</f>
        <v/>
      </c>
      <c r="J845" s="40" t="str">
        <f t="shared" si="66"/>
        <v/>
      </c>
      <c r="K845" s="12" t="str">
        <f>IF(C845="","",IF(C845="Match",IF(INDEX('Match Log'!$D:$D,D845)="Win",1,IF(INDEX('Match Log'!$D:$D,D845)="Draw",0.5,0)),IF(C845="Tournament",INDEX('Tournament Log'!$K:$K,E845),IF(INDEX('Guest Log'!$C:$C,Q845)="Win",1,IF(INDEX('Guest Log'!$C:$C,Q845)="Draw",0.5,0)))))</f>
        <v/>
      </c>
      <c r="L845" s="12" t="str">
        <f>IF(C845="","",IF(C845="Match",32,IF(C845="Tournament",MIN(32*INDEX('Tournament Log'!$D:$D,E845),96),32)))</f>
        <v/>
      </c>
      <c r="M845" s="12" t="str">
        <f t="shared" si="67"/>
        <v/>
      </c>
      <c r="N845" s="12" t="str">
        <f t="shared" si="68"/>
        <v/>
      </c>
      <c r="O845" s="12" t="str">
        <f t="shared" si="69"/>
        <v/>
      </c>
      <c r="P845" s="12" t="str">
        <f>IF(C845="Tournament",INDEX('Tournament Log'!$B:$B,E845),IF(C845="Guest","Guest: "&amp;INDEX('Guest Log'!$H:$H,Q845),""))</f>
        <v/>
      </c>
      <c r="Q845" t="str">
        <f>IFERROR(MATCH($A845,'Guest Log'!$L$4:$L$203,0)+3,"")</f>
        <v/>
      </c>
    </row>
    <row r="846" spans="1:17" ht="15" customHeight="1" x14ac:dyDescent="0.2">
      <c r="A846" s="40">
        <f>845</f>
        <v>845</v>
      </c>
      <c r="B846" s="40" t="str">
        <f>IF(C846="","",IF(C846="Match",INDEX('Match Log'!$A:$A,D846),IF(C846="Tournament",INDEX('Tournament Log'!$A:$A,E846),INDEX('Guest Log'!$A:$A,Q846))))</f>
        <v/>
      </c>
      <c r="C846" s="40" t="str">
        <f t="shared" si="65"/>
        <v/>
      </c>
      <c r="D846" s="41" t="str">
        <f>IFERROR(MATCH($A846,'Match Log'!$K$3:$K$501,0)+2,"")</f>
        <v/>
      </c>
      <c r="E846" s="41" t="str">
        <f>IFERROR(MATCH($A846,'Tournament Log'!$O$4:$O$203,0)+3,"")</f>
        <v/>
      </c>
      <c r="F846" s="40" t="str">
        <f>IF(C846="","",IF(C846="Match",INDEX('Match Log'!$B:$B,D846),IF(C846="Tournament",INDEX('Tournament Log'!$C:$C,E846),INDEX('Guest Log'!$B:$B,Q846))))</f>
        <v/>
      </c>
      <c r="G846" s="40" t="str">
        <f>IF(C846="","",IF(C846="Match",INDEX('Match Log'!$C:$C,D846),IF(C846="Tournament",INDEX('Tournament Log'!$B:$B,E846)&amp;" (Phantom)",INDEX('Guest Log'!$H:$H,Q846)&amp;" (Guest)")))</f>
        <v/>
      </c>
      <c r="H846" s="40" t="str">
        <f t="array" ref="H846">IF(C846="","",IFERROR(LOOKUP(2,1/(($F$1:F845=F846)+($G$1:G845=F846)),IF($F$1:F845=F846,$N$1:N845,$O$1:O845)),1000))</f>
        <v/>
      </c>
      <c r="I846" s="40" t="str">
        <f t="array" ref="I846">IF(C846="","",IF(C846="Tournament",INDEX('Tournament Log'!$J:$J,E846),IF(C846="Guest",IF(INDEX('Guest Log'!$I:$I,Q846)="",1000,INDEX('Guest Log'!$I:$I,Q846)),IFERROR(LOOKUP(2,1/(($F$1:F845=G846)+($G$1:G845=G846)),IF($F$1:F845=G846,$N$1:N845,$O$1:O845)),1000))))</f>
        <v/>
      </c>
      <c r="J846" s="40" t="str">
        <f t="shared" si="66"/>
        <v/>
      </c>
      <c r="K846" s="12" t="str">
        <f>IF(C846="","",IF(C846="Match",IF(INDEX('Match Log'!$D:$D,D846)="Win",1,IF(INDEX('Match Log'!$D:$D,D846)="Draw",0.5,0)),IF(C846="Tournament",INDEX('Tournament Log'!$K:$K,E846),IF(INDEX('Guest Log'!$C:$C,Q846)="Win",1,IF(INDEX('Guest Log'!$C:$C,Q846)="Draw",0.5,0)))))</f>
        <v/>
      </c>
      <c r="L846" s="12" t="str">
        <f>IF(C846="","",IF(C846="Match",32,IF(C846="Tournament",MIN(32*INDEX('Tournament Log'!$D:$D,E846),96),32)))</f>
        <v/>
      </c>
      <c r="M846" s="12" t="str">
        <f t="shared" si="67"/>
        <v/>
      </c>
      <c r="N846" s="12" t="str">
        <f t="shared" si="68"/>
        <v/>
      </c>
      <c r="O846" s="12" t="str">
        <f t="shared" si="69"/>
        <v/>
      </c>
      <c r="P846" s="12" t="str">
        <f>IF(C846="Tournament",INDEX('Tournament Log'!$B:$B,E846),IF(C846="Guest","Guest: "&amp;INDEX('Guest Log'!$H:$H,Q846),""))</f>
        <v/>
      </c>
      <c r="Q846" t="str">
        <f>IFERROR(MATCH($A846,'Guest Log'!$L$4:$L$203,0)+3,"")</f>
        <v/>
      </c>
    </row>
    <row r="847" spans="1:17" ht="15" customHeight="1" x14ac:dyDescent="0.2">
      <c r="A847" s="40">
        <f>846</f>
        <v>846</v>
      </c>
      <c r="B847" s="40" t="str">
        <f>IF(C847="","",IF(C847="Match",INDEX('Match Log'!$A:$A,D847),IF(C847="Tournament",INDEX('Tournament Log'!$A:$A,E847),INDEX('Guest Log'!$A:$A,Q847))))</f>
        <v/>
      </c>
      <c r="C847" s="40" t="str">
        <f t="shared" si="65"/>
        <v/>
      </c>
      <c r="D847" s="41" t="str">
        <f>IFERROR(MATCH($A847,'Match Log'!$K$3:$K$501,0)+2,"")</f>
        <v/>
      </c>
      <c r="E847" s="41" t="str">
        <f>IFERROR(MATCH($A847,'Tournament Log'!$O$4:$O$203,0)+3,"")</f>
        <v/>
      </c>
      <c r="F847" s="40" t="str">
        <f>IF(C847="","",IF(C847="Match",INDEX('Match Log'!$B:$B,D847),IF(C847="Tournament",INDEX('Tournament Log'!$C:$C,E847),INDEX('Guest Log'!$B:$B,Q847))))</f>
        <v/>
      </c>
      <c r="G847" s="40" t="str">
        <f>IF(C847="","",IF(C847="Match",INDEX('Match Log'!$C:$C,D847),IF(C847="Tournament",INDEX('Tournament Log'!$B:$B,E847)&amp;" (Phantom)",INDEX('Guest Log'!$H:$H,Q847)&amp;" (Guest)")))</f>
        <v/>
      </c>
      <c r="H847" s="40" t="str">
        <f t="array" ref="H847">IF(C847="","",IFERROR(LOOKUP(2,1/(($F$1:F846=F847)+($G$1:G846=F847)),IF($F$1:F846=F847,$N$1:N846,$O$1:O846)),1000))</f>
        <v/>
      </c>
      <c r="I847" s="40" t="str">
        <f t="array" ref="I847">IF(C847="","",IF(C847="Tournament",INDEX('Tournament Log'!$J:$J,E847),IF(C847="Guest",IF(INDEX('Guest Log'!$I:$I,Q847)="",1000,INDEX('Guest Log'!$I:$I,Q847)),IFERROR(LOOKUP(2,1/(($F$1:F846=G847)+($G$1:G846=G847)),IF($F$1:F846=G847,$N$1:N846,$O$1:O846)),1000))))</f>
        <v/>
      </c>
      <c r="J847" s="40" t="str">
        <f t="shared" si="66"/>
        <v/>
      </c>
      <c r="K847" s="12" t="str">
        <f>IF(C847="","",IF(C847="Match",IF(INDEX('Match Log'!$D:$D,D847)="Win",1,IF(INDEX('Match Log'!$D:$D,D847)="Draw",0.5,0)),IF(C847="Tournament",INDEX('Tournament Log'!$K:$K,E847),IF(INDEX('Guest Log'!$C:$C,Q847)="Win",1,IF(INDEX('Guest Log'!$C:$C,Q847)="Draw",0.5,0)))))</f>
        <v/>
      </c>
      <c r="L847" s="12" t="str">
        <f>IF(C847="","",IF(C847="Match",32,IF(C847="Tournament",MIN(32*INDEX('Tournament Log'!$D:$D,E847),96),32)))</f>
        <v/>
      </c>
      <c r="M847" s="12" t="str">
        <f t="shared" si="67"/>
        <v/>
      </c>
      <c r="N847" s="12" t="str">
        <f t="shared" si="68"/>
        <v/>
      </c>
      <c r="O847" s="12" t="str">
        <f t="shared" si="69"/>
        <v/>
      </c>
      <c r="P847" s="12" t="str">
        <f>IF(C847="Tournament",INDEX('Tournament Log'!$B:$B,E847),IF(C847="Guest","Guest: "&amp;INDEX('Guest Log'!$H:$H,Q847),""))</f>
        <v/>
      </c>
      <c r="Q847" t="str">
        <f>IFERROR(MATCH($A847,'Guest Log'!$L$4:$L$203,0)+3,"")</f>
        <v/>
      </c>
    </row>
    <row r="848" spans="1:17" ht="15" customHeight="1" x14ac:dyDescent="0.2">
      <c r="A848" s="40">
        <f>847</f>
        <v>847</v>
      </c>
      <c r="B848" s="40" t="str">
        <f>IF(C848="","",IF(C848="Match",INDEX('Match Log'!$A:$A,D848),IF(C848="Tournament",INDEX('Tournament Log'!$A:$A,E848),INDEX('Guest Log'!$A:$A,Q848))))</f>
        <v/>
      </c>
      <c r="C848" s="40" t="str">
        <f t="shared" si="65"/>
        <v/>
      </c>
      <c r="D848" s="41" t="str">
        <f>IFERROR(MATCH($A848,'Match Log'!$K$3:$K$501,0)+2,"")</f>
        <v/>
      </c>
      <c r="E848" s="41" t="str">
        <f>IFERROR(MATCH($A848,'Tournament Log'!$O$4:$O$203,0)+3,"")</f>
        <v/>
      </c>
      <c r="F848" s="40" t="str">
        <f>IF(C848="","",IF(C848="Match",INDEX('Match Log'!$B:$B,D848),IF(C848="Tournament",INDEX('Tournament Log'!$C:$C,E848),INDEX('Guest Log'!$B:$B,Q848))))</f>
        <v/>
      </c>
      <c r="G848" s="40" t="str">
        <f>IF(C848="","",IF(C848="Match",INDEX('Match Log'!$C:$C,D848),IF(C848="Tournament",INDEX('Tournament Log'!$B:$B,E848)&amp;" (Phantom)",INDEX('Guest Log'!$H:$H,Q848)&amp;" (Guest)")))</f>
        <v/>
      </c>
      <c r="H848" s="40" t="str">
        <f t="array" ref="H848">IF(C848="","",IFERROR(LOOKUP(2,1/(($F$1:F847=F848)+($G$1:G847=F848)),IF($F$1:F847=F848,$N$1:N847,$O$1:O847)),1000))</f>
        <v/>
      </c>
      <c r="I848" s="40" t="str">
        <f t="array" ref="I848">IF(C848="","",IF(C848="Tournament",INDEX('Tournament Log'!$J:$J,E848),IF(C848="Guest",IF(INDEX('Guest Log'!$I:$I,Q848)="",1000,INDEX('Guest Log'!$I:$I,Q848)),IFERROR(LOOKUP(2,1/(($F$1:F847=G848)+($G$1:G847=G848)),IF($F$1:F847=G848,$N$1:N847,$O$1:O847)),1000))))</f>
        <v/>
      </c>
      <c r="J848" s="40" t="str">
        <f t="shared" si="66"/>
        <v/>
      </c>
      <c r="K848" s="12" t="str">
        <f>IF(C848="","",IF(C848="Match",IF(INDEX('Match Log'!$D:$D,D848)="Win",1,IF(INDEX('Match Log'!$D:$D,D848)="Draw",0.5,0)),IF(C848="Tournament",INDEX('Tournament Log'!$K:$K,E848),IF(INDEX('Guest Log'!$C:$C,Q848)="Win",1,IF(INDEX('Guest Log'!$C:$C,Q848)="Draw",0.5,0)))))</f>
        <v/>
      </c>
      <c r="L848" s="12" t="str">
        <f>IF(C848="","",IF(C848="Match",32,IF(C848="Tournament",MIN(32*INDEX('Tournament Log'!$D:$D,E848),96),32)))</f>
        <v/>
      </c>
      <c r="M848" s="12" t="str">
        <f t="shared" si="67"/>
        <v/>
      </c>
      <c r="N848" s="12" t="str">
        <f t="shared" si="68"/>
        <v/>
      </c>
      <c r="O848" s="12" t="str">
        <f t="shared" si="69"/>
        <v/>
      </c>
      <c r="P848" s="12" t="str">
        <f>IF(C848="Tournament",INDEX('Tournament Log'!$B:$B,E848),IF(C848="Guest","Guest: "&amp;INDEX('Guest Log'!$H:$H,Q848),""))</f>
        <v/>
      </c>
      <c r="Q848" t="str">
        <f>IFERROR(MATCH($A848,'Guest Log'!$L$4:$L$203,0)+3,"")</f>
        <v/>
      </c>
    </row>
    <row r="849" spans="1:17" ht="15" customHeight="1" x14ac:dyDescent="0.2">
      <c r="A849" s="40">
        <f>848</f>
        <v>848</v>
      </c>
      <c r="B849" s="40" t="str">
        <f>IF(C849="","",IF(C849="Match",INDEX('Match Log'!$A:$A,D849),IF(C849="Tournament",INDEX('Tournament Log'!$A:$A,E849),INDEX('Guest Log'!$A:$A,Q849))))</f>
        <v/>
      </c>
      <c r="C849" s="40" t="str">
        <f t="shared" si="65"/>
        <v/>
      </c>
      <c r="D849" s="41" t="str">
        <f>IFERROR(MATCH($A849,'Match Log'!$K$3:$K$501,0)+2,"")</f>
        <v/>
      </c>
      <c r="E849" s="41" t="str">
        <f>IFERROR(MATCH($A849,'Tournament Log'!$O$4:$O$203,0)+3,"")</f>
        <v/>
      </c>
      <c r="F849" s="40" t="str">
        <f>IF(C849="","",IF(C849="Match",INDEX('Match Log'!$B:$B,D849),IF(C849="Tournament",INDEX('Tournament Log'!$C:$C,E849),INDEX('Guest Log'!$B:$B,Q849))))</f>
        <v/>
      </c>
      <c r="G849" s="40" t="str">
        <f>IF(C849="","",IF(C849="Match",INDEX('Match Log'!$C:$C,D849),IF(C849="Tournament",INDEX('Tournament Log'!$B:$B,E849)&amp;" (Phantom)",INDEX('Guest Log'!$H:$H,Q849)&amp;" (Guest)")))</f>
        <v/>
      </c>
      <c r="H849" s="40" t="str">
        <f t="array" ref="H849">IF(C849="","",IFERROR(LOOKUP(2,1/(($F$1:F848=F849)+($G$1:G848=F849)),IF($F$1:F848=F849,$N$1:N848,$O$1:O848)),1000))</f>
        <v/>
      </c>
      <c r="I849" s="40" t="str">
        <f t="array" ref="I849">IF(C849="","",IF(C849="Tournament",INDEX('Tournament Log'!$J:$J,E849),IF(C849="Guest",IF(INDEX('Guest Log'!$I:$I,Q849)="",1000,INDEX('Guest Log'!$I:$I,Q849)),IFERROR(LOOKUP(2,1/(($F$1:F848=G849)+($G$1:G848=G849)),IF($F$1:F848=G849,$N$1:N848,$O$1:O848)),1000))))</f>
        <v/>
      </c>
      <c r="J849" s="40" t="str">
        <f t="shared" si="66"/>
        <v/>
      </c>
      <c r="K849" s="12" t="str">
        <f>IF(C849="","",IF(C849="Match",IF(INDEX('Match Log'!$D:$D,D849)="Win",1,IF(INDEX('Match Log'!$D:$D,D849)="Draw",0.5,0)),IF(C849="Tournament",INDEX('Tournament Log'!$K:$K,E849),IF(INDEX('Guest Log'!$C:$C,Q849)="Win",1,IF(INDEX('Guest Log'!$C:$C,Q849)="Draw",0.5,0)))))</f>
        <v/>
      </c>
      <c r="L849" s="12" t="str">
        <f>IF(C849="","",IF(C849="Match",32,IF(C849="Tournament",MIN(32*INDEX('Tournament Log'!$D:$D,E849),96),32)))</f>
        <v/>
      </c>
      <c r="M849" s="12" t="str">
        <f t="shared" si="67"/>
        <v/>
      </c>
      <c r="N849" s="12" t="str">
        <f t="shared" si="68"/>
        <v/>
      </c>
      <c r="O849" s="12" t="str">
        <f t="shared" si="69"/>
        <v/>
      </c>
      <c r="P849" s="12" t="str">
        <f>IF(C849="Tournament",INDEX('Tournament Log'!$B:$B,E849),IF(C849="Guest","Guest: "&amp;INDEX('Guest Log'!$H:$H,Q849),""))</f>
        <v/>
      </c>
      <c r="Q849" t="str">
        <f>IFERROR(MATCH($A849,'Guest Log'!$L$4:$L$203,0)+3,"")</f>
        <v/>
      </c>
    </row>
    <row r="850" spans="1:17" ht="15" customHeight="1" x14ac:dyDescent="0.2">
      <c r="A850" s="40">
        <f>849</f>
        <v>849</v>
      </c>
      <c r="B850" s="40" t="str">
        <f>IF(C850="","",IF(C850="Match",INDEX('Match Log'!$A:$A,D850),IF(C850="Tournament",INDEX('Tournament Log'!$A:$A,E850),INDEX('Guest Log'!$A:$A,Q850))))</f>
        <v/>
      </c>
      <c r="C850" s="40" t="str">
        <f t="shared" si="65"/>
        <v/>
      </c>
      <c r="D850" s="41" t="str">
        <f>IFERROR(MATCH($A850,'Match Log'!$K$3:$K$501,0)+2,"")</f>
        <v/>
      </c>
      <c r="E850" s="41" t="str">
        <f>IFERROR(MATCH($A850,'Tournament Log'!$O$4:$O$203,0)+3,"")</f>
        <v/>
      </c>
      <c r="F850" s="40" t="str">
        <f>IF(C850="","",IF(C850="Match",INDEX('Match Log'!$B:$B,D850),IF(C850="Tournament",INDEX('Tournament Log'!$C:$C,E850),INDEX('Guest Log'!$B:$B,Q850))))</f>
        <v/>
      </c>
      <c r="G850" s="40" t="str">
        <f>IF(C850="","",IF(C850="Match",INDEX('Match Log'!$C:$C,D850),IF(C850="Tournament",INDEX('Tournament Log'!$B:$B,E850)&amp;" (Phantom)",INDEX('Guest Log'!$H:$H,Q850)&amp;" (Guest)")))</f>
        <v/>
      </c>
      <c r="H850" s="40" t="str">
        <f t="array" ref="H850">IF(C850="","",IFERROR(LOOKUP(2,1/(($F$1:F849=F850)+($G$1:G849=F850)),IF($F$1:F849=F850,$N$1:N849,$O$1:O849)),1000))</f>
        <v/>
      </c>
      <c r="I850" s="40" t="str">
        <f t="array" ref="I850">IF(C850="","",IF(C850="Tournament",INDEX('Tournament Log'!$J:$J,E850),IF(C850="Guest",IF(INDEX('Guest Log'!$I:$I,Q850)="",1000,INDEX('Guest Log'!$I:$I,Q850)),IFERROR(LOOKUP(2,1/(($F$1:F849=G850)+($G$1:G849=G850)),IF($F$1:F849=G850,$N$1:N849,$O$1:O849)),1000))))</f>
        <v/>
      </c>
      <c r="J850" s="40" t="str">
        <f t="shared" si="66"/>
        <v/>
      </c>
      <c r="K850" s="12" t="str">
        <f>IF(C850="","",IF(C850="Match",IF(INDEX('Match Log'!$D:$D,D850)="Win",1,IF(INDEX('Match Log'!$D:$D,D850)="Draw",0.5,0)),IF(C850="Tournament",INDEX('Tournament Log'!$K:$K,E850),IF(INDEX('Guest Log'!$C:$C,Q850)="Win",1,IF(INDEX('Guest Log'!$C:$C,Q850)="Draw",0.5,0)))))</f>
        <v/>
      </c>
      <c r="L850" s="12" t="str">
        <f>IF(C850="","",IF(C850="Match",32,IF(C850="Tournament",MIN(32*INDEX('Tournament Log'!$D:$D,E850),96),32)))</f>
        <v/>
      </c>
      <c r="M850" s="12" t="str">
        <f t="shared" si="67"/>
        <v/>
      </c>
      <c r="N850" s="12" t="str">
        <f t="shared" si="68"/>
        <v/>
      </c>
      <c r="O850" s="12" t="str">
        <f t="shared" si="69"/>
        <v/>
      </c>
      <c r="P850" s="12" t="str">
        <f>IF(C850="Tournament",INDEX('Tournament Log'!$B:$B,E850),IF(C850="Guest","Guest: "&amp;INDEX('Guest Log'!$H:$H,Q850),""))</f>
        <v/>
      </c>
      <c r="Q850" t="str">
        <f>IFERROR(MATCH($A850,'Guest Log'!$L$4:$L$203,0)+3,"")</f>
        <v/>
      </c>
    </row>
    <row r="851" spans="1:17" ht="15" customHeight="1" x14ac:dyDescent="0.2">
      <c r="A851" s="40">
        <f>850</f>
        <v>850</v>
      </c>
      <c r="B851" s="40" t="str">
        <f>IF(C851="","",IF(C851="Match",INDEX('Match Log'!$A:$A,D851),IF(C851="Tournament",INDEX('Tournament Log'!$A:$A,E851),INDEX('Guest Log'!$A:$A,Q851))))</f>
        <v/>
      </c>
      <c r="C851" s="40" t="str">
        <f t="shared" si="65"/>
        <v/>
      </c>
      <c r="D851" s="41" t="str">
        <f>IFERROR(MATCH($A851,'Match Log'!$K$3:$K$501,0)+2,"")</f>
        <v/>
      </c>
      <c r="E851" s="41" t="str">
        <f>IFERROR(MATCH($A851,'Tournament Log'!$O$4:$O$203,0)+3,"")</f>
        <v/>
      </c>
      <c r="F851" s="40" t="str">
        <f>IF(C851="","",IF(C851="Match",INDEX('Match Log'!$B:$B,D851),IF(C851="Tournament",INDEX('Tournament Log'!$C:$C,E851),INDEX('Guest Log'!$B:$B,Q851))))</f>
        <v/>
      </c>
      <c r="G851" s="40" t="str">
        <f>IF(C851="","",IF(C851="Match",INDEX('Match Log'!$C:$C,D851),IF(C851="Tournament",INDEX('Tournament Log'!$B:$B,E851)&amp;" (Phantom)",INDEX('Guest Log'!$H:$H,Q851)&amp;" (Guest)")))</f>
        <v/>
      </c>
      <c r="H851" s="40" t="str">
        <f t="array" ref="H851">IF(C851="","",IFERROR(LOOKUP(2,1/(($F$1:F850=F851)+($G$1:G850=F851)),IF($F$1:F850=F851,$N$1:N850,$O$1:O850)),1000))</f>
        <v/>
      </c>
      <c r="I851" s="40" t="str">
        <f t="array" ref="I851">IF(C851="","",IF(C851="Tournament",INDEX('Tournament Log'!$J:$J,E851),IF(C851="Guest",IF(INDEX('Guest Log'!$I:$I,Q851)="",1000,INDEX('Guest Log'!$I:$I,Q851)),IFERROR(LOOKUP(2,1/(($F$1:F850=G851)+($G$1:G850=G851)),IF($F$1:F850=G851,$N$1:N850,$O$1:O850)),1000))))</f>
        <v/>
      </c>
      <c r="J851" s="40" t="str">
        <f t="shared" si="66"/>
        <v/>
      </c>
      <c r="K851" s="12" t="str">
        <f>IF(C851="","",IF(C851="Match",IF(INDEX('Match Log'!$D:$D,D851)="Win",1,IF(INDEX('Match Log'!$D:$D,D851)="Draw",0.5,0)),IF(C851="Tournament",INDEX('Tournament Log'!$K:$K,E851),IF(INDEX('Guest Log'!$C:$C,Q851)="Win",1,IF(INDEX('Guest Log'!$C:$C,Q851)="Draw",0.5,0)))))</f>
        <v/>
      </c>
      <c r="L851" s="12" t="str">
        <f>IF(C851="","",IF(C851="Match",32,IF(C851="Tournament",MIN(32*INDEX('Tournament Log'!$D:$D,E851),96),32)))</f>
        <v/>
      </c>
      <c r="M851" s="12" t="str">
        <f t="shared" si="67"/>
        <v/>
      </c>
      <c r="N851" s="12" t="str">
        <f t="shared" si="68"/>
        <v/>
      </c>
      <c r="O851" s="12" t="str">
        <f t="shared" si="69"/>
        <v/>
      </c>
      <c r="P851" s="12" t="str">
        <f>IF(C851="Tournament",INDEX('Tournament Log'!$B:$B,E851),IF(C851="Guest","Guest: "&amp;INDEX('Guest Log'!$H:$H,Q851),""))</f>
        <v/>
      </c>
      <c r="Q851" t="str">
        <f>IFERROR(MATCH($A851,'Guest Log'!$L$4:$L$203,0)+3,"")</f>
        <v/>
      </c>
    </row>
    <row r="852" spans="1:17" ht="15" customHeight="1" x14ac:dyDescent="0.2">
      <c r="A852" s="40">
        <f>851</f>
        <v>851</v>
      </c>
      <c r="B852" s="40" t="str">
        <f>IF(C852="","",IF(C852="Match",INDEX('Match Log'!$A:$A,D852),IF(C852="Tournament",INDEX('Tournament Log'!$A:$A,E852),INDEX('Guest Log'!$A:$A,Q852))))</f>
        <v/>
      </c>
      <c r="C852" s="40" t="str">
        <f t="shared" si="65"/>
        <v/>
      </c>
      <c r="D852" s="41" t="str">
        <f>IFERROR(MATCH($A852,'Match Log'!$K$3:$K$501,0)+2,"")</f>
        <v/>
      </c>
      <c r="E852" s="41" t="str">
        <f>IFERROR(MATCH($A852,'Tournament Log'!$O$4:$O$203,0)+3,"")</f>
        <v/>
      </c>
      <c r="F852" s="40" t="str">
        <f>IF(C852="","",IF(C852="Match",INDEX('Match Log'!$B:$B,D852),IF(C852="Tournament",INDEX('Tournament Log'!$C:$C,E852),INDEX('Guest Log'!$B:$B,Q852))))</f>
        <v/>
      </c>
      <c r="G852" s="40" t="str">
        <f>IF(C852="","",IF(C852="Match",INDEX('Match Log'!$C:$C,D852),IF(C852="Tournament",INDEX('Tournament Log'!$B:$B,E852)&amp;" (Phantom)",INDEX('Guest Log'!$H:$H,Q852)&amp;" (Guest)")))</f>
        <v/>
      </c>
      <c r="H852" s="40" t="str">
        <f t="array" ref="H852">IF(C852="","",IFERROR(LOOKUP(2,1/(($F$1:F851=F852)+($G$1:G851=F852)),IF($F$1:F851=F852,$N$1:N851,$O$1:O851)),1000))</f>
        <v/>
      </c>
      <c r="I852" s="40" t="str">
        <f t="array" ref="I852">IF(C852="","",IF(C852="Tournament",INDEX('Tournament Log'!$J:$J,E852),IF(C852="Guest",IF(INDEX('Guest Log'!$I:$I,Q852)="",1000,INDEX('Guest Log'!$I:$I,Q852)),IFERROR(LOOKUP(2,1/(($F$1:F851=G852)+($G$1:G851=G852)),IF($F$1:F851=G852,$N$1:N851,$O$1:O851)),1000))))</f>
        <v/>
      </c>
      <c r="J852" s="40" t="str">
        <f t="shared" si="66"/>
        <v/>
      </c>
      <c r="K852" s="12" t="str">
        <f>IF(C852="","",IF(C852="Match",IF(INDEX('Match Log'!$D:$D,D852)="Win",1,IF(INDEX('Match Log'!$D:$D,D852)="Draw",0.5,0)),IF(C852="Tournament",INDEX('Tournament Log'!$K:$K,E852),IF(INDEX('Guest Log'!$C:$C,Q852)="Win",1,IF(INDEX('Guest Log'!$C:$C,Q852)="Draw",0.5,0)))))</f>
        <v/>
      </c>
      <c r="L852" s="12" t="str">
        <f>IF(C852="","",IF(C852="Match",32,IF(C852="Tournament",MIN(32*INDEX('Tournament Log'!$D:$D,E852),96),32)))</f>
        <v/>
      </c>
      <c r="M852" s="12" t="str">
        <f t="shared" si="67"/>
        <v/>
      </c>
      <c r="N852" s="12" t="str">
        <f t="shared" si="68"/>
        <v/>
      </c>
      <c r="O852" s="12" t="str">
        <f t="shared" si="69"/>
        <v/>
      </c>
      <c r="P852" s="12" t="str">
        <f>IF(C852="Tournament",INDEX('Tournament Log'!$B:$B,E852),IF(C852="Guest","Guest: "&amp;INDEX('Guest Log'!$H:$H,Q852),""))</f>
        <v/>
      </c>
      <c r="Q852" t="str">
        <f>IFERROR(MATCH($A852,'Guest Log'!$L$4:$L$203,0)+3,"")</f>
        <v/>
      </c>
    </row>
    <row r="853" spans="1:17" ht="15" customHeight="1" x14ac:dyDescent="0.2">
      <c r="A853" s="40">
        <f>852</f>
        <v>852</v>
      </c>
      <c r="B853" s="40" t="str">
        <f>IF(C853="","",IF(C853="Match",INDEX('Match Log'!$A:$A,D853),IF(C853="Tournament",INDEX('Tournament Log'!$A:$A,E853),INDEX('Guest Log'!$A:$A,Q853))))</f>
        <v/>
      </c>
      <c r="C853" s="40" t="str">
        <f t="shared" si="65"/>
        <v/>
      </c>
      <c r="D853" s="41" t="str">
        <f>IFERROR(MATCH($A853,'Match Log'!$K$3:$K$501,0)+2,"")</f>
        <v/>
      </c>
      <c r="E853" s="41" t="str">
        <f>IFERROR(MATCH($A853,'Tournament Log'!$O$4:$O$203,0)+3,"")</f>
        <v/>
      </c>
      <c r="F853" s="40" t="str">
        <f>IF(C853="","",IF(C853="Match",INDEX('Match Log'!$B:$B,D853),IF(C853="Tournament",INDEX('Tournament Log'!$C:$C,E853),INDEX('Guest Log'!$B:$B,Q853))))</f>
        <v/>
      </c>
      <c r="G853" s="40" t="str">
        <f>IF(C853="","",IF(C853="Match",INDEX('Match Log'!$C:$C,D853),IF(C853="Tournament",INDEX('Tournament Log'!$B:$B,E853)&amp;" (Phantom)",INDEX('Guest Log'!$H:$H,Q853)&amp;" (Guest)")))</f>
        <v/>
      </c>
      <c r="H853" s="40" t="str">
        <f t="array" ref="H853">IF(C853="","",IFERROR(LOOKUP(2,1/(($F$1:F852=F853)+($G$1:G852=F853)),IF($F$1:F852=F853,$N$1:N852,$O$1:O852)),1000))</f>
        <v/>
      </c>
      <c r="I853" s="40" t="str">
        <f t="array" ref="I853">IF(C853="","",IF(C853="Tournament",INDEX('Tournament Log'!$J:$J,E853),IF(C853="Guest",IF(INDEX('Guest Log'!$I:$I,Q853)="",1000,INDEX('Guest Log'!$I:$I,Q853)),IFERROR(LOOKUP(2,1/(($F$1:F852=G853)+($G$1:G852=G853)),IF($F$1:F852=G853,$N$1:N852,$O$1:O852)),1000))))</f>
        <v/>
      </c>
      <c r="J853" s="40" t="str">
        <f t="shared" si="66"/>
        <v/>
      </c>
      <c r="K853" s="12" t="str">
        <f>IF(C853="","",IF(C853="Match",IF(INDEX('Match Log'!$D:$D,D853)="Win",1,IF(INDEX('Match Log'!$D:$D,D853)="Draw",0.5,0)),IF(C853="Tournament",INDEX('Tournament Log'!$K:$K,E853),IF(INDEX('Guest Log'!$C:$C,Q853)="Win",1,IF(INDEX('Guest Log'!$C:$C,Q853)="Draw",0.5,0)))))</f>
        <v/>
      </c>
      <c r="L853" s="12" t="str">
        <f>IF(C853="","",IF(C853="Match",32,IF(C853="Tournament",MIN(32*INDEX('Tournament Log'!$D:$D,E853),96),32)))</f>
        <v/>
      </c>
      <c r="M853" s="12" t="str">
        <f t="shared" si="67"/>
        <v/>
      </c>
      <c r="N853" s="12" t="str">
        <f t="shared" si="68"/>
        <v/>
      </c>
      <c r="O853" s="12" t="str">
        <f t="shared" si="69"/>
        <v/>
      </c>
      <c r="P853" s="12" t="str">
        <f>IF(C853="Tournament",INDEX('Tournament Log'!$B:$B,E853),IF(C853="Guest","Guest: "&amp;INDEX('Guest Log'!$H:$H,Q853),""))</f>
        <v/>
      </c>
      <c r="Q853" t="str">
        <f>IFERROR(MATCH($A853,'Guest Log'!$L$4:$L$203,0)+3,"")</f>
        <v/>
      </c>
    </row>
    <row r="854" spans="1:17" ht="15" customHeight="1" x14ac:dyDescent="0.2">
      <c r="A854" s="40">
        <f>853</f>
        <v>853</v>
      </c>
      <c r="B854" s="40" t="str">
        <f>IF(C854="","",IF(C854="Match",INDEX('Match Log'!$A:$A,D854),IF(C854="Tournament",INDEX('Tournament Log'!$A:$A,E854),INDEX('Guest Log'!$A:$A,Q854))))</f>
        <v/>
      </c>
      <c r="C854" s="40" t="str">
        <f t="shared" si="65"/>
        <v/>
      </c>
      <c r="D854" s="41" t="str">
        <f>IFERROR(MATCH($A854,'Match Log'!$K$3:$K$501,0)+2,"")</f>
        <v/>
      </c>
      <c r="E854" s="41" t="str">
        <f>IFERROR(MATCH($A854,'Tournament Log'!$O$4:$O$203,0)+3,"")</f>
        <v/>
      </c>
      <c r="F854" s="40" t="str">
        <f>IF(C854="","",IF(C854="Match",INDEX('Match Log'!$B:$B,D854),IF(C854="Tournament",INDEX('Tournament Log'!$C:$C,E854),INDEX('Guest Log'!$B:$B,Q854))))</f>
        <v/>
      </c>
      <c r="G854" s="40" t="str">
        <f>IF(C854="","",IF(C854="Match",INDEX('Match Log'!$C:$C,D854),IF(C854="Tournament",INDEX('Tournament Log'!$B:$B,E854)&amp;" (Phantom)",INDEX('Guest Log'!$H:$H,Q854)&amp;" (Guest)")))</f>
        <v/>
      </c>
      <c r="H854" s="40" t="str">
        <f t="array" ref="H854">IF(C854="","",IFERROR(LOOKUP(2,1/(($F$1:F853=F854)+($G$1:G853=F854)),IF($F$1:F853=F854,$N$1:N853,$O$1:O853)),1000))</f>
        <v/>
      </c>
      <c r="I854" s="40" t="str">
        <f t="array" ref="I854">IF(C854="","",IF(C854="Tournament",INDEX('Tournament Log'!$J:$J,E854),IF(C854="Guest",IF(INDEX('Guest Log'!$I:$I,Q854)="",1000,INDEX('Guest Log'!$I:$I,Q854)),IFERROR(LOOKUP(2,1/(($F$1:F853=G854)+($G$1:G853=G854)),IF($F$1:F853=G854,$N$1:N853,$O$1:O853)),1000))))</f>
        <v/>
      </c>
      <c r="J854" s="40" t="str">
        <f t="shared" si="66"/>
        <v/>
      </c>
      <c r="K854" s="12" t="str">
        <f>IF(C854="","",IF(C854="Match",IF(INDEX('Match Log'!$D:$D,D854)="Win",1,IF(INDEX('Match Log'!$D:$D,D854)="Draw",0.5,0)),IF(C854="Tournament",INDEX('Tournament Log'!$K:$K,E854),IF(INDEX('Guest Log'!$C:$C,Q854)="Win",1,IF(INDEX('Guest Log'!$C:$C,Q854)="Draw",0.5,0)))))</f>
        <v/>
      </c>
      <c r="L854" s="12" t="str">
        <f>IF(C854="","",IF(C854="Match",32,IF(C854="Tournament",MIN(32*INDEX('Tournament Log'!$D:$D,E854),96),32)))</f>
        <v/>
      </c>
      <c r="M854" s="12" t="str">
        <f t="shared" si="67"/>
        <v/>
      </c>
      <c r="N854" s="12" t="str">
        <f t="shared" si="68"/>
        <v/>
      </c>
      <c r="O854" s="12" t="str">
        <f t="shared" si="69"/>
        <v/>
      </c>
      <c r="P854" s="12" t="str">
        <f>IF(C854="Tournament",INDEX('Tournament Log'!$B:$B,E854),IF(C854="Guest","Guest: "&amp;INDEX('Guest Log'!$H:$H,Q854),""))</f>
        <v/>
      </c>
      <c r="Q854" t="str">
        <f>IFERROR(MATCH($A854,'Guest Log'!$L$4:$L$203,0)+3,"")</f>
        <v/>
      </c>
    </row>
    <row r="855" spans="1:17" ht="15" customHeight="1" x14ac:dyDescent="0.2">
      <c r="A855" s="40">
        <f>854</f>
        <v>854</v>
      </c>
      <c r="B855" s="40" t="str">
        <f>IF(C855="","",IF(C855="Match",INDEX('Match Log'!$A:$A,D855),IF(C855="Tournament",INDEX('Tournament Log'!$A:$A,E855),INDEX('Guest Log'!$A:$A,Q855))))</f>
        <v/>
      </c>
      <c r="C855" s="40" t="str">
        <f t="shared" si="65"/>
        <v/>
      </c>
      <c r="D855" s="41" t="str">
        <f>IFERROR(MATCH($A855,'Match Log'!$K$3:$K$501,0)+2,"")</f>
        <v/>
      </c>
      <c r="E855" s="41" t="str">
        <f>IFERROR(MATCH($A855,'Tournament Log'!$O$4:$O$203,0)+3,"")</f>
        <v/>
      </c>
      <c r="F855" s="40" t="str">
        <f>IF(C855="","",IF(C855="Match",INDEX('Match Log'!$B:$B,D855),IF(C855="Tournament",INDEX('Tournament Log'!$C:$C,E855),INDEX('Guest Log'!$B:$B,Q855))))</f>
        <v/>
      </c>
      <c r="G855" s="40" t="str">
        <f>IF(C855="","",IF(C855="Match",INDEX('Match Log'!$C:$C,D855),IF(C855="Tournament",INDEX('Tournament Log'!$B:$B,E855)&amp;" (Phantom)",INDEX('Guest Log'!$H:$H,Q855)&amp;" (Guest)")))</f>
        <v/>
      </c>
      <c r="H855" s="40" t="str">
        <f t="array" ref="H855">IF(C855="","",IFERROR(LOOKUP(2,1/(($F$1:F854=F855)+($G$1:G854=F855)),IF($F$1:F854=F855,$N$1:N854,$O$1:O854)),1000))</f>
        <v/>
      </c>
      <c r="I855" s="40" t="str">
        <f t="array" ref="I855">IF(C855="","",IF(C855="Tournament",INDEX('Tournament Log'!$J:$J,E855),IF(C855="Guest",IF(INDEX('Guest Log'!$I:$I,Q855)="",1000,INDEX('Guest Log'!$I:$I,Q855)),IFERROR(LOOKUP(2,1/(($F$1:F854=G855)+($G$1:G854=G855)),IF($F$1:F854=G855,$N$1:N854,$O$1:O854)),1000))))</f>
        <v/>
      </c>
      <c r="J855" s="40" t="str">
        <f t="shared" si="66"/>
        <v/>
      </c>
      <c r="K855" s="12" t="str">
        <f>IF(C855="","",IF(C855="Match",IF(INDEX('Match Log'!$D:$D,D855)="Win",1,IF(INDEX('Match Log'!$D:$D,D855)="Draw",0.5,0)),IF(C855="Tournament",INDEX('Tournament Log'!$K:$K,E855),IF(INDEX('Guest Log'!$C:$C,Q855)="Win",1,IF(INDEX('Guest Log'!$C:$C,Q855)="Draw",0.5,0)))))</f>
        <v/>
      </c>
      <c r="L855" s="12" t="str">
        <f>IF(C855="","",IF(C855="Match",32,IF(C855="Tournament",MIN(32*INDEX('Tournament Log'!$D:$D,E855),96),32)))</f>
        <v/>
      </c>
      <c r="M855" s="12" t="str">
        <f t="shared" si="67"/>
        <v/>
      </c>
      <c r="N855" s="12" t="str">
        <f t="shared" si="68"/>
        <v/>
      </c>
      <c r="O855" s="12" t="str">
        <f t="shared" si="69"/>
        <v/>
      </c>
      <c r="P855" s="12" t="str">
        <f>IF(C855="Tournament",INDEX('Tournament Log'!$B:$B,E855),IF(C855="Guest","Guest: "&amp;INDEX('Guest Log'!$H:$H,Q855),""))</f>
        <v/>
      </c>
      <c r="Q855" t="str">
        <f>IFERROR(MATCH($A855,'Guest Log'!$L$4:$L$203,0)+3,"")</f>
        <v/>
      </c>
    </row>
    <row r="856" spans="1:17" ht="15" customHeight="1" x14ac:dyDescent="0.2">
      <c r="A856" s="40">
        <f>855</f>
        <v>855</v>
      </c>
      <c r="B856" s="40" t="str">
        <f>IF(C856="","",IF(C856="Match",INDEX('Match Log'!$A:$A,D856),IF(C856="Tournament",INDEX('Tournament Log'!$A:$A,E856),INDEX('Guest Log'!$A:$A,Q856))))</f>
        <v/>
      </c>
      <c r="C856" s="40" t="str">
        <f t="shared" si="65"/>
        <v/>
      </c>
      <c r="D856" s="41" t="str">
        <f>IFERROR(MATCH($A856,'Match Log'!$K$3:$K$501,0)+2,"")</f>
        <v/>
      </c>
      <c r="E856" s="41" t="str">
        <f>IFERROR(MATCH($A856,'Tournament Log'!$O$4:$O$203,0)+3,"")</f>
        <v/>
      </c>
      <c r="F856" s="40" t="str">
        <f>IF(C856="","",IF(C856="Match",INDEX('Match Log'!$B:$B,D856),IF(C856="Tournament",INDEX('Tournament Log'!$C:$C,E856),INDEX('Guest Log'!$B:$B,Q856))))</f>
        <v/>
      </c>
      <c r="G856" s="40" t="str">
        <f>IF(C856="","",IF(C856="Match",INDEX('Match Log'!$C:$C,D856),IF(C856="Tournament",INDEX('Tournament Log'!$B:$B,E856)&amp;" (Phantom)",INDEX('Guest Log'!$H:$H,Q856)&amp;" (Guest)")))</f>
        <v/>
      </c>
      <c r="H856" s="40" t="str">
        <f t="array" ref="H856">IF(C856="","",IFERROR(LOOKUP(2,1/(($F$1:F855=F856)+($G$1:G855=F856)),IF($F$1:F855=F856,$N$1:N855,$O$1:O855)),1000))</f>
        <v/>
      </c>
      <c r="I856" s="40" t="str">
        <f t="array" ref="I856">IF(C856="","",IF(C856="Tournament",INDEX('Tournament Log'!$J:$J,E856),IF(C856="Guest",IF(INDEX('Guest Log'!$I:$I,Q856)="",1000,INDEX('Guest Log'!$I:$I,Q856)),IFERROR(LOOKUP(2,1/(($F$1:F855=G856)+($G$1:G855=G856)),IF($F$1:F855=G856,$N$1:N855,$O$1:O855)),1000))))</f>
        <v/>
      </c>
      <c r="J856" s="40" t="str">
        <f t="shared" si="66"/>
        <v/>
      </c>
      <c r="K856" s="12" t="str">
        <f>IF(C856="","",IF(C856="Match",IF(INDEX('Match Log'!$D:$D,D856)="Win",1,IF(INDEX('Match Log'!$D:$D,D856)="Draw",0.5,0)),IF(C856="Tournament",INDEX('Tournament Log'!$K:$K,E856),IF(INDEX('Guest Log'!$C:$C,Q856)="Win",1,IF(INDEX('Guest Log'!$C:$C,Q856)="Draw",0.5,0)))))</f>
        <v/>
      </c>
      <c r="L856" s="12" t="str">
        <f>IF(C856="","",IF(C856="Match",32,IF(C856="Tournament",MIN(32*INDEX('Tournament Log'!$D:$D,E856),96),32)))</f>
        <v/>
      </c>
      <c r="M856" s="12" t="str">
        <f t="shared" si="67"/>
        <v/>
      </c>
      <c r="N856" s="12" t="str">
        <f t="shared" si="68"/>
        <v/>
      </c>
      <c r="O856" s="12" t="str">
        <f t="shared" si="69"/>
        <v/>
      </c>
      <c r="P856" s="12" t="str">
        <f>IF(C856="Tournament",INDEX('Tournament Log'!$B:$B,E856),IF(C856="Guest","Guest: "&amp;INDEX('Guest Log'!$H:$H,Q856),""))</f>
        <v/>
      </c>
      <c r="Q856" t="str">
        <f>IFERROR(MATCH($A856,'Guest Log'!$L$4:$L$203,0)+3,"")</f>
        <v/>
      </c>
    </row>
    <row r="857" spans="1:17" ht="15" customHeight="1" x14ac:dyDescent="0.2">
      <c r="A857" s="40">
        <f>856</f>
        <v>856</v>
      </c>
      <c r="B857" s="40" t="str">
        <f>IF(C857="","",IF(C857="Match",INDEX('Match Log'!$A:$A,D857),IF(C857="Tournament",INDEX('Tournament Log'!$A:$A,E857),INDEX('Guest Log'!$A:$A,Q857))))</f>
        <v/>
      </c>
      <c r="C857" s="40" t="str">
        <f t="shared" si="65"/>
        <v/>
      </c>
      <c r="D857" s="41" t="str">
        <f>IFERROR(MATCH($A857,'Match Log'!$K$3:$K$501,0)+2,"")</f>
        <v/>
      </c>
      <c r="E857" s="41" t="str">
        <f>IFERROR(MATCH($A857,'Tournament Log'!$O$4:$O$203,0)+3,"")</f>
        <v/>
      </c>
      <c r="F857" s="40" t="str">
        <f>IF(C857="","",IF(C857="Match",INDEX('Match Log'!$B:$B,D857),IF(C857="Tournament",INDEX('Tournament Log'!$C:$C,E857),INDEX('Guest Log'!$B:$B,Q857))))</f>
        <v/>
      </c>
      <c r="G857" s="40" t="str">
        <f>IF(C857="","",IF(C857="Match",INDEX('Match Log'!$C:$C,D857),IF(C857="Tournament",INDEX('Tournament Log'!$B:$B,E857)&amp;" (Phantom)",INDEX('Guest Log'!$H:$H,Q857)&amp;" (Guest)")))</f>
        <v/>
      </c>
      <c r="H857" s="40" t="str">
        <f t="array" ref="H857">IF(C857="","",IFERROR(LOOKUP(2,1/(($F$1:F856=F857)+($G$1:G856=F857)),IF($F$1:F856=F857,$N$1:N856,$O$1:O856)),1000))</f>
        <v/>
      </c>
      <c r="I857" s="40" t="str">
        <f t="array" ref="I857">IF(C857="","",IF(C857="Tournament",INDEX('Tournament Log'!$J:$J,E857),IF(C857="Guest",IF(INDEX('Guest Log'!$I:$I,Q857)="",1000,INDEX('Guest Log'!$I:$I,Q857)),IFERROR(LOOKUP(2,1/(($F$1:F856=G857)+($G$1:G856=G857)),IF($F$1:F856=G857,$N$1:N856,$O$1:O856)),1000))))</f>
        <v/>
      </c>
      <c r="J857" s="40" t="str">
        <f t="shared" si="66"/>
        <v/>
      </c>
      <c r="K857" s="12" t="str">
        <f>IF(C857="","",IF(C857="Match",IF(INDEX('Match Log'!$D:$D,D857)="Win",1,IF(INDEX('Match Log'!$D:$D,D857)="Draw",0.5,0)),IF(C857="Tournament",INDEX('Tournament Log'!$K:$K,E857),IF(INDEX('Guest Log'!$C:$C,Q857)="Win",1,IF(INDEX('Guest Log'!$C:$C,Q857)="Draw",0.5,0)))))</f>
        <v/>
      </c>
      <c r="L857" s="12" t="str">
        <f>IF(C857="","",IF(C857="Match",32,IF(C857="Tournament",MIN(32*INDEX('Tournament Log'!$D:$D,E857),96),32)))</f>
        <v/>
      </c>
      <c r="M857" s="12" t="str">
        <f t="shared" si="67"/>
        <v/>
      </c>
      <c r="N857" s="12" t="str">
        <f t="shared" si="68"/>
        <v/>
      </c>
      <c r="O857" s="12" t="str">
        <f t="shared" si="69"/>
        <v/>
      </c>
      <c r="P857" s="12" t="str">
        <f>IF(C857="Tournament",INDEX('Tournament Log'!$B:$B,E857),IF(C857="Guest","Guest: "&amp;INDEX('Guest Log'!$H:$H,Q857),""))</f>
        <v/>
      </c>
      <c r="Q857" t="str">
        <f>IFERROR(MATCH($A857,'Guest Log'!$L$4:$L$203,0)+3,"")</f>
        <v/>
      </c>
    </row>
    <row r="858" spans="1:17" ht="15" customHeight="1" x14ac:dyDescent="0.2">
      <c r="A858" s="40">
        <f>857</f>
        <v>857</v>
      </c>
      <c r="B858" s="40" t="str">
        <f>IF(C858="","",IF(C858="Match",INDEX('Match Log'!$A:$A,D858),IF(C858="Tournament",INDEX('Tournament Log'!$A:$A,E858),INDEX('Guest Log'!$A:$A,Q858))))</f>
        <v/>
      </c>
      <c r="C858" s="40" t="str">
        <f t="shared" si="65"/>
        <v/>
      </c>
      <c r="D858" s="41" t="str">
        <f>IFERROR(MATCH($A858,'Match Log'!$K$3:$K$501,0)+2,"")</f>
        <v/>
      </c>
      <c r="E858" s="41" t="str">
        <f>IFERROR(MATCH($A858,'Tournament Log'!$O$4:$O$203,0)+3,"")</f>
        <v/>
      </c>
      <c r="F858" s="40" t="str">
        <f>IF(C858="","",IF(C858="Match",INDEX('Match Log'!$B:$B,D858),IF(C858="Tournament",INDEX('Tournament Log'!$C:$C,E858),INDEX('Guest Log'!$B:$B,Q858))))</f>
        <v/>
      </c>
      <c r="G858" s="40" t="str">
        <f>IF(C858="","",IF(C858="Match",INDEX('Match Log'!$C:$C,D858),IF(C858="Tournament",INDEX('Tournament Log'!$B:$B,E858)&amp;" (Phantom)",INDEX('Guest Log'!$H:$H,Q858)&amp;" (Guest)")))</f>
        <v/>
      </c>
      <c r="H858" s="40" t="str">
        <f t="array" ref="H858">IF(C858="","",IFERROR(LOOKUP(2,1/(($F$1:F857=F858)+($G$1:G857=F858)),IF($F$1:F857=F858,$N$1:N857,$O$1:O857)),1000))</f>
        <v/>
      </c>
      <c r="I858" s="40" t="str">
        <f t="array" ref="I858">IF(C858="","",IF(C858="Tournament",INDEX('Tournament Log'!$J:$J,E858),IF(C858="Guest",IF(INDEX('Guest Log'!$I:$I,Q858)="",1000,INDEX('Guest Log'!$I:$I,Q858)),IFERROR(LOOKUP(2,1/(($F$1:F857=G858)+($G$1:G857=G858)),IF($F$1:F857=G858,$N$1:N857,$O$1:O857)),1000))))</f>
        <v/>
      </c>
      <c r="J858" s="40" t="str">
        <f t="shared" si="66"/>
        <v/>
      </c>
      <c r="K858" s="12" t="str">
        <f>IF(C858="","",IF(C858="Match",IF(INDEX('Match Log'!$D:$D,D858)="Win",1,IF(INDEX('Match Log'!$D:$D,D858)="Draw",0.5,0)),IF(C858="Tournament",INDEX('Tournament Log'!$K:$K,E858),IF(INDEX('Guest Log'!$C:$C,Q858)="Win",1,IF(INDEX('Guest Log'!$C:$C,Q858)="Draw",0.5,0)))))</f>
        <v/>
      </c>
      <c r="L858" s="12" t="str">
        <f>IF(C858="","",IF(C858="Match",32,IF(C858="Tournament",MIN(32*INDEX('Tournament Log'!$D:$D,E858),96),32)))</f>
        <v/>
      </c>
      <c r="M858" s="12" t="str">
        <f t="shared" si="67"/>
        <v/>
      </c>
      <c r="N858" s="12" t="str">
        <f t="shared" si="68"/>
        <v/>
      </c>
      <c r="O858" s="12" t="str">
        <f t="shared" si="69"/>
        <v/>
      </c>
      <c r="P858" s="12" t="str">
        <f>IF(C858="Tournament",INDEX('Tournament Log'!$B:$B,E858),IF(C858="Guest","Guest: "&amp;INDEX('Guest Log'!$H:$H,Q858),""))</f>
        <v/>
      </c>
      <c r="Q858" t="str">
        <f>IFERROR(MATCH($A858,'Guest Log'!$L$4:$L$203,0)+3,"")</f>
        <v/>
      </c>
    </row>
    <row r="859" spans="1:17" ht="15" customHeight="1" x14ac:dyDescent="0.2">
      <c r="A859" s="40">
        <f>858</f>
        <v>858</v>
      </c>
      <c r="B859" s="40" t="str">
        <f>IF(C859="","",IF(C859="Match",INDEX('Match Log'!$A:$A,D859),IF(C859="Tournament",INDEX('Tournament Log'!$A:$A,E859),INDEX('Guest Log'!$A:$A,Q859))))</f>
        <v/>
      </c>
      <c r="C859" s="40" t="str">
        <f t="shared" si="65"/>
        <v/>
      </c>
      <c r="D859" s="41" t="str">
        <f>IFERROR(MATCH($A859,'Match Log'!$K$3:$K$501,0)+2,"")</f>
        <v/>
      </c>
      <c r="E859" s="41" t="str">
        <f>IFERROR(MATCH($A859,'Tournament Log'!$O$4:$O$203,0)+3,"")</f>
        <v/>
      </c>
      <c r="F859" s="40" t="str">
        <f>IF(C859="","",IF(C859="Match",INDEX('Match Log'!$B:$B,D859),IF(C859="Tournament",INDEX('Tournament Log'!$C:$C,E859),INDEX('Guest Log'!$B:$B,Q859))))</f>
        <v/>
      </c>
      <c r="G859" s="40" t="str">
        <f>IF(C859="","",IF(C859="Match",INDEX('Match Log'!$C:$C,D859),IF(C859="Tournament",INDEX('Tournament Log'!$B:$B,E859)&amp;" (Phantom)",INDEX('Guest Log'!$H:$H,Q859)&amp;" (Guest)")))</f>
        <v/>
      </c>
      <c r="H859" s="40" t="str">
        <f t="array" ref="H859">IF(C859="","",IFERROR(LOOKUP(2,1/(($F$1:F858=F859)+($G$1:G858=F859)),IF($F$1:F858=F859,$N$1:N858,$O$1:O858)),1000))</f>
        <v/>
      </c>
      <c r="I859" s="40" t="str">
        <f t="array" ref="I859">IF(C859="","",IF(C859="Tournament",INDEX('Tournament Log'!$J:$J,E859),IF(C859="Guest",IF(INDEX('Guest Log'!$I:$I,Q859)="",1000,INDEX('Guest Log'!$I:$I,Q859)),IFERROR(LOOKUP(2,1/(($F$1:F858=G859)+($G$1:G858=G859)),IF($F$1:F858=G859,$N$1:N858,$O$1:O858)),1000))))</f>
        <v/>
      </c>
      <c r="J859" s="40" t="str">
        <f t="shared" si="66"/>
        <v/>
      </c>
      <c r="K859" s="12" t="str">
        <f>IF(C859="","",IF(C859="Match",IF(INDEX('Match Log'!$D:$D,D859)="Win",1,IF(INDEX('Match Log'!$D:$D,D859)="Draw",0.5,0)),IF(C859="Tournament",INDEX('Tournament Log'!$K:$K,E859),IF(INDEX('Guest Log'!$C:$C,Q859)="Win",1,IF(INDEX('Guest Log'!$C:$C,Q859)="Draw",0.5,0)))))</f>
        <v/>
      </c>
      <c r="L859" s="12" t="str">
        <f>IF(C859="","",IF(C859="Match",32,IF(C859="Tournament",MIN(32*INDEX('Tournament Log'!$D:$D,E859),96),32)))</f>
        <v/>
      </c>
      <c r="M859" s="12" t="str">
        <f t="shared" si="67"/>
        <v/>
      </c>
      <c r="N859" s="12" t="str">
        <f t="shared" si="68"/>
        <v/>
      </c>
      <c r="O859" s="12" t="str">
        <f t="shared" si="69"/>
        <v/>
      </c>
      <c r="P859" s="12" t="str">
        <f>IF(C859="Tournament",INDEX('Tournament Log'!$B:$B,E859),IF(C859="Guest","Guest: "&amp;INDEX('Guest Log'!$H:$H,Q859),""))</f>
        <v/>
      </c>
      <c r="Q859" t="str">
        <f>IFERROR(MATCH($A859,'Guest Log'!$L$4:$L$203,0)+3,"")</f>
        <v/>
      </c>
    </row>
    <row r="860" spans="1:17" ht="15" customHeight="1" x14ac:dyDescent="0.2">
      <c r="A860" s="40">
        <f>859</f>
        <v>859</v>
      </c>
      <c r="B860" s="40" t="str">
        <f>IF(C860="","",IF(C860="Match",INDEX('Match Log'!$A:$A,D860),IF(C860="Tournament",INDEX('Tournament Log'!$A:$A,E860),INDEX('Guest Log'!$A:$A,Q860))))</f>
        <v/>
      </c>
      <c r="C860" s="40" t="str">
        <f t="shared" si="65"/>
        <v/>
      </c>
      <c r="D860" s="41" t="str">
        <f>IFERROR(MATCH($A860,'Match Log'!$K$3:$K$501,0)+2,"")</f>
        <v/>
      </c>
      <c r="E860" s="41" t="str">
        <f>IFERROR(MATCH($A860,'Tournament Log'!$O$4:$O$203,0)+3,"")</f>
        <v/>
      </c>
      <c r="F860" s="40" t="str">
        <f>IF(C860="","",IF(C860="Match",INDEX('Match Log'!$B:$B,D860),IF(C860="Tournament",INDEX('Tournament Log'!$C:$C,E860),INDEX('Guest Log'!$B:$B,Q860))))</f>
        <v/>
      </c>
      <c r="G860" s="40" t="str">
        <f>IF(C860="","",IF(C860="Match",INDEX('Match Log'!$C:$C,D860),IF(C860="Tournament",INDEX('Tournament Log'!$B:$B,E860)&amp;" (Phantom)",INDEX('Guest Log'!$H:$H,Q860)&amp;" (Guest)")))</f>
        <v/>
      </c>
      <c r="H860" s="40" t="str">
        <f t="array" ref="H860">IF(C860="","",IFERROR(LOOKUP(2,1/(($F$1:F859=F860)+($G$1:G859=F860)),IF($F$1:F859=F860,$N$1:N859,$O$1:O859)),1000))</f>
        <v/>
      </c>
      <c r="I860" s="40" t="str">
        <f t="array" ref="I860">IF(C860="","",IF(C860="Tournament",INDEX('Tournament Log'!$J:$J,E860),IF(C860="Guest",IF(INDEX('Guest Log'!$I:$I,Q860)="",1000,INDEX('Guest Log'!$I:$I,Q860)),IFERROR(LOOKUP(2,1/(($F$1:F859=G860)+($G$1:G859=G860)),IF($F$1:F859=G860,$N$1:N859,$O$1:O859)),1000))))</f>
        <v/>
      </c>
      <c r="J860" s="40" t="str">
        <f t="shared" si="66"/>
        <v/>
      </c>
      <c r="K860" s="12" t="str">
        <f>IF(C860="","",IF(C860="Match",IF(INDEX('Match Log'!$D:$D,D860)="Win",1,IF(INDEX('Match Log'!$D:$D,D860)="Draw",0.5,0)),IF(C860="Tournament",INDEX('Tournament Log'!$K:$K,E860),IF(INDEX('Guest Log'!$C:$C,Q860)="Win",1,IF(INDEX('Guest Log'!$C:$C,Q860)="Draw",0.5,0)))))</f>
        <v/>
      </c>
      <c r="L860" s="12" t="str">
        <f>IF(C860="","",IF(C860="Match",32,IF(C860="Tournament",MIN(32*INDEX('Tournament Log'!$D:$D,E860),96),32)))</f>
        <v/>
      </c>
      <c r="M860" s="12" t="str">
        <f t="shared" si="67"/>
        <v/>
      </c>
      <c r="N860" s="12" t="str">
        <f t="shared" si="68"/>
        <v/>
      </c>
      <c r="O860" s="12" t="str">
        <f t="shared" si="69"/>
        <v/>
      </c>
      <c r="P860" s="12" t="str">
        <f>IF(C860="Tournament",INDEX('Tournament Log'!$B:$B,E860),IF(C860="Guest","Guest: "&amp;INDEX('Guest Log'!$H:$H,Q860),""))</f>
        <v/>
      </c>
      <c r="Q860" t="str">
        <f>IFERROR(MATCH($A860,'Guest Log'!$L$4:$L$203,0)+3,"")</f>
        <v/>
      </c>
    </row>
    <row r="861" spans="1:17" ht="15" customHeight="1" x14ac:dyDescent="0.2">
      <c r="A861" s="40">
        <f>860</f>
        <v>860</v>
      </c>
      <c r="B861" s="40" t="str">
        <f>IF(C861="","",IF(C861="Match",INDEX('Match Log'!$A:$A,D861),IF(C861="Tournament",INDEX('Tournament Log'!$A:$A,E861),INDEX('Guest Log'!$A:$A,Q861))))</f>
        <v/>
      </c>
      <c r="C861" s="40" t="str">
        <f t="shared" si="65"/>
        <v/>
      </c>
      <c r="D861" s="41" t="str">
        <f>IFERROR(MATCH($A861,'Match Log'!$K$3:$K$501,0)+2,"")</f>
        <v/>
      </c>
      <c r="E861" s="41" t="str">
        <f>IFERROR(MATCH($A861,'Tournament Log'!$O$4:$O$203,0)+3,"")</f>
        <v/>
      </c>
      <c r="F861" s="40" t="str">
        <f>IF(C861="","",IF(C861="Match",INDEX('Match Log'!$B:$B,D861),IF(C861="Tournament",INDEX('Tournament Log'!$C:$C,E861),INDEX('Guest Log'!$B:$B,Q861))))</f>
        <v/>
      </c>
      <c r="G861" s="40" t="str">
        <f>IF(C861="","",IF(C861="Match",INDEX('Match Log'!$C:$C,D861),IF(C861="Tournament",INDEX('Tournament Log'!$B:$B,E861)&amp;" (Phantom)",INDEX('Guest Log'!$H:$H,Q861)&amp;" (Guest)")))</f>
        <v/>
      </c>
      <c r="H861" s="40" t="str">
        <f t="array" ref="H861">IF(C861="","",IFERROR(LOOKUP(2,1/(($F$1:F860=F861)+($G$1:G860=F861)),IF($F$1:F860=F861,$N$1:N860,$O$1:O860)),1000))</f>
        <v/>
      </c>
      <c r="I861" s="40" t="str">
        <f t="array" ref="I861">IF(C861="","",IF(C861="Tournament",INDEX('Tournament Log'!$J:$J,E861),IF(C861="Guest",IF(INDEX('Guest Log'!$I:$I,Q861)="",1000,INDEX('Guest Log'!$I:$I,Q861)),IFERROR(LOOKUP(2,1/(($F$1:F860=G861)+($G$1:G860=G861)),IF($F$1:F860=G861,$N$1:N860,$O$1:O860)),1000))))</f>
        <v/>
      </c>
      <c r="J861" s="40" t="str">
        <f t="shared" si="66"/>
        <v/>
      </c>
      <c r="K861" s="12" t="str">
        <f>IF(C861="","",IF(C861="Match",IF(INDEX('Match Log'!$D:$D,D861)="Win",1,IF(INDEX('Match Log'!$D:$D,D861)="Draw",0.5,0)),IF(C861="Tournament",INDEX('Tournament Log'!$K:$K,E861),IF(INDEX('Guest Log'!$C:$C,Q861)="Win",1,IF(INDEX('Guest Log'!$C:$C,Q861)="Draw",0.5,0)))))</f>
        <v/>
      </c>
      <c r="L861" s="12" t="str">
        <f>IF(C861="","",IF(C861="Match",32,IF(C861="Tournament",MIN(32*INDEX('Tournament Log'!$D:$D,E861),96),32)))</f>
        <v/>
      </c>
      <c r="M861" s="12" t="str">
        <f t="shared" si="67"/>
        <v/>
      </c>
      <c r="N861" s="12" t="str">
        <f t="shared" si="68"/>
        <v/>
      </c>
      <c r="O861" s="12" t="str">
        <f t="shared" si="69"/>
        <v/>
      </c>
      <c r="P861" s="12" t="str">
        <f>IF(C861="Tournament",INDEX('Tournament Log'!$B:$B,E861),IF(C861="Guest","Guest: "&amp;INDEX('Guest Log'!$H:$H,Q861),""))</f>
        <v/>
      </c>
      <c r="Q861" t="str">
        <f>IFERROR(MATCH($A861,'Guest Log'!$L$4:$L$203,0)+3,"")</f>
        <v/>
      </c>
    </row>
    <row r="862" spans="1:17" ht="15" customHeight="1" x14ac:dyDescent="0.2">
      <c r="A862" s="40">
        <f>861</f>
        <v>861</v>
      </c>
      <c r="B862" s="40" t="str">
        <f>IF(C862="","",IF(C862="Match",INDEX('Match Log'!$A:$A,D862),IF(C862="Tournament",INDEX('Tournament Log'!$A:$A,E862),INDEX('Guest Log'!$A:$A,Q862))))</f>
        <v/>
      </c>
      <c r="C862" s="40" t="str">
        <f t="shared" si="65"/>
        <v/>
      </c>
      <c r="D862" s="41" t="str">
        <f>IFERROR(MATCH($A862,'Match Log'!$K$3:$K$501,0)+2,"")</f>
        <v/>
      </c>
      <c r="E862" s="41" t="str">
        <f>IFERROR(MATCH($A862,'Tournament Log'!$O$4:$O$203,0)+3,"")</f>
        <v/>
      </c>
      <c r="F862" s="40" t="str">
        <f>IF(C862="","",IF(C862="Match",INDEX('Match Log'!$B:$B,D862),IF(C862="Tournament",INDEX('Tournament Log'!$C:$C,E862),INDEX('Guest Log'!$B:$B,Q862))))</f>
        <v/>
      </c>
      <c r="G862" s="40" t="str">
        <f>IF(C862="","",IF(C862="Match",INDEX('Match Log'!$C:$C,D862),IF(C862="Tournament",INDEX('Tournament Log'!$B:$B,E862)&amp;" (Phantom)",INDEX('Guest Log'!$H:$H,Q862)&amp;" (Guest)")))</f>
        <v/>
      </c>
      <c r="H862" s="40" t="str">
        <f t="array" ref="H862">IF(C862="","",IFERROR(LOOKUP(2,1/(($F$1:F861=F862)+($G$1:G861=F862)),IF($F$1:F861=F862,$N$1:N861,$O$1:O861)),1000))</f>
        <v/>
      </c>
      <c r="I862" s="40" t="str">
        <f t="array" ref="I862">IF(C862="","",IF(C862="Tournament",INDEX('Tournament Log'!$J:$J,E862),IF(C862="Guest",IF(INDEX('Guest Log'!$I:$I,Q862)="",1000,INDEX('Guest Log'!$I:$I,Q862)),IFERROR(LOOKUP(2,1/(($F$1:F861=G862)+($G$1:G861=G862)),IF($F$1:F861=G862,$N$1:N861,$O$1:O861)),1000))))</f>
        <v/>
      </c>
      <c r="J862" s="40" t="str">
        <f t="shared" si="66"/>
        <v/>
      </c>
      <c r="K862" s="12" t="str">
        <f>IF(C862="","",IF(C862="Match",IF(INDEX('Match Log'!$D:$D,D862)="Win",1,IF(INDEX('Match Log'!$D:$D,D862)="Draw",0.5,0)),IF(C862="Tournament",INDEX('Tournament Log'!$K:$K,E862),IF(INDEX('Guest Log'!$C:$C,Q862)="Win",1,IF(INDEX('Guest Log'!$C:$C,Q862)="Draw",0.5,0)))))</f>
        <v/>
      </c>
      <c r="L862" s="12" t="str">
        <f>IF(C862="","",IF(C862="Match",32,IF(C862="Tournament",MIN(32*INDEX('Tournament Log'!$D:$D,E862),96),32)))</f>
        <v/>
      </c>
      <c r="M862" s="12" t="str">
        <f t="shared" si="67"/>
        <v/>
      </c>
      <c r="N862" s="12" t="str">
        <f t="shared" si="68"/>
        <v/>
      </c>
      <c r="O862" s="12" t="str">
        <f t="shared" si="69"/>
        <v/>
      </c>
      <c r="P862" s="12" t="str">
        <f>IF(C862="Tournament",INDEX('Tournament Log'!$B:$B,E862),IF(C862="Guest","Guest: "&amp;INDEX('Guest Log'!$H:$H,Q862),""))</f>
        <v/>
      </c>
      <c r="Q862" t="str">
        <f>IFERROR(MATCH($A862,'Guest Log'!$L$4:$L$203,0)+3,"")</f>
        <v/>
      </c>
    </row>
    <row r="863" spans="1:17" ht="15" customHeight="1" x14ac:dyDescent="0.2">
      <c r="A863" s="40">
        <f>862</f>
        <v>862</v>
      </c>
      <c r="B863" s="40" t="str">
        <f>IF(C863="","",IF(C863="Match",INDEX('Match Log'!$A:$A,D863),IF(C863="Tournament",INDEX('Tournament Log'!$A:$A,E863),INDEX('Guest Log'!$A:$A,Q863))))</f>
        <v/>
      </c>
      <c r="C863" s="40" t="str">
        <f t="shared" si="65"/>
        <v/>
      </c>
      <c r="D863" s="41" t="str">
        <f>IFERROR(MATCH($A863,'Match Log'!$K$3:$K$501,0)+2,"")</f>
        <v/>
      </c>
      <c r="E863" s="41" t="str">
        <f>IFERROR(MATCH($A863,'Tournament Log'!$O$4:$O$203,0)+3,"")</f>
        <v/>
      </c>
      <c r="F863" s="40" t="str">
        <f>IF(C863="","",IF(C863="Match",INDEX('Match Log'!$B:$B,D863),IF(C863="Tournament",INDEX('Tournament Log'!$C:$C,E863),INDEX('Guest Log'!$B:$B,Q863))))</f>
        <v/>
      </c>
      <c r="G863" s="40" t="str">
        <f>IF(C863="","",IF(C863="Match",INDEX('Match Log'!$C:$C,D863),IF(C863="Tournament",INDEX('Tournament Log'!$B:$B,E863)&amp;" (Phantom)",INDEX('Guest Log'!$H:$H,Q863)&amp;" (Guest)")))</f>
        <v/>
      </c>
      <c r="H863" s="40" t="str">
        <f t="array" ref="H863">IF(C863="","",IFERROR(LOOKUP(2,1/(($F$1:F862=F863)+($G$1:G862=F863)),IF($F$1:F862=F863,$N$1:N862,$O$1:O862)),1000))</f>
        <v/>
      </c>
      <c r="I863" s="40" t="str">
        <f t="array" ref="I863">IF(C863="","",IF(C863="Tournament",INDEX('Tournament Log'!$J:$J,E863),IF(C863="Guest",IF(INDEX('Guest Log'!$I:$I,Q863)="",1000,INDEX('Guest Log'!$I:$I,Q863)),IFERROR(LOOKUP(2,1/(($F$1:F862=G863)+($G$1:G862=G863)),IF($F$1:F862=G863,$N$1:N862,$O$1:O862)),1000))))</f>
        <v/>
      </c>
      <c r="J863" s="40" t="str">
        <f t="shared" si="66"/>
        <v/>
      </c>
      <c r="K863" s="12" t="str">
        <f>IF(C863="","",IF(C863="Match",IF(INDEX('Match Log'!$D:$D,D863)="Win",1,IF(INDEX('Match Log'!$D:$D,D863)="Draw",0.5,0)),IF(C863="Tournament",INDEX('Tournament Log'!$K:$K,E863),IF(INDEX('Guest Log'!$C:$C,Q863)="Win",1,IF(INDEX('Guest Log'!$C:$C,Q863)="Draw",0.5,0)))))</f>
        <v/>
      </c>
      <c r="L863" s="12" t="str">
        <f>IF(C863="","",IF(C863="Match",32,IF(C863="Tournament",MIN(32*INDEX('Tournament Log'!$D:$D,E863),96),32)))</f>
        <v/>
      </c>
      <c r="M863" s="12" t="str">
        <f t="shared" si="67"/>
        <v/>
      </c>
      <c r="N863" s="12" t="str">
        <f t="shared" si="68"/>
        <v/>
      </c>
      <c r="O863" s="12" t="str">
        <f t="shared" si="69"/>
        <v/>
      </c>
      <c r="P863" s="12" t="str">
        <f>IF(C863="Tournament",INDEX('Tournament Log'!$B:$B,E863),IF(C863="Guest","Guest: "&amp;INDEX('Guest Log'!$H:$H,Q863),""))</f>
        <v/>
      </c>
      <c r="Q863" t="str">
        <f>IFERROR(MATCH($A863,'Guest Log'!$L$4:$L$203,0)+3,"")</f>
        <v/>
      </c>
    </row>
    <row r="864" spans="1:17" ht="15" customHeight="1" x14ac:dyDescent="0.2">
      <c r="A864" s="40">
        <f>863</f>
        <v>863</v>
      </c>
      <c r="B864" s="40" t="str">
        <f>IF(C864="","",IF(C864="Match",INDEX('Match Log'!$A:$A,D864),IF(C864="Tournament",INDEX('Tournament Log'!$A:$A,E864),INDEX('Guest Log'!$A:$A,Q864))))</f>
        <v/>
      </c>
      <c r="C864" s="40" t="str">
        <f t="shared" si="65"/>
        <v/>
      </c>
      <c r="D864" s="41" t="str">
        <f>IFERROR(MATCH($A864,'Match Log'!$K$3:$K$501,0)+2,"")</f>
        <v/>
      </c>
      <c r="E864" s="41" t="str">
        <f>IFERROR(MATCH($A864,'Tournament Log'!$O$4:$O$203,0)+3,"")</f>
        <v/>
      </c>
      <c r="F864" s="40" t="str">
        <f>IF(C864="","",IF(C864="Match",INDEX('Match Log'!$B:$B,D864),IF(C864="Tournament",INDEX('Tournament Log'!$C:$C,E864),INDEX('Guest Log'!$B:$B,Q864))))</f>
        <v/>
      </c>
      <c r="G864" s="40" t="str">
        <f>IF(C864="","",IF(C864="Match",INDEX('Match Log'!$C:$C,D864),IF(C864="Tournament",INDEX('Tournament Log'!$B:$B,E864)&amp;" (Phantom)",INDEX('Guest Log'!$H:$H,Q864)&amp;" (Guest)")))</f>
        <v/>
      </c>
      <c r="H864" s="40" t="str">
        <f t="array" ref="H864">IF(C864="","",IFERROR(LOOKUP(2,1/(($F$1:F863=F864)+($G$1:G863=F864)),IF($F$1:F863=F864,$N$1:N863,$O$1:O863)),1000))</f>
        <v/>
      </c>
      <c r="I864" s="40" t="str">
        <f t="array" ref="I864">IF(C864="","",IF(C864="Tournament",INDEX('Tournament Log'!$J:$J,E864),IF(C864="Guest",IF(INDEX('Guest Log'!$I:$I,Q864)="",1000,INDEX('Guest Log'!$I:$I,Q864)),IFERROR(LOOKUP(2,1/(($F$1:F863=G864)+($G$1:G863=G864)),IF($F$1:F863=G864,$N$1:N863,$O$1:O863)),1000))))</f>
        <v/>
      </c>
      <c r="J864" s="40" t="str">
        <f t="shared" si="66"/>
        <v/>
      </c>
      <c r="K864" s="12" t="str">
        <f>IF(C864="","",IF(C864="Match",IF(INDEX('Match Log'!$D:$D,D864)="Win",1,IF(INDEX('Match Log'!$D:$D,D864)="Draw",0.5,0)),IF(C864="Tournament",INDEX('Tournament Log'!$K:$K,E864),IF(INDEX('Guest Log'!$C:$C,Q864)="Win",1,IF(INDEX('Guest Log'!$C:$C,Q864)="Draw",0.5,0)))))</f>
        <v/>
      </c>
      <c r="L864" s="12" t="str">
        <f>IF(C864="","",IF(C864="Match",32,IF(C864="Tournament",MIN(32*INDEX('Tournament Log'!$D:$D,E864),96),32)))</f>
        <v/>
      </c>
      <c r="M864" s="12" t="str">
        <f t="shared" si="67"/>
        <v/>
      </c>
      <c r="N864" s="12" t="str">
        <f t="shared" si="68"/>
        <v/>
      </c>
      <c r="O864" s="12" t="str">
        <f t="shared" si="69"/>
        <v/>
      </c>
      <c r="P864" s="12" t="str">
        <f>IF(C864="Tournament",INDEX('Tournament Log'!$B:$B,E864),IF(C864="Guest","Guest: "&amp;INDEX('Guest Log'!$H:$H,Q864),""))</f>
        <v/>
      </c>
      <c r="Q864" t="str">
        <f>IFERROR(MATCH($A864,'Guest Log'!$L$4:$L$203,0)+3,"")</f>
        <v/>
      </c>
    </row>
    <row r="865" spans="1:17" ht="15" customHeight="1" x14ac:dyDescent="0.2">
      <c r="A865" s="40">
        <f>864</f>
        <v>864</v>
      </c>
      <c r="B865" s="40" t="str">
        <f>IF(C865="","",IF(C865="Match",INDEX('Match Log'!$A:$A,D865),IF(C865="Tournament",INDEX('Tournament Log'!$A:$A,E865),INDEX('Guest Log'!$A:$A,Q865))))</f>
        <v/>
      </c>
      <c r="C865" s="40" t="str">
        <f t="shared" si="65"/>
        <v/>
      </c>
      <c r="D865" s="41" t="str">
        <f>IFERROR(MATCH($A865,'Match Log'!$K$3:$K$501,0)+2,"")</f>
        <v/>
      </c>
      <c r="E865" s="41" t="str">
        <f>IFERROR(MATCH($A865,'Tournament Log'!$O$4:$O$203,0)+3,"")</f>
        <v/>
      </c>
      <c r="F865" s="40" t="str">
        <f>IF(C865="","",IF(C865="Match",INDEX('Match Log'!$B:$B,D865),IF(C865="Tournament",INDEX('Tournament Log'!$C:$C,E865),INDEX('Guest Log'!$B:$B,Q865))))</f>
        <v/>
      </c>
      <c r="G865" s="40" t="str">
        <f>IF(C865="","",IF(C865="Match",INDEX('Match Log'!$C:$C,D865),IF(C865="Tournament",INDEX('Tournament Log'!$B:$B,E865)&amp;" (Phantom)",INDEX('Guest Log'!$H:$H,Q865)&amp;" (Guest)")))</f>
        <v/>
      </c>
      <c r="H865" s="40" t="str">
        <f t="array" ref="H865">IF(C865="","",IFERROR(LOOKUP(2,1/(($F$1:F864=F865)+($G$1:G864=F865)),IF($F$1:F864=F865,$N$1:N864,$O$1:O864)),1000))</f>
        <v/>
      </c>
      <c r="I865" s="40" t="str">
        <f t="array" ref="I865">IF(C865="","",IF(C865="Tournament",INDEX('Tournament Log'!$J:$J,E865),IF(C865="Guest",IF(INDEX('Guest Log'!$I:$I,Q865)="",1000,INDEX('Guest Log'!$I:$I,Q865)),IFERROR(LOOKUP(2,1/(($F$1:F864=G865)+($G$1:G864=G865)),IF($F$1:F864=G865,$N$1:N864,$O$1:O864)),1000))))</f>
        <v/>
      </c>
      <c r="J865" s="40" t="str">
        <f t="shared" si="66"/>
        <v/>
      </c>
      <c r="K865" s="12" t="str">
        <f>IF(C865="","",IF(C865="Match",IF(INDEX('Match Log'!$D:$D,D865)="Win",1,IF(INDEX('Match Log'!$D:$D,D865)="Draw",0.5,0)),IF(C865="Tournament",INDEX('Tournament Log'!$K:$K,E865),IF(INDEX('Guest Log'!$C:$C,Q865)="Win",1,IF(INDEX('Guest Log'!$C:$C,Q865)="Draw",0.5,0)))))</f>
        <v/>
      </c>
      <c r="L865" s="12" t="str">
        <f>IF(C865="","",IF(C865="Match",32,IF(C865="Tournament",MIN(32*INDEX('Tournament Log'!$D:$D,E865),96),32)))</f>
        <v/>
      </c>
      <c r="M865" s="12" t="str">
        <f t="shared" si="67"/>
        <v/>
      </c>
      <c r="N865" s="12" t="str">
        <f t="shared" si="68"/>
        <v/>
      </c>
      <c r="O865" s="12" t="str">
        <f t="shared" si="69"/>
        <v/>
      </c>
      <c r="P865" s="12" t="str">
        <f>IF(C865="Tournament",INDEX('Tournament Log'!$B:$B,E865),IF(C865="Guest","Guest: "&amp;INDEX('Guest Log'!$H:$H,Q865),""))</f>
        <v/>
      </c>
      <c r="Q865" t="str">
        <f>IFERROR(MATCH($A865,'Guest Log'!$L$4:$L$203,0)+3,"")</f>
        <v/>
      </c>
    </row>
    <row r="866" spans="1:17" ht="15" customHeight="1" x14ac:dyDescent="0.2">
      <c r="A866" s="40">
        <f>865</f>
        <v>865</v>
      </c>
      <c r="B866" s="40" t="str">
        <f>IF(C866="","",IF(C866="Match",INDEX('Match Log'!$A:$A,D866),IF(C866="Tournament",INDEX('Tournament Log'!$A:$A,E866),INDEX('Guest Log'!$A:$A,Q866))))</f>
        <v/>
      </c>
      <c r="C866" s="40" t="str">
        <f t="shared" si="65"/>
        <v/>
      </c>
      <c r="D866" s="41" t="str">
        <f>IFERROR(MATCH($A866,'Match Log'!$K$3:$K$501,0)+2,"")</f>
        <v/>
      </c>
      <c r="E866" s="41" t="str">
        <f>IFERROR(MATCH($A866,'Tournament Log'!$O$4:$O$203,0)+3,"")</f>
        <v/>
      </c>
      <c r="F866" s="40" t="str">
        <f>IF(C866="","",IF(C866="Match",INDEX('Match Log'!$B:$B,D866),IF(C866="Tournament",INDEX('Tournament Log'!$C:$C,E866),INDEX('Guest Log'!$B:$B,Q866))))</f>
        <v/>
      </c>
      <c r="G866" s="40" t="str">
        <f>IF(C866="","",IF(C866="Match",INDEX('Match Log'!$C:$C,D866),IF(C866="Tournament",INDEX('Tournament Log'!$B:$B,E866)&amp;" (Phantom)",INDEX('Guest Log'!$H:$H,Q866)&amp;" (Guest)")))</f>
        <v/>
      </c>
      <c r="H866" s="40" t="str">
        <f t="array" ref="H866">IF(C866="","",IFERROR(LOOKUP(2,1/(($F$1:F865=F866)+($G$1:G865=F866)),IF($F$1:F865=F866,$N$1:N865,$O$1:O865)),1000))</f>
        <v/>
      </c>
      <c r="I866" s="40" t="str">
        <f t="array" ref="I866">IF(C866="","",IF(C866="Tournament",INDEX('Tournament Log'!$J:$J,E866),IF(C866="Guest",IF(INDEX('Guest Log'!$I:$I,Q866)="",1000,INDEX('Guest Log'!$I:$I,Q866)),IFERROR(LOOKUP(2,1/(($F$1:F865=G866)+($G$1:G865=G866)),IF($F$1:F865=G866,$N$1:N865,$O$1:O865)),1000))))</f>
        <v/>
      </c>
      <c r="J866" s="40" t="str">
        <f t="shared" si="66"/>
        <v/>
      </c>
      <c r="K866" s="12" t="str">
        <f>IF(C866="","",IF(C866="Match",IF(INDEX('Match Log'!$D:$D,D866)="Win",1,IF(INDEX('Match Log'!$D:$D,D866)="Draw",0.5,0)),IF(C866="Tournament",INDEX('Tournament Log'!$K:$K,E866),IF(INDEX('Guest Log'!$C:$C,Q866)="Win",1,IF(INDEX('Guest Log'!$C:$C,Q866)="Draw",0.5,0)))))</f>
        <v/>
      </c>
      <c r="L866" s="12" t="str">
        <f>IF(C866="","",IF(C866="Match",32,IF(C866="Tournament",MIN(32*INDEX('Tournament Log'!$D:$D,E866),96),32)))</f>
        <v/>
      </c>
      <c r="M866" s="12" t="str">
        <f t="shared" si="67"/>
        <v/>
      </c>
      <c r="N866" s="12" t="str">
        <f t="shared" si="68"/>
        <v/>
      </c>
      <c r="O866" s="12" t="str">
        <f t="shared" si="69"/>
        <v/>
      </c>
      <c r="P866" s="12" t="str">
        <f>IF(C866="Tournament",INDEX('Tournament Log'!$B:$B,E866),IF(C866="Guest","Guest: "&amp;INDEX('Guest Log'!$H:$H,Q866),""))</f>
        <v/>
      </c>
      <c r="Q866" t="str">
        <f>IFERROR(MATCH($A866,'Guest Log'!$L$4:$L$203,0)+3,"")</f>
        <v/>
      </c>
    </row>
    <row r="867" spans="1:17" ht="15" customHeight="1" x14ac:dyDescent="0.2">
      <c r="A867" s="40">
        <f>866</f>
        <v>866</v>
      </c>
      <c r="B867" s="40" t="str">
        <f>IF(C867="","",IF(C867="Match",INDEX('Match Log'!$A:$A,D867),IF(C867="Tournament",INDEX('Tournament Log'!$A:$A,E867),INDEX('Guest Log'!$A:$A,Q867))))</f>
        <v/>
      </c>
      <c r="C867" s="40" t="str">
        <f t="shared" si="65"/>
        <v/>
      </c>
      <c r="D867" s="41" t="str">
        <f>IFERROR(MATCH($A867,'Match Log'!$K$3:$K$501,0)+2,"")</f>
        <v/>
      </c>
      <c r="E867" s="41" t="str">
        <f>IFERROR(MATCH($A867,'Tournament Log'!$O$4:$O$203,0)+3,"")</f>
        <v/>
      </c>
      <c r="F867" s="40" t="str">
        <f>IF(C867="","",IF(C867="Match",INDEX('Match Log'!$B:$B,D867),IF(C867="Tournament",INDEX('Tournament Log'!$C:$C,E867),INDEX('Guest Log'!$B:$B,Q867))))</f>
        <v/>
      </c>
      <c r="G867" s="40" t="str">
        <f>IF(C867="","",IF(C867="Match",INDEX('Match Log'!$C:$C,D867),IF(C867="Tournament",INDEX('Tournament Log'!$B:$B,E867)&amp;" (Phantom)",INDEX('Guest Log'!$H:$H,Q867)&amp;" (Guest)")))</f>
        <v/>
      </c>
      <c r="H867" s="40" t="str">
        <f t="array" ref="H867">IF(C867="","",IFERROR(LOOKUP(2,1/(($F$1:F866=F867)+($G$1:G866=F867)),IF($F$1:F866=F867,$N$1:N866,$O$1:O866)),1000))</f>
        <v/>
      </c>
      <c r="I867" s="40" t="str">
        <f t="array" ref="I867">IF(C867="","",IF(C867="Tournament",INDEX('Tournament Log'!$J:$J,E867),IF(C867="Guest",IF(INDEX('Guest Log'!$I:$I,Q867)="",1000,INDEX('Guest Log'!$I:$I,Q867)),IFERROR(LOOKUP(2,1/(($F$1:F866=G867)+($G$1:G866=G867)),IF($F$1:F866=G867,$N$1:N866,$O$1:O866)),1000))))</f>
        <v/>
      </c>
      <c r="J867" s="40" t="str">
        <f t="shared" si="66"/>
        <v/>
      </c>
      <c r="K867" s="12" t="str">
        <f>IF(C867="","",IF(C867="Match",IF(INDEX('Match Log'!$D:$D,D867)="Win",1,IF(INDEX('Match Log'!$D:$D,D867)="Draw",0.5,0)),IF(C867="Tournament",INDEX('Tournament Log'!$K:$K,E867),IF(INDEX('Guest Log'!$C:$C,Q867)="Win",1,IF(INDEX('Guest Log'!$C:$C,Q867)="Draw",0.5,0)))))</f>
        <v/>
      </c>
      <c r="L867" s="12" t="str">
        <f>IF(C867="","",IF(C867="Match",32,IF(C867="Tournament",MIN(32*INDEX('Tournament Log'!$D:$D,E867),96),32)))</f>
        <v/>
      </c>
      <c r="M867" s="12" t="str">
        <f t="shared" si="67"/>
        <v/>
      </c>
      <c r="N867" s="12" t="str">
        <f t="shared" si="68"/>
        <v/>
      </c>
      <c r="O867" s="12" t="str">
        <f t="shared" si="69"/>
        <v/>
      </c>
      <c r="P867" s="12" t="str">
        <f>IF(C867="Tournament",INDEX('Tournament Log'!$B:$B,E867),IF(C867="Guest","Guest: "&amp;INDEX('Guest Log'!$H:$H,Q867),""))</f>
        <v/>
      </c>
      <c r="Q867" t="str">
        <f>IFERROR(MATCH($A867,'Guest Log'!$L$4:$L$203,0)+3,"")</f>
        <v/>
      </c>
    </row>
    <row r="868" spans="1:17" ht="15" customHeight="1" x14ac:dyDescent="0.2">
      <c r="A868" s="40">
        <f>867</f>
        <v>867</v>
      </c>
      <c r="B868" s="40" t="str">
        <f>IF(C868="","",IF(C868="Match",INDEX('Match Log'!$A:$A,D868),IF(C868="Tournament",INDEX('Tournament Log'!$A:$A,E868),INDEX('Guest Log'!$A:$A,Q868))))</f>
        <v/>
      </c>
      <c r="C868" s="40" t="str">
        <f t="shared" si="65"/>
        <v/>
      </c>
      <c r="D868" s="41" t="str">
        <f>IFERROR(MATCH($A868,'Match Log'!$K$3:$K$501,0)+2,"")</f>
        <v/>
      </c>
      <c r="E868" s="41" t="str">
        <f>IFERROR(MATCH($A868,'Tournament Log'!$O$4:$O$203,0)+3,"")</f>
        <v/>
      </c>
      <c r="F868" s="40" t="str">
        <f>IF(C868="","",IF(C868="Match",INDEX('Match Log'!$B:$B,D868),IF(C868="Tournament",INDEX('Tournament Log'!$C:$C,E868),INDEX('Guest Log'!$B:$B,Q868))))</f>
        <v/>
      </c>
      <c r="G868" s="40" t="str">
        <f>IF(C868="","",IF(C868="Match",INDEX('Match Log'!$C:$C,D868),IF(C868="Tournament",INDEX('Tournament Log'!$B:$B,E868)&amp;" (Phantom)",INDEX('Guest Log'!$H:$H,Q868)&amp;" (Guest)")))</f>
        <v/>
      </c>
      <c r="H868" s="40" t="str">
        <f t="array" ref="H868">IF(C868="","",IFERROR(LOOKUP(2,1/(($F$1:F867=F868)+($G$1:G867=F868)),IF($F$1:F867=F868,$N$1:N867,$O$1:O867)),1000))</f>
        <v/>
      </c>
      <c r="I868" s="40" t="str">
        <f t="array" ref="I868">IF(C868="","",IF(C868="Tournament",INDEX('Tournament Log'!$J:$J,E868),IF(C868="Guest",IF(INDEX('Guest Log'!$I:$I,Q868)="",1000,INDEX('Guest Log'!$I:$I,Q868)),IFERROR(LOOKUP(2,1/(($F$1:F867=G868)+($G$1:G867=G868)),IF($F$1:F867=G868,$N$1:N867,$O$1:O867)),1000))))</f>
        <v/>
      </c>
      <c r="J868" s="40" t="str">
        <f t="shared" si="66"/>
        <v/>
      </c>
      <c r="K868" s="12" t="str">
        <f>IF(C868="","",IF(C868="Match",IF(INDEX('Match Log'!$D:$D,D868)="Win",1,IF(INDEX('Match Log'!$D:$D,D868)="Draw",0.5,0)),IF(C868="Tournament",INDEX('Tournament Log'!$K:$K,E868),IF(INDEX('Guest Log'!$C:$C,Q868)="Win",1,IF(INDEX('Guest Log'!$C:$C,Q868)="Draw",0.5,0)))))</f>
        <v/>
      </c>
      <c r="L868" s="12" t="str">
        <f>IF(C868="","",IF(C868="Match",32,IF(C868="Tournament",MIN(32*INDEX('Tournament Log'!$D:$D,E868),96),32)))</f>
        <v/>
      </c>
      <c r="M868" s="12" t="str">
        <f t="shared" si="67"/>
        <v/>
      </c>
      <c r="N868" s="12" t="str">
        <f t="shared" si="68"/>
        <v/>
      </c>
      <c r="O868" s="12" t="str">
        <f t="shared" si="69"/>
        <v/>
      </c>
      <c r="P868" s="12" t="str">
        <f>IF(C868="Tournament",INDEX('Tournament Log'!$B:$B,E868),IF(C868="Guest","Guest: "&amp;INDEX('Guest Log'!$H:$H,Q868),""))</f>
        <v/>
      </c>
      <c r="Q868" t="str">
        <f>IFERROR(MATCH($A868,'Guest Log'!$L$4:$L$203,0)+3,"")</f>
        <v/>
      </c>
    </row>
    <row r="869" spans="1:17" ht="15" customHeight="1" x14ac:dyDescent="0.2">
      <c r="A869" s="40">
        <f>868</f>
        <v>868</v>
      </c>
      <c r="B869" s="40" t="str">
        <f>IF(C869="","",IF(C869="Match",INDEX('Match Log'!$A:$A,D869),IF(C869="Tournament",INDEX('Tournament Log'!$A:$A,E869),INDEX('Guest Log'!$A:$A,Q869))))</f>
        <v/>
      </c>
      <c r="C869" s="40" t="str">
        <f t="shared" si="65"/>
        <v/>
      </c>
      <c r="D869" s="41" t="str">
        <f>IFERROR(MATCH($A869,'Match Log'!$K$3:$K$501,0)+2,"")</f>
        <v/>
      </c>
      <c r="E869" s="41" t="str">
        <f>IFERROR(MATCH($A869,'Tournament Log'!$O$4:$O$203,0)+3,"")</f>
        <v/>
      </c>
      <c r="F869" s="40" t="str">
        <f>IF(C869="","",IF(C869="Match",INDEX('Match Log'!$B:$B,D869),IF(C869="Tournament",INDEX('Tournament Log'!$C:$C,E869),INDEX('Guest Log'!$B:$B,Q869))))</f>
        <v/>
      </c>
      <c r="G869" s="40" t="str">
        <f>IF(C869="","",IF(C869="Match",INDEX('Match Log'!$C:$C,D869),IF(C869="Tournament",INDEX('Tournament Log'!$B:$B,E869)&amp;" (Phantom)",INDEX('Guest Log'!$H:$H,Q869)&amp;" (Guest)")))</f>
        <v/>
      </c>
      <c r="H869" s="40" t="str">
        <f t="array" ref="H869">IF(C869="","",IFERROR(LOOKUP(2,1/(($F$1:F868=F869)+($G$1:G868=F869)),IF($F$1:F868=F869,$N$1:N868,$O$1:O868)),1000))</f>
        <v/>
      </c>
      <c r="I869" s="40" t="str">
        <f t="array" ref="I869">IF(C869="","",IF(C869="Tournament",INDEX('Tournament Log'!$J:$J,E869),IF(C869="Guest",IF(INDEX('Guest Log'!$I:$I,Q869)="",1000,INDEX('Guest Log'!$I:$I,Q869)),IFERROR(LOOKUP(2,1/(($F$1:F868=G869)+($G$1:G868=G869)),IF($F$1:F868=G869,$N$1:N868,$O$1:O868)),1000))))</f>
        <v/>
      </c>
      <c r="J869" s="40" t="str">
        <f t="shared" si="66"/>
        <v/>
      </c>
      <c r="K869" s="12" t="str">
        <f>IF(C869="","",IF(C869="Match",IF(INDEX('Match Log'!$D:$D,D869)="Win",1,IF(INDEX('Match Log'!$D:$D,D869)="Draw",0.5,0)),IF(C869="Tournament",INDEX('Tournament Log'!$K:$K,E869),IF(INDEX('Guest Log'!$C:$C,Q869)="Win",1,IF(INDEX('Guest Log'!$C:$C,Q869)="Draw",0.5,0)))))</f>
        <v/>
      </c>
      <c r="L869" s="12" t="str">
        <f>IF(C869="","",IF(C869="Match",32,IF(C869="Tournament",MIN(32*INDEX('Tournament Log'!$D:$D,E869),96),32)))</f>
        <v/>
      </c>
      <c r="M869" s="12" t="str">
        <f t="shared" si="67"/>
        <v/>
      </c>
      <c r="N869" s="12" t="str">
        <f t="shared" si="68"/>
        <v/>
      </c>
      <c r="O869" s="12" t="str">
        <f t="shared" si="69"/>
        <v/>
      </c>
      <c r="P869" s="12" t="str">
        <f>IF(C869="Tournament",INDEX('Tournament Log'!$B:$B,E869),IF(C869="Guest","Guest: "&amp;INDEX('Guest Log'!$H:$H,Q869),""))</f>
        <v/>
      </c>
      <c r="Q869" t="str">
        <f>IFERROR(MATCH($A869,'Guest Log'!$L$4:$L$203,0)+3,"")</f>
        <v/>
      </c>
    </row>
    <row r="870" spans="1:17" ht="15" customHeight="1" x14ac:dyDescent="0.2">
      <c r="A870" s="40">
        <f>869</f>
        <v>869</v>
      </c>
      <c r="B870" s="40" t="str">
        <f>IF(C870="","",IF(C870="Match",INDEX('Match Log'!$A:$A,D870),IF(C870="Tournament",INDEX('Tournament Log'!$A:$A,E870),INDEX('Guest Log'!$A:$A,Q870))))</f>
        <v/>
      </c>
      <c r="C870" s="40" t="str">
        <f t="shared" si="65"/>
        <v/>
      </c>
      <c r="D870" s="41" t="str">
        <f>IFERROR(MATCH($A870,'Match Log'!$K$3:$K$501,0)+2,"")</f>
        <v/>
      </c>
      <c r="E870" s="41" t="str">
        <f>IFERROR(MATCH($A870,'Tournament Log'!$O$4:$O$203,0)+3,"")</f>
        <v/>
      </c>
      <c r="F870" s="40" t="str">
        <f>IF(C870="","",IF(C870="Match",INDEX('Match Log'!$B:$B,D870),IF(C870="Tournament",INDEX('Tournament Log'!$C:$C,E870),INDEX('Guest Log'!$B:$B,Q870))))</f>
        <v/>
      </c>
      <c r="G870" s="40" t="str">
        <f>IF(C870="","",IF(C870="Match",INDEX('Match Log'!$C:$C,D870),IF(C870="Tournament",INDEX('Tournament Log'!$B:$B,E870)&amp;" (Phantom)",INDEX('Guest Log'!$H:$H,Q870)&amp;" (Guest)")))</f>
        <v/>
      </c>
      <c r="H870" s="40" t="str">
        <f t="array" ref="H870">IF(C870="","",IFERROR(LOOKUP(2,1/(($F$1:F869=F870)+($G$1:G869=F870)),IF($F$1:F869=F870,$N$1:N869,$O$1:O869)),1000))</f>
        <v/>
      </c>
      <c r="I870" s="40" t="str">
        <f t="array" ref="I870">IF(C870="","",IF(C870="Tournament",INDEX('Tournament Log'!$J:$J,E870),IF(C870="Guest",IF(INDEX('Guest Log'!$I:$I,Q870)="",1000,INDEX('Guest Log'!$I:$I,Q870)),IFERROR(LOOKUP(2,1/(($F$1:F869=G870)+($G$1:G869=G870)),IF($F$1:F869=G870,$N$1:N869,$O$1:O869)),1000))))</f>
        <v/>
      </c>
      <c r="J870" s="40" t="str">
        <f t="shared" si="66"/>
        <v/>
      </c>
      <c r="K870" s="12" t="str">
        <f>IF(C870="","",IF(C870="Match",IF(INDEX('Match Log'!$D:$D,D870)="Win",1,IF(INDEX('Match Log'!$D:$D,D870)="Draw",0.5,0)),IF(C870="Tournament",INDEX('Tournament Log'!$K:$K,E870),IF(INDEX('Guest Log'!$C:$C,Q870)="Win",1,IF(INDEX('Guest Log'!$C:$C,Q870)="Draw",0.5,0)))))</f>
        <v/>
      </c>
      <c r="L870" s="12" t="str">
        <f>IF(C870="","",IF(C870="Match",32,IF(C870="Tournament",MIN(32*INDEX('Tournament Log'!$D:$D,E870),96),32)))</f>
        <v/>
      </c>
      <c r="M870" s="12" t="str">
        <f t="shared" si="67"/>
        <v/>
      </c>
      <c r="N870" s="12" t="str">
        <f t="shared" si="68"/>
        <v/>
      </c>
      <c r="O870" s="12" t="str">
        <f t="shared" si="69"/>
        <v/>
      </c>
      <c r="P870" s="12" t="str">
        <f>IF(C870="Tournament",INDEX('Tournament Log'!$B:$B,E870),IF(C870="Guest","Guest: "&amp;INDEX('Guest Log'!$H:$H,Q870),""))</f>
        <v/>
      </c>
      <c r="Q870" t="str">
        <f>IFERROR(MATCH($A870,'Guest Log'!$L$4:$L$203,0)+3,"")</f>
        <v/>
      </c>
    </row>
    <row r="871" spans="1:17" ht="15" customHeight="1" x14ac:dyDescent="0.2">
      <c r="A871" s="40">
        <f>870</f>
        <v>870</v>
      </c>
      <c r="B871" s="40" t="str">
        <f>IF(C871="","",IF(C871="Match",INDEX('Match Log'!$A:$A,D871),IF(C871="Tournament",INDEX('Tournament Log'!$A:$A,E871),INDEX('Guest Log'!$A:$A,Q871))))</f>
        <v/>
      </c>
      <c r="C871" s="40" t="str">
        <f t="shared" si="65"/>
        <v/>
      </c>
      <c r="D871" s="41" t="str">
        <f>IFERROR(MATCH($A871,'Match Log'!$K$3:$K$501,0)+2,"")</f>
        <v/>
      </c>
      <c r="E871" s="41" t="str">
        <f>IFERROR(MATCH($A871,'Tournament Log'!$O$4:$O$203,0)+3,"")</f>
        <v/>
      </c>
      <c r="F871" s="40" t="str">
        <f>IF(C871="","",IF(C871="Match",INDEX('Match Log'!$B:$B,D871),IF(C871="Tournament",INDEX('Tournament Log'!$C:$C,E871),INDEX('Guest Log'!$B:$B,Q871))))</f>
        <v/>
      </c>
      <c r="G871" s="40" t="str">
        <f>IF(C871="","",IF(C871="Match",INDEX('Match Log'!$C:$C,D871),IF(C871="Tournament",INDEX('Tournament Log'!$B:$B,E871)&amp;" (Phantom)",INDEX('Guest Log'!$H:$H,Q871)&amp;" (Guest)")))</f>
        <v/>
      </c>
      <c r="H871" s="40" t="str">
        <f t="array" ref="H871">IF(C871="","",IFERROR(LOOKUP(2,1/(($F$1:F870=F871)+($G$1:G870=F871)),IF($F$1:F870=F871,$N$1:N870,$O$1:O870)),1000))</f>
        <v/>
      </c>
      <c r="I871" s="40" t="str">
        <f t="array" ref="I871">IF(C871="","",IF(C871="Tournament",INDEX('Tournament Log'!$J:$J,E871),IF(C871="Guest",IF(INDEX('Guest Log'!$I:$I,Q871)="",1000,INDEX('Guest Log'!$I:$I,Q871)),IFERROR(LOOKUP(2,1/(($F$1:F870=G871)+($G$1:G870=G871)),IF($F$1:F870=G871,$N$1:N870,$O$1:O870)),1000))))</f>
        <v/>
      </c>
      <c r="J871" s="40" t="str">
        <f t="shared" si="66"/>
        <v/>
      </c>
      <c r="K871" s="12" t="str">
        <f>IF(C871="","",IF(C871="Match",IF(INDEX('Match Log'!$D:$D,D871)="Win",1,IF(INDEX('Match Log'!$D:$D,D871)="Draw",0.5,0)),IF(C871="Tournament",INDEX('Tournament Log'!$K:$K,E871),IF(INDEX('Guest Log'!$C:$C,Q871)="Win",1,IF(INDEX('Guest Log'!$C:$C,Q871)="Draw",0.5,0)))))</f>
        <v/>
      </c>
      <c r="L871" s="12" t="str">
        <f>IF(C871="","",IF(C871="Match",32,IF(C871="Tournament",MIN(32*INDEX('Tournament Log'!$D:$D,E871),96),32)))</f>
        <v/>
      </c>
      <c r="M871" s="12" t="str">
        <f t="shared" si="67"/>
        <v/>
      </c>
      <c r="N871" s="12" t="str">
        <f t="shared" si="68"/>
        <v/>
      </c>
      <c r="O871" s="12" t="str">
        <f t="shared" si="69"/>
        <v/>
      </c>
      <c r="P871" s="12" t="str">
        <f>IF(C871="Tournament",INDEX('Tournament Log'!$B:$B,E871),IF(C871="Guest","Guest: "&amp;INDEX('Guest Log'!$H:$H,Q871),""))</f>
        <v/>
      </c>
      <c r="Q871" t="str">
        <f>IFERROR(MATCH($A871,'Guest Log'!$L$4:$L$203,0)+3,"")</f>
        <v/>
      </c>
    </row>
    <row r="872" spans="1:17" ht="15" customHeight="1" x14ac:dyDescent="0.2">
      <c r="A872" s="40">
        <f>871</f>
        <v>871</v>
      </c>
      <c r="B872" s="40" t="str">
        <f>IF(C872="","",IF(C872="Match",INDEX('Match Log'!$A:$A,D872),IF(C872="Tournament",INDEX('Tournament Log'!$A:$A,E872),INDEX('Guest Log'!$A:$A,Q872))))</f>
        <v/>
      </c>
      <c r="C872" s="40" t="str">
        <f t="shared" si="65"/>
        <v/>
      </c>
      <c r="D872" s="41" t="str">
        <f>IFERROR(MATCH($A872,'Match Log'!$K$3:$K$501,0)+2,"")</f>
        <v/>
      </c>
      <c r="E872" s="41" t="str">
        <f>IFERROR(MATCH($A872,'Tournament Log'!$O$4:$O$203,0)+3,"")</f>
        <v/>
      </c>
      <c r="F872" s="40" t="str">
        <f>IF(C872="","",IF(C872="Match",INDEX('Match Log'!$B:$B,D872),IF(C872="Tournament",INDEX('Tournament Log'!$C:$C,E872),INDEX('Guest Log'!$B:$B,Q872))))</f>
        <v/>
      </c>
      <c r="G872" s="40" t="str">
        <f>IF(C872="","",IF(C872="Match",INDEX('Match Log'!$C:$C,D872),IF(C872="Tournament",INDEX('Tournament Log'!$B:$B,E872)&amp;" (Phantom)",INDEX('Guest Log'!$H:$H,Q872)&amp;" (Guest)")))</f>
        <v/>
      </c>
      <c r="H872" s="40" t="str">
        <f t="array" ref="H872">IF(C872="","",IFERROR(LOOKUP(2,1/(($F$1:F871=F872)+($G$1:G871=F872)),IF($F$1:F871=F872,$N$1:N871,$O$1:O871)),1000))</f>
        <v/>
      </c>
      <c r="I872" s="40" t="str">
        <f t="array" ref="I872">IF(C872="","",IF(C872="Tournament",INDEX('Tournament Log'!$J:$J,E872),IF(C872="Guest",IF(INDEX('Guest Log'!$I:$I,Q872)="",1000,INDEX('Guest Log'!$I:$I,Q872)),IFERROR(LOOKUP(2,1/(($F$1:F871=G872)+($G$1:G871=G872)),IF($F$1:F871=G872,$N$1:N871,$O$1:O871)),1000))))</f>
        <v/>
      </c>
      <c r="J872" s="40" t="str">
        <f t="shared" si="66"/>
        <v/>
      </c>
      <c r="K872" s="12" t="str">
        <f>IF(C872="","",IF(C872="Match",IF(INDEX('Match Log'!$D:$D,D872)="Win",1,IF(INDEX('Match Log'!$D:$D,D872)="Draw",0.5,0)),IF(C872="Tournament",INDEX('Tournament Log'!$K:$K,E872),IF(INDEX('Guest Log'!$C:$C,Q872)="Win",1,IF(INDEX('Guest Log'!$C:$C,Q872)="Draw",0.5,0)))))</f>
        <v/>
      </c>
      <c r="L872" s="12" t="str">
        <f>IF(C872="","",IF(C872="Match",32,IF(C872="Tournament",MIN(32*INDEX('Tournament Log'!$D:$D,E872),96),32)))</f>
        <v/>
      </c>
      <c r="M872" s="12" t="str">
        <f t="shared" si="67"/>
        <v/>
      </c>
      <c r="N872" s="12" t="str">
        <f t="shared" si="68"/>
        <v/>
      </c>
      <c r="O872" s="12" t="str">
        <f t="shared" si="69"/>
        <v/>
      </c>
      <c r="P872" s="12" t="str">
        <f>IF(C872="Tournament",INDEX('Tournament Log'!$B:$B,E872),IF(C872="Guest","Guest: "&amp;INDEX('Guest Log'!$H:$H,Q872),""))</f>
        <v/>
      </c>
      <c r="Q872" t="str">
        <f>IFERROR(MATCH($A872,'Guest Log'!$L$4:$L$203,0)+3,"")</f>
        <v/>
      </c>
    </row>
    <row r="873" spans="1:17" ht="15" customHeight="1" x14ac:dyDescent="0.2">
      <c r="A873" s="40">
        <f>872</f>
        <v>872</v>
      </c>
      <c r="B873" s="40" t="str">
        <f>IF(C873="","",IF(C873="Match",INDEX('Match Log'!$A:$A,D873),IF(C873="Tournament",INDEX('Tournament Log'!$A:$A,E873),INDEX('Guest Log'!$A:$A,Q873))))</f>
        <v/>
      </c>
      <c r="C873" s="40" t="str">
        <f t="shared" si="65"/>
        <v/>
      </c>
      <c r="D873" s="41" t="str">
        <f>IFERROR(MATCH($A873,'Match Log'!$K$3:$K$501,0)+2,"")</f>
        <v/>
      </c>
      <c r="E873" s="41" t="str">
        <f>IFERROR(MATCH($A873,'Tournament Log'!$O$4:$O$203,0)+3,"")</f>
        <v/>
      </c>
      <c r="F873" s="40" t="str">
        <f>IF(C873="","",IF(C873="Match",INDEX('Match Log'!$B:$B,D873),IF(C873="Tournament",INDEX('Tournament Log'!$C:$C,E873),INDEX('Guest Log'!$B:$B,Q873))))</f>
        <v/>
      </c>
      <c r="G873" s="40" t="str">
        <f>IF(C873="","",IF(C873="Match",INDEX('Match Log'!$C:$C,D873),IF(C873="Tournament",INDEX('Tournament Log'!$B:$B,E873)&amp;" (Phantom)",INDEX('Guest Log'!$H:$H,Q873)&amp;" (Guest)")))</f>
        <v/>
      </c>
      <c r="H873" s="40" t="str">
        <f t="array" ref="H873">IF(C873="","",IFERROR(LOOKUP(2,1/(($F$1:F872=F873)+($G$1:G872=F873)),IF($F$1:F872=F873,$N$1:N872,$O$1:O872)),1000))</f>
        <v/>
      </c>
      <c r="I873" s="40" t="str">
        <f t="array" ref="I873">IF(C873="","",IF(C873="Tournament",INDEX('Tournament Log'!$J:$J,E873),IF(C873="Guest",IF(INDEX('Guest Log'!$I:$I,Q873)="",1000,INDEX('Guest Log'!$I:$I,Q873)),IFERROR(LOOKUP(2,1/(($F$1:F872=G873)+($G$1:G872=G873)),IF($F$1:F872=G873,$N$1:N872,$O$1:O872)),1000))))</f>
        <v/>
      </c>
      <c r="J873" s="40" t="str">
        <f t="shared" si="66"/>
        <v/>
      </c>
      <c r="K873" s="12" t="str">
        <f>IF(C873="","",IF(C873="Match",IF(INDEX('Match Log'!$D:$D,D873)="Win",1,IF(INDEX('Match Log'!$D:$D,D873)="Draw",0.5,0)),IF(C873="Tournament",INDEX('Tournament Log'!$K:$K,E873),IF(INDEX('Guest Log'!$C:$C,Q873)="Win",1,IF(INDEX('Guest Log'!$C:$C,Q873)="Draw",0.5,0)))))</f>
        <v/>
      </c>
      <c r="L873" s="12" t="str">
        <f>IF(C873="","",IF(C873="Match",32,IF(C873="Tournament",MIN(32*INDEX('Tournament Log'!$D:$D,E873),96),32)))</f>
        <v/>
      </c>
      <c r="M873" s="12" t="str">
        <f t="shared" si="67"/>
        <v/>
      </c>
      <c r="N873" s="12" t="str">
        <f t="shared" si="68"/>
        <v/>
      </c>
      <c r="O873" s="12" t="str">
        <f t="shared" si="69"/>
        <v/>
      </c>
      <c r="P873" s="12" t="str">
        <f>IF(C873="Tournament",INDEX('Tournament Log'!$B:$B,E873),IF(C873="Guest","Guest: "&amp;INDEX('Guest Log'!$H:$H,Q873),""))</f>
        <v/>
      </c>
      <c r="Q873" t="str">
        <f>IFERROR(MATCH($A873,'Guest Log'!$L$4:$L$203,0)+3,"")</f>
        <v/>
      </c>
    </row>
    <row r="874" spans="1:17" ht="15" customHeight="1" x14ac:dyDescent="0.2">
      <c r="A874" s="40">
        <f>873</f>
        <v>873</v>
      </c>
      <c r="B874" s="40" t="str">
        <f>IF(C874="","",IF(C874="Match",INDEX('Match Log'!$A:$A,D874),IF(C874="Tournament",INDEX('Tournament Log'!$A:$A,E874),INDEX('Guest Log'!$A:$A,Q874))))</f>
        <v/>
      </c>
      <c r="C874" s="40" t="str">
        <f t="shared" si="65"/>
        <v/>
      </c>
      <c r="D874" s="41" t="str">
        <f>IFERROR(MATCH($A874,'Match Log'!$K$3:$K$501,0)+2,"")</f>
        <v/>
      </c>
      <c r="E874" s="41" t="str">
        <f>IFERROR(MATCH($A874,'Tournament Log'!$O$4:$O$203,0)+3,"")</f>
        <v/>
      </c>
      <c r="F874" s="40" t="str">
        <f>IF(C874="","",IF(C874="Match",INDEX('Match Log'!$B:$B,D874),IF(C874="Tournament",INDEX('Tournament Log'!$C:$C,E874),INDEX('Guest Log'!$B:$B,Q874))))</f>
        <v/>
      </c>
      <c r="G874" s="40" t="str">
        <f>IF(C874="","",IF(C874="Match",INDEX('Match Log'!$C:$C,D874),IF(C874="Tournament",INDEX('Tournament Log'!$B:$B,E874)&amp;" (Phantom)",INDEX('Guest Log'!$H:$H,Q874)&amp;" (Guest)")))</f>
        <v/>
      </c>
      <c r="H874" s="40" t="str">
        <f t="array" ref="H874">IF(C874="","",IFERROR(LOOKUP(2,1/(($F$1:F873=F874)+($G$1:G873=F874)),IF($F$1:F873=F874,$N$1:N873,$O$1:O873)),1000))</f>
        <v/>
      </c>
      <c r="I874" s="40" t="str">
        <f t="array" ref="I874">IF(C874="","",IF(C874="Tournament",INDEX('Tournament Log'!$J:$J,E874),IF(C874="Guest",IF(INDEX('Guest Log'!$I:$I,Q874)="",1000,INDEX('Guest Log'!$I:$I,Q874)),IFERROR(LOOKUP(2,1/(($F$1:F873=G874)+($G$1:G873=G874)),IF($F$1:F873=G874,$N$1:N873,$O$1:O873)),1000))))</f>
        <v/>
      </c>
      <c r="J874" s="40" t="str">
        <f t="shared" si="66"/>
        <v/>
      </c>
      <c r="K874" s="12" t="str">
        <f>IF(C874="","",IF(C874="Match",IF(INDEX('Match Log'!$D:$D,D874)="Win",1,IF(INDEX('Match Log'!$D:$D,D874)="Draw",0.5,0)),IF(C874="Tournament",INDEX('Tournament Log'!$K:$K,E874),IF(INDEX('Guest Log'!$C:$C,Q874)="Win",1,IF(INDEX('Guest Log'!$C:$C,Q874)="Draw",0.5,0)))))</f>
        <v/>
      </c>
      <c r="L874" s="12" t="str">
        <f>IF(C874="","",IF(C874="Match",32,IF(C874="Tournament",MIN(32*INDEX('Tournament Log'!$D:$D,E874),96),32)))</f>
        <v/>
      </c>
      <c r="M874" s="12" t="str">
        <f t="shared" si="67"/>
        <v/>
      </c>
      <c r="N874" s="12" t="str">
        <f t="shared" si="68"/>
        <v/>
      </c>
      <c r="O874" s="12" t="str">
        <f t="shared" si="69"/>
        <v/>
      </c>
      <c r="P874" s="12" t="str">
        <f>IF(C874="Tournament",INDEX('Tournament Log'!$B:$B,E874),IF(C874="Guest","Guest: "&amp;INDEX('Guest Log'!$H:$H,Q874),""))</f>
        <v/>
      </c>
      <c r="Q874" t="str">
        <f>IFERROR(MATCH($A874,'Guest Log'!$L$4:$L$203,0)+3,"")</f>
        <v/>
      </c>
    </row>
    <row r="875" spans="1:17" ht="15" customHeight="1" x14ac:dyDescent="0.2">
      <c r="A875" s="40">
        <f>874</f>
        <v>874</v>
      </c>
      <c r="B875" s="40" t="str">
        <f>IF(C875="","",IF(C875="Match",INDEX('Match Log'!$A:$A,D875),IF(C875="Tournament",INDEX('Tournament Log'!$A:$A,E875),INDEX('Guest Log'!$A:$A,Q875))))</f>
        <v/>
      </c>
      <c r="C875" s="40" t="str">
        <f t="shared" si="65"/>
        <v/>
      </c>
      <c r="D875" s="41" t="str">
        <f>IFERROR(MATCH($A875,'Match Log'!$K$3:$K$501,0)+2,"")</f>
        <v/>
      </c>
      <c r="E875" s="41" t="str">
        <f>IFERROR(MATCH($A875,'Tournament Log'!$O$4:$O$203,0)+3,"")</f>
        <v/>
      </c>
      <c r="F875" s="40" t="str">
        <f>IF(C875="","",IF(C875="Match",INDEX('Match Log'!$B:$B,D875),IF(C875="Tournament",INDEX('Tournament Log'!$C:$C,E875),INDEX('Guest Log'!$B:$B,Q875))))</f>
        <v/>
      </c>
      <c r="G875" s="40" t="str">
        <f>IF(C875="","",IF(C875="Match",INDEX('Match Log'!$C:$C,D875),IF(C875="Tournament",INDEX('Tournament Log'!$B:$B,E875)&amp;" (Phantom)",INDEX('Guest Log'!$H:$H,Q875)&amp;" (Guest)")))</f>
        <v/>
      </c>
      <c r="H875" s="40" t="str">
        <f t="array" ref="H875">IF(C875="","",IFERROR(LOOKUP(2,1/(($F$1:F874=F875)+($G$1:G874=F875)),IF($F$1:F874=F875,$N$1:N874,$O$1:O874)),1000))</f>
        <v/>
      </c>
      <c r="I875" s="40" t="str">
        <f t="array" ref="I875">IF(C875="","",IF(C875="Tournament",INDEX('Tournament Log'!$J:$J,E875),IF(C875="Guest",IF(INDEX('Guest Log'!$I:$I,Q875)="",1000,INDEX('Guest Log'!$I:$I,Q875)),IFERROR(LOOKUP(2,1/(($F$1:F874=G875)+($G$1:G874=G875)),IF($F$1:F874=G875,$N$1:N874,$O$1:O874)),1000))))</f>
        <v/>
      </c>
      <c r="J875" s="40" t="str">
        <f t="shared" si="66"/>
        <v/>
      </c>
      <c r="K875" s="12" t="str">
        <f>IF(C875="","",IF(C875="Match",IF(INDEX('Match Log'!$D:$D,D875)="Win",1,IF(INDEX('Match Log'!$D:$D,D875)="Draw",0.5,0)),IF(C875="Tournament",INDEX('Tournament Log'!$K:$K,E875),IF(INDEX('Guest Log'!$C:$C,Q875)="Win",1,IF(INDEX('Guest Log'!$C:$C,Q875)="Draw",0.5,0)))))</f>
        <v/>
      </c>
      <c r="L875" s="12" t="str">
        <f>IF(C875="","",IF(C875="Match",32,IF(C875="Tournament",MIN(32*INDEX('Tournament Log'!$D:$D,E875),96),32)))</f>
        <v/>
      </c>
      <c r="M875" s="12" t="str">
        <f t="shared" si="67"/>
        <v/>
      </c>
      <c r="N875" s="12" t="str">
        <f t="shared" si="68"/>
        <v/>
      </c>
      <c r="O875" s="12" t="str">
        <f t="shared" si="69"/>
        <v/>
      </c>
      <c r="P875" s="12" t="str">
        <f>IF(C875="Tournament",INDEX('Tournament Log'!$B:$B,E875),IF(C875="Guest","Guest: "&amp;INDEX('Guest Log'!$H:$H,Q875),""))</f>
        <v/>
      </c>
      <c r="Q875" t="str">
        <f>IFERROR(MATCH($A875,'Guest Log'!$L$4:$L$203,0)+3,"")</f>
        <v/>
      </c>
    </row>
    <row r="876" spans="1:17" ht="15" customHeight="1" x14ac:dyDescent="0.2">
      <c r="A876" s="40">
        <f>875</f>
        <v>875</v>
      </c>
      <c r="B876" s="40" t="str">
        <f>IF(C876="","",IF(C876="Match",INDEX('Match Log'!$A:$A,D876),IF(C876="Tournament",INDEX('Tournament Log'!$A:$A,E876),INDEX('Guest Log'!$A:$A,Q876))))</f>
        <v/>
      </c>
      <c r="C876" s="40" t="str">
        <f t="shared" si="65"/>
        <v/>
      </c>
      <c r="D876" s="41" t="str">
        <f>IFERROR(MATCH($A876,'Match Log'!$K$3:$K$501,0)+2,"")</f>
        <v/>
      </c>
      <c r="E876" s="41" t="str">
        <f>IFERROR(MATCH($A876,'Tournament Log'!$O$4:$O$203,0)+3,"")</f>
        <v/>
      </c>
      <c r="F876" s="40" t="str">
        <f>IF(C876="","",IF(C876="Match",INDEX('Match Log'!$B:$B,D876),IF(C876="Tournament",INDEX('Tournament Log'!$C:$C,E876),INDEX('Guest Log'!$B:$B,Q876))))</f>
        <v/>
      </c>
      <c r="G876" s="40" t="str">
        <f>IF(C876="","",IF(C876="Match",INDEX('Match Log'!$C:$C,D876),IF(C876="Tournament",INDEX('Tournament Log'!$B:$B,E876)&amp;" (Phantom)",INDEX('Guest Log'!$H:$H,Q876)&amp;" (Guest)")))</f>
        <v/>
      </c>
      <c r="H876" s="40" t="str">
        <f t="array" ref="H876">IF(C876="","",IFERROR(LOOKUP(2,1/(($F$1:F875=F876)+($G$1:G875=F876)),IF($F$1:F875=F876,$N$1:N875,$O$1:O875)),1000))</f>
        <v/>
      </c>
      <c r="I876" s="40" t="str">
        <f t="array" ref="I876">IF(C876="","",IF(C876="Tournament",INDEX('Tournament Log'!$J:$J,E876),IF(C876="Guest",IF(INDEX('Guest Log'!$I:$I,Q876)="",1000,INDEX('Guest Log'!$I:$I,Q876)),IFERROR(LOOKUP(2,1/(($F$1:F875=G876)+($G$1:G875=G876)),IF($F$1:F875=G876,$N$1:N875,$O$1:O875)),1000))))</f>
        <v/>
      </c>
      <c r="J876" s="40" t="str">
        <f t="shared" si="66"/>
        <v/>
      </c>
      <c r="K876" s="12" t="str">
        <f>IF(C876="","",IF(C876="Match",IF(INDEX('Match Log'!$D:$D,D876)="Win",1,IF(INDEX('Match Log'!$D:$D,D876)="Draw",0.5,0)),IF(C876="Tournament",INDEX('Tournament Log'!$K:$K,E876),IF(INDEX('Guest Log'!$C:$C,Q876)="Win",1,IF(INDEX('Guest Log'!$C:$C,Q876)="Draw",0.5,0)))))</f>
        <v/>
      </c>
      <c r="L876" s="12" t="str">
        <f>IF(C876="","",IF(C876="Match",32,IF(C876="Tournament",MIN(32*INDEX('Tournament Log'!$D:$D,E876),96),32)))</f>
        <v/>
      </c>
      <c r="M876" s="12" t="str">
        <f t="shared" si="67"/>
        <v/>
      </c>
      <c r="N876" s="12" t="str">
        <f t="shared" si="68"/>
        <v/>
      </c>
      <c r="O876" s="12" t="str">
        <f t="shared" si="69"/>
        <v/>
      </c>
      <c r="P876" s="12" t="str">
        <f>IF(C876="Tournament",INDEX('Tournament Log'!$B:$B,E876),IF(C876="Guest","Guest: "&amp;INDEX('Guest Log'!$H:$H,Q876),""))</f>
        <v/>
      </c>
      <c r="Q876" t="str">
        <f>IFERROR(MATCH($A876,'Guest Log'!$L$4:$L$203,0)+3,"")</f>
        <v/>
      </c>
    </row>
    <row r="877" spans="1:17" ht="15" customHeight="1" x14ac:dyDescent="0.2">
      <c r="A877" s="40">
        <f>876</f>
        <v>876</v>
      </c>
      <c r="B877" s="40" t="str">
        <f>IF(C877="","",IF(C877="Match",INDEX('Match Log'!$A:$A,D877),IF(C877="Tournament",INDEX('Tournament Log'!$A:$A,E877),INDEX('Guest Log'!$A:$A,Q877))))</f>
        <v/>
      </c>
      <c r="C877" s="40" t="str">
        <f t="shared" si="65"/>
        <v/>
      </c>
      <c r="D877" s="41" t="str">
        <f>IFERROR(MATCH($A877,'Match Log'!$K$3:$K$501,0)+2,"")</f>
        <v/>
      </c>
      <c r="E877" s="41" t="str">
        <f>IFERROR(MATCH($A877,'Tournament Log'!$O$4:$O$203,0)+3,"")</f>
        <v/>
      </c>
      <c r="F877" s="40" t="str">
        <f>IF(C877="","",IF(C877="Match",INDEX('Match Log'!$B:$B,D877),IF(C877="Tournament",INDEX('Tournament Log'!$C:$C,E877),INDEX('Guest Log'!$B:$B,Q877))))</f>
        <v/>
      </c>
      <c r="G877" s="40" t="str">
        <f>IF(C877="","",IF(C877="Match",INDEX('Match Log'!$C:$C,D877),IF(C877="Tournament",INDEX('Tournament Log'!$B:$B,E877)&amp;" (Phantom)",INDEX('Guest Log'!$H:$H,Q877)&amp;" (Guest)")))</f>
        <v/>
      </c>
      <c r="H877" s="40" t="str">
        <f t="array" ref="H877">IF(C877="","",IFERROR(LOOKUP(2,1/(($F$1:F876=F877)+($G$1:G876=F877)),IF($F$1:F876=F877,$N$1:N876,$O$1:O876)),1000))</f>
        <v/>
      </c>
      <c r="I877" s="40" t="str">
        <f t="array" ref="I877">IF(C877="","",IF(C877="Tournament",INDEX('Tournament Log'!$J:$J,E877),IF(C877="Guest",IF(INDEX('Guest Log'!$I:$I,Q877)="",1000,INDEX('Guest Log'!$I:$I,Q877)),IFERROR(LOOKUP(2,1/(($F$1:F876=G877)+($G$1:G876=G877)),IF($F$1:F876=G877,$N$1:N876,$O$1:O876)),1000))))</f>
        <v/>
      </c>
      <c r="J877" s="40" t="str">
        <f t="shared" si="66"/>
        <v/>
      </c>
      <c r="K877" s="12" t="str">
        <f>IF(C877="","",IF(C877="Match",IF(INDEX('Match Log'!$D:$D,D877)="Win",1,IF(INDEX('Match Log'!$D:$D,D877)="Draw",0.5,0)),IF(C877="Tournament",INDEX('Tournament Log'!$K:$K,E877),IF(INDEX('Guest Log'!$C:$C,Q877)="Win",1,IF(INDEX('Guest Log'!$C:$C,Q877)="Draw",0.5,0)))))</f>
        <v/>
      </c>
      <c r="L877" s="12" t="str">
        <f>IF(C877="","",IF(C877="Match",32,IF(C877="Tournament",MIN(32*INDEX('Tournament Log'!$D:$D,E877),96),32)))</f>
        <v/>
      </c>
      <c r="M877" s="12" t="str">
        <f t="shared" si="67"/>
        <v/>
      </c>
      <c r="N877" s="12" t="str">
        <f t="shared" si="68"/>
        <v/>
      </c>
      <c r="O877" s="12" t="str">
        <f t="shared" si="69"/>
        <v/>
      </c>
      <c r="P877" s="12" t="str">
        <f>IF(C877="Tournament",INDEX('Tournament Log'!$B:$B,E877),IF(C877="Guest","Guest: "&amp;INDEX('Guest Log'!$H:$H,Q877),""))</f>
        <v/>
      </c>
      <c r="Q877" t="str">
        <f>IFERROR(MATCH($A877,'Guest Log'!$L$4:$L$203,0)+3,"")</f>
        <v/>
      </c>
    </row>
    <row r="878" spans="1:17" ht="15" customHeight="1" x14ac:dyDescent="0.2">
      <c r="A878" s="40">
        <f>877</f>
        <v>877</v>
      </c>
      <c r="B878" s="40" t="str">
        <f>IF(C878="","",IF(C878="Match",INDEX('Match Log'!$A:$A,D878),IF(C878="Tournament",INDEX('Tournament Log'!$A:$A,E878),INDEX('Guest Log'!$A:$A,Q878))))</f>
        <v/>
      </c>
      <c r="C878" s="40" t="str">
        <f t="shared" si="65"/>
        <v/>
      </c>
      <c r="D878" s="41" t="str">
        <f>IFERROR(MATCH($A878,'Match Log'!$K$3:$K$501,0)+2,"")</f>
        <v/>
      </c>
      <c r="E878" s="41" t="str">
        <f>IFERROR(MATCH($A878,'Tournament Log'!$O$4:$O$203,0)+3,"")</f>
        <v/>
      </c>
      <c r="F878" s="40" t="str">
        <f>IF(C878="","",IF(C878="Match",INDEX('Match Log'!$B:$B,D878),IF(C878="Tournament",INDEX('Tournament Log'!$C:$C,E878),INDEX('Guest Log'!$B:$B,Q878))))</f>
        <v/>
      </c>
      <c r="G878" s="40" t="str">
        <f>IF(C878="","",IF(C878="Match",INDEX('Match Log'!$C:$C,D878),IF(C878="Tournament",INDEX('Tournament Log'!$B:$B,E878)&amp;" (Phantom)",INDEX('Guest Log'!$H:$H,Q878)&amp;" (Guest)")))</f>
        <v/>
      </c>
      <c r="H878" s="40" t="str">
        <f t="array" ref="H878">IF(C878="","",IFERROR(LOOKUP(2,1/(($F$1:F877=F878)+($G$1:G877=F878)),IF($F$1:F877=F878,$N$1:N877,$O$1:O877)),1000))</f>
        <v/>
      </c>
      <c r="I878" s="40" t="str">
        <f t="array" ref="I878">IF(C878="","",IF(C878="Tournament",INDEX('Tournament Log'!$J:$J,E878),IF(C878="Guest",IF(INDEX('Guest Log'!$I:$I,Q878)="",1000,INDEX('Guest Log'!$I:$I,Q878)),IFERROR(LOOKUP(2,1/(($F$1:F877=G878)+($G$1:G877=G878)),IF($F$1:F877=G878,$N$1:N877,$O$1:O877)),1000))))</f>
        <v/>
      </c>
      <c r="J878" s="40" t="str">
        <f t="shared" si="66"/>
        <v/>
      </c>
      <c r="K878" s="12" t="str">
        <f>IF(C878="","",IF(C878="Match",IF(INDEX('Match Log'!$D:$D,D878)="Win",1,IF(INDEX('Match Log'!$D:$D,D878)="Draw",0.5,0)),IF(C878="Tournament",INDEX('Tournament Log'!$K:$K,E878),IF(INDEX('Guest Log'!$C:$C,Q878)="Win",1,IF(INDEX('Guest Log'!$C:$C,Q878)="Draw",0.5,0)))))</f>
        <v/>
      </c>
      <c r="L878" s="12" t="str">
        <f>IF(C878="","",IF(C878="Match",32,IF(C878="Tournament",MIN(32*INDEX('Tournament Log'!$D:$D,E878),96),32)))</f>
        <v/>
      </c>
      <c r="M878" s="12" t="str">
        <f t="shared" si="67"/>
        <v/>
      </c>
      <c r="N878" s="12" t="str">
        <f t="shared" si="68"/>
        <v/>
      </c>
      <c r="O878" s="12" t="str">
        <f t="shared" si="69"/>
        <v/>
      </c>
      <c r="P878" s="12" t="str">
        <f>IF(C878="Tournament",INDEX('Tournament Log'!$B:$B,E878),IF(C878="Guest","Guest: "&amp;INDEX('Guest Log'!$H:$H,Q878),""))</f>
        <v/>
      </c>
      <c r="Q878" t="str">
        <f>IFERROR(MATCH($A878,'Guest Log'!$L$4:$L$203,0)+3,"")</f>
        <v/>
      </c>
    </row>
    <row r="879" spans="1:17" ht="15" customHeight="1" x14ac:dyDescent="0.2">
      <c r="A879" s="40">
        <f>878</f>
        <v>878</v>
      </c>
      <c r="B879" s="40" t="str">
        <f>IF(C879="","",IF(C879="Match",INDEX('Match Log'!$A:$A,D879),IF(C879="Tournament",INDEX('Tournament Log'!$A:$A,E879),INDEX('Guest Log'!$A:$A,Q879))))</f>
        <v/>
      </c>
      <c r="C879" s="40" t="str">
        <f t="shared" si="65"/>
        <v/>
      </c>
      <c r="D879" s="41" t="str">
        <f>IFERROR(MATCH($A879,'Match Log'!$K$3:$K$501,0)+2,"")</f>
        <v/>
      </c>
      <c r="E879" s="41" t="str">
        <f>IFERROR(MATCH($A879,'Tournament Log'!$O$4:$O$203,0)+3,"")</f>
        <v/>
      </c>
      <c r="F879" s="40" t="str">
        <f>IF(C879="","",IF(C879="Match",INDEX('Match Log'!$B:$B,D879),IF(C879="Tournament",INDEX('Tournament Log'!$C:$C,E879),INDEX('Guest Log'!$B:$B,Q879))))</f>
        <v/>
      </c>
      <c r="G879" s="40" t="str">
        <f>IF(C879="","",IF(C879="Match",INDEX('Match Log'!$C:$C,D879),IF(C879="Tournament",INDEX('Tournament Log'!$B:$B,E879)&amp;" (Phantom)",INDEX('Guest Log'!$H:$H,Q879)&amp;" (Guest)")))</f>
        <v/>
      </c>
      <c r="H879" s="40" t="str">
        <f t="array" ref="H879">IF(C879="","",IFERROR(LOOKUP(2,1/(($F$1:F878=F879)+($G$1:G878=F879)),IF($F$1:F878=F879,$N$1:N878,$O$1:O878)),1000))</f>
        <v/>
      </c>
      <c r="I879" s="40" t="str">
        <f t="array" ref="I879">IF(C879="","",IF(C879="Tournament",INDEX('Tournament Log'!$J:$J,E879),IF(C879="Guest",IF(INDEX('Guest Log'!$I:$I,Q879)="",1000,INDEX('Guest Log'!$I:$I,Q879)),IFERROR(LOOKUP(2,1/(($F$1:F878=G879)+($G$1:G878=G879)),IF($F$1:F878=G879,$N$1:N878,$O$1:O878)),1000))))</f>
        <v/>
      </c>
      <c r="J879" s="40" t="str">
        <f t="shared" si="66"/>
        <v/>
      </c>
      <c r="K879" s="12" t="str">
        <f>IF(C879="","",IF(C879="Match",IF(INDEX('Match Log'!$D:$D,D879)="Win",1,IF(INDEX('Match Log'!$D:$D,D879)="Draw",0.5,0)),IF(C879="Tournament",INDEX('Tournament Log'!$K:$K,E879),IF(INDEX('Guest Log'!$C:$C,Q879)="Win",1,IF(INDEX('Guest Log'!$C:$C,Q879)="Draw",0.5,0)))))</f>
        <v/>
      </c>
      <c r="L879" s="12" t="str">
        <f>IF(C879="","",IF(C879="Match",32,IF(C879="Tournament",MIN(32*INDEX('Tournament Log'!$D:$D,E879),96),32)))</f>
        <v/>
      </c>
      <c r="M879" s="12" t="str">
        <f t="shared" si="67"/>
        <v/>
      </c>
      <c r="N879" s="12" t="str">
        <f t="shared" si="68"/>
        <v/>
      </c>
      <c r="O879" s="12" t="str">
        <f t="shared" si="69"/>
        <v/>
      </c>
      <c r="P879" s="12" t="str">
        <f>IF(C879="Tournament",INDEX('Tournament Log'!$B:$B,E879),IF(C879="Guest","Guest: "&amp;INDEX('Guest Log'!$H:$H,Q879),""))</f>
        <v/>
      </c>
      <c r="Q879" t="str">
        <f>IFERROR(MATCH($A879,'Guest Log'!$L$4:$L$203,0)+3,"")</f>
        <v/>
      </c>
    </row>
    <row r="880" spans="1:17" ht="15" customHeight="1" x14ac:dyDescent="0.2">
      <c r="A880" s="40">
        <f>879</f>
        <v>879</v>
      </c>
      <c r="B880" s="40" t="str">
        <f>IF(C880="","",IF(C880="Match",INDEX('Match Log'!$A:$A,D880),IF(C880="Tournament",INDEX('Tournament Log'!$A:$A,E880),INDEX('Guest Log'!$A:$A,Q880))))</f>
        <v/>
      </c>
      <c r="C880" s="40" t="str">
        <f t="shared" si="65"/>
        <v/>
      </c>
      <c r="D880" s="41" t="str">
        <f>IFERROR(MATCH($A880,'Match Log'!$K$3:$K$501,0)+2,"")</f>
        <v/>
      </c>
      <c r="E880" s="41" t="str">
        <f>IFERROR(MATCH($A880,'Tournament Log'!$O$4:$O$203,0)+3,"")</f>
        <v/>
      </c>
      <c r="F880" s="40" t="str">
        <f>IF(C880="","",IF(C880="Match",INDEX('Match Log'!$B:$B,D880),IF(C880="Tournament",INDEX('Tournament Log'!$C:$C,E880),INDEX('Guest Log'!$B:$B,Q880))))</f>
        <v/>
      </c>
      <c r="G880" s="40" t="str">
        <f>IF(C880="","",IF(C880="Match",INDEX('Match Log'!$C:$C,D880),IF(C880="Tournament",INDEX('Tournament Log'!$B:$B,E880)&amp;" (Phantom)",INDEX('Guest Log'!$H:$H,Q880)&amp;" (Guest)")))</f>
        <v/>
      </c>
      <c r="H880" s="40" t="str">
        <f t="array" ref="H880">IF(C880="","",IFERROR(LOOKUP(2,1/(($F$1:F879=F880)+($G$1:G879=F880)),IF($F$1:F879=F880,$N$1:N879,$O$1:O879)),1000))</f>
        <v/>
      </c>
      <c r="I880" s="40" t="str">
        <f t="array" ref="I880">IF(C880="","",IF(C880="Tournament",INDEX('Tournament Log'!$J:$J,E880),IF(C880="Guest",IF(INDEX('Guest Log'!$I:$I,Q880)="",1000,INDEX('Guest Log'!$I:$I,Q880)),IFERROR(LOOKUP(2,1/(($F$1:F879=G880)+($G$1:G879=G880)),IF($F$1:F879=G880,$N$1:N879,$O$1:O879)),1000))))</f>
        <v/>
      </c>
      <c r="J880" s="40" t="str">
        <f t="shared" si="66"/>
        <v/>
      </c>
      <c r="K880" s="12" t="str">
        <f>IF(C880="","",IF(C880="Match",IF(INDEX('Match Log'!$D:$D,D880)="Win",1,IF(INDEX('Match Log'!$D:$D,D880)="Draw",0.5,0)),IF(C880="Tournament",INDEX('Tournament Log'!$K:$K,E880),IF(INDEX('Guest Log'!$C:$C,Q880)="Win",1,IF(INDEX('Guest Log'!$C:$C,Q880)="Draw",0.5,0)))))</f>
        <v/>
      </c>
      <c r="L880" s="12" t="str">
        <f>IF(C880="","",IF(C880="Match",32,IF(C880="Tournament",MIN(32*INDEX('Tournament Log'!$D:$D,E880),96),32)))</f>
        <v/>
      </c>
      <c r="M880" s="12" t="str">
        <f t="shared" si="67"/>
        <v/>
      </c>
      <c r="N880" s="12" t="str">
        <f t="shared" si="68"/>
        <v/>
      </c>
      <c r="O880" s="12" t="str">
        <f t="shared" si="69"/>
        <v/>
      </c>
      <c r="P880" s="12" t="str">
        <f>IF(C880="Tournament",INDEX('Tournament Log'!$B:$B,E880),IF(C880="Guest","Guest: "&amp;INDEX('Guest Log'!$H:$H,Q880),""))</f>
        <v/>
      </c>
      <c r="Q880" t="str">
        <f>IFERROR(MATCH($A880,'Guest Log'!$L$4:$L$203,0)+3,"")</f>
        <v/>
      </c>
    </row>
    <row r="881" spans="1:17" ht="15" customHeight="1" x14ac:dyDescent="0.2">
      <c r="A881" s="40">
        <f>880</f>
        <v>880</v>
      </c>
      <c r="B881" s="40" t="str">
        <f>IF(C881="","",IF(C881="Match",INDEX('Match Log'!$A:$A,D881),IF(C881="Tournament",INDEX('Tournament Log'!$A:$A,E881),INDEX('Guest Log'!$A:$A,Q881))))</f>
        <v/>
      </c>
      <c r="C881" s="40" t="str">
        <f t="shared" si="65"/>
        <v/>
      </c>
      <c r="D881" s="41" t="str">
        <f>IFERROR(MATCH($A881,'Match Log'!$K$3:$K$501,0)+2,"")</f>
        <v/>
      </c>
      <c r="E881" s="41" t="str">
        <f>IFERROR(MATCH($A881,'Tournament Log'!$O$4:$O$203,0)+3,"")</f>
        <v/>
      </c>
      <c r="F881" s="40" t="str">
        <f>IF(C881="","",IF(C881="Match",INDEX('Match Log'!$B:$B,D881),IF(C881="Tournament",INDEX('Tournament Log'!$C:$C,E881),INDEX('Guest Log'!$B:$B,Q881))))</f>
        <v/>
      </c>
      <c r="G881" s="40" t="str">
        <f>IF(C881="","",IF(C881="Match",INDEX('Match Log'!$C:$C,D881),IF(C881="Tournament",INDEX('Tournament Log'!$B:$B,E881)&amp;" (Phantom)",INDEX('Guest Log'!$H:$H,Q881)&amp;" (Guest)")))</f>
        <v/>
      </c>
      <c r="H881" s="40" t="str">
        <f t="array" ref="H881">IF(C881="","",IFERROR(LOOKUP(2,1/(($F$1:F880=F881)+($G$1:G880=F881)),IF($F$1:F880=F881,$N$1:N880,$O$1:O880)),1000))</f>
        <v/>
      </c>
      <c r="I881" s="40" t="str">
        <f t="array" ref="I881">IF(C881="","",IF(C881="Tournament",INDEX('Tournament Log'!$J:$J,E881),IF(C881="Guest",IF(INDEX('Guest Log'!$I:$I,Q881)="",1000,INDEX('Guest Log'!$I:$I,Q881)),IFERROR(LOOKUP(2,1/(($F$1:F880=G881)+($G$1:G880=G881)),IF($F$1:F880=G881,$N$1:N880,$O$1:O880)),1000))))</f>
        <v/>
      </c>
      <c r="J881" s="40" t="str">
        <f t="shared" si="66"/>
        <v/>
      </c>
      <c r="K881" s="12" t="str">
        <f>IF(C881="","",IF(C881="Match",IF(INDEX('Match Log'!$D:$D,D881)="Win",1,IF(INDEX('Match Log'!$D:$D,D881)="Draw",0.5,0)),IF(C881="Tournament",INDEX('Tournament Log'!$K:$K,E881),IF(INDEX('Guest Log'!$C:$C,Q881)="Win",1,IF(INDEX('Guest Log'!$C:$C,Q881)="Draw",0.5,0)))))</f>
        <v/>
      </c>
      <c r="L881" s="12" t="str">
        <f>IF(C881="","",IF(C881="Match",32,IF(C881="Tournament",MIN(32*INDEX('Tournament Log'!$D:$D,E881),96),32)))</f>
        <v/>
      </c>
      <c r="M881" s="12" t="str">
        <f t="shared" si="67"/>
        <v/>
      </c>
      <c r="N881" s="12" t="str">
        <f t="shared" si="68"/>
        <v/>
      </c>
      <c r="O881" s="12" t="str">
        <f t="shared" si="69"/>
        <v/>
      </c>
      <c r="P881" s="12" t="str">
        <f>IF(C881="Tournament",INDEX('Tournament Log'!$B:$B,E881),IF(C881="Guest","Guest: "&amp;INDEX('Guest Log'!$H:$H,Q881),""))</f>
        <v/>
      </c>
      <c r="Q881" t="str">
        <f>IFERROR(MATCH($A881,'Guest Log'!$L$4:$L$203,0)+3,"")</f>
        <v/>
      </c>
    </row>
    <row r="882" spans="1:17" ht="15" customHeight="1" x14ac:dyDescent="0.2">
      <c r="A882" s="40">
        <f>881</f>
        <v>881</v>
      </c>
      <c r="B882" s="40" t="str">
        <f>IF(C882="","",IF(C882="Match",INDEX('Match Log'!$A:$A,D882),IF(C882="Tournament",INDEX('Tournament Log'!$A:$A,E882),INDEX('Guest Log'!$A:$A,Q882))))</f>
        <v/>
      </c>
      <c r="C882" s="40" t="str">
        <f t="shared" si="65"/>
        <v/>
      </c>
      <c r="D882" s="41" t="str">
        <f>IFERROR(MATCH($A882,'Match Log'!$K$3:$K$501,0)+2,"")</f>
        <v/>
      </c>
      <c r="E882" s="41" t="str">
        <f>IFERROR(MATCH($A882,'Tournament Log'!$O$4:$O$203,0)+3,"")</f>
        <v/>
      </c>
      <c r="F882" s="40" t="str">
        <f>IF(C882="","",IF(C882="Match",INDEX('Match Log'!$B:$B,D882),IF(C882="Tournament",INDEX('Tournament Log'!$C:$C,E882),INDEX('Guest Log'!$B:$B,Q882))))</f>
        <v/>
      </c>
      <c r="G882" s="40" t="str">
        <f>IF(C882="","",IF(C882="Match",INDEX('Match Log'!$C:$C,D882),IF(C882="Tournament",INDEX('Tournament Log'!$B:$B,E882)&amp;" (Phantom)",INDEX('Guest Log'!$H:$H,Q882)&amp;" (Guest)")))</f>
        <v/>
      </c>
      <c r="H882" s="40" t="str">
        <f t="array" ref="H882">IF(C882="","",IFERROR(LOOKUP(2,1/(($F$1:F881=F882)+($G$1:G881=F882)),IF($F$1:F881=F882,$N$1:N881,$O$1:O881)),1000))</f>
        <v/>
      </c>
      <c r="I882" s="40" t="str">
        <f t="array" ref="I882">IF(C882="","",IF(C882="Tournament",INDEX('Tournament Log'!$J:$J,E882),IF(C882="Guest",IF(INDEX('Guest Log'!$I:$I,Q882)="",1000,INDEX('Guest Log'!$I:$I,Q882)),IFERROR(LOOKUP(2,1/(($F$1:F881=G882)+($G$1:G881=G882)),IF($F$1:F881=G882,$N$1:N881,$O$1:O881)),1000))))</f>
        <v/>
      </c>
      <c r="J882" s="40" t="str">
        <f t="shared" si="66"/>
        <v/>
      </c>
      <c r="K882" s="12" t="str">
        <f>IF(C882="","",IF(C882="Match",IF(INDEX('Match Log'!$D:$D,D882)="Win",1,IF(INDEX('Match Log'!$D:$D,D882)="Draw",0.5,0)),IF(C882="Tournament",INDEX('Tournament Log'!$K:$K,E882),IF(INDEX('Guest Log'!$C:$C,Q882)="Win",1,IF(INDEX('Guest Log'!$C:$C,Q882)="Draw",0.5,0)))))</f>
        <v/>
      </c>
      <c r="L882" s="12" t="str">
        <f>IF(C882="","",IF(C882="Match",32,IF(C882="Tournament",MIN(32*INDEX('Tournament Log'!$D:$D,E882),96),32)))</f>
        <v/>
      </c>
      <c r="M882" s="12" t="str">
        <f t="shared" si="67"/>
        <v/>
      </c>
      <c r="N882" s="12" t="str">
        <f t="shared" si="68"/>
        <v/>
      </c>
      <c r="O882" s="12" t="str">
        <f t="shared" si="69"/>
        <v/>
      </c>
      <c r="P882" s="12" t="str">
        <f>IF(C882="Tournament",INDEX('Tournament Log'!$B:$B,E882),IF(C882="Guest","Guest: "&amp;INDEX('Guest Log'!$H:$H,Q882),""))</f>
        <v/>
      </c>
      <c r="Q882" t="str">
        <f>IFERROR(MATCH($A882,'Guest Log'!$L$4:$L$203,0)+3,"")</f>
        <v/>
      </c>
    </row>
    <row r="883" spans="1:17" ht="15" customHeight="1" x14ac:dyDescent="0.2">
      <c r="A883" s="40">
        <f>882</f>
        <v>882</v>
      </c>
      <c r="B883" s="40" t="str">
        <f>IF(C883="","",IF(C883="Match",INDEX('Match Log'!$A:$A,D883),IF(C883="Tournament",INDEX('Tournament Log'!$A:$A,E883),INDEX('Guest Log'!$A:$A,Q883))))</f>
        <v/>
      </c>
      <c r="C883" s="40" t="str">
        <f t="shared" si="65"/>
        <v/>
      </c>
      <c r="D883" s="41" t="str">
        <f>IFERROR(MATCH($A883,'Match Log'!$K$3:$K$501,0)+2,"")</f>
        <v/>
      </c>
      <c r="E883" s="41" t="str">
        <f>IFERROR(MATCH($A883,'Tournament Log'!$O$4:$O$203,0)+3,"")</f>
        <v/>
      </c>
      <c r="F883" s="40" t="str">
        <f>IF(C883="","",IF(C883="Match",INDEX('Match Log'!$B:$B,D883),IF(C883="Tournament",INDEX('Tournament Log'!$C:$C,E883),INDEX('Guest Log'!$B:$B,Q883))))</f>
        <v/>
      </c>
      <c r="G883" s="40" t="str">
        <f>IF(C883="","",IF(C883="Match",INDEX('Match Log'!$C:$C,D883),IF(C883="Tournament",INDEX('Tournament Log'!$B:$B,E883)&amp;" (Phantom)",INDEX('Guest Log'!$H:$H,Q883)&amp;" (Guest)")))</f>
        <v/>
      </c>
      <c r="H883" s="40" t="str">
        <f t="array" ref="H883">IF(C883="","",IFERROR(LOOKUP(2,1/(($F$1:F882=F883)+($G$1:G882=F883)),IF($F$1:F882=F883,$N$1:N882,$O$1:O882)),1000))</f>
        <v/>
      </c>
      <c r="I883" s="40" t="str">
        <f t="array" ref="I883">IF(C883="","",IF(C883="Tournament",INDEX('Tournament Log'!$J:$J,E883),IF(C883="Guest",IF(INDEX('Guest Log'!$I:$I,Q883)="",1000,INDEX('Guest Log'!$I:$I,Q883)),IFERROR(LOOKUP(2,1/(($F$1:F882=G883)+($G$1:G882=G883)),IF($F$1:F882=G883,$N$1:N882,$O$1:O882)),1000))))</f>
        <v/>
      </c>
      <c r="J883" s="40" t="str">
        <f t="shared" si="66"/>
        <v/>
      </c>
      <c r="K883" s="12" t="str">
        <f>IF(C883="","",IF(C883="Match",IF(INDEX('Match Log'!$D:$D,D883)="Win",1,IF(INDEX('Match Log'!$D:$D,D883)="Draw",0.5,0)),IF(C883="Tournament",INDEX('Tournament Log'!$K:$K,E883),IF(INDEX('Guest Log'!$C:$C,Q883)="Win",1,IF(INDEX('Guest Log'!$C:$C,Q883)="Draw",0.5,0)))))</f>
        <v/>
      </c>
      <c r="L883" s="12" t="str">
        <f>IF(C883="","",IF(C883="Match",32,IF(C883="Tournament",MIN(32*INDEX('Tournament Log'!$D:$D,E883),96),32)))</f>
        <v/>
      </c>
      <c r="M883" s="12" t="str">
        <f t="shared" si="67"/>
        <v/>
      </c>
      <c r="N883" s="12" t="str">
        <f t="shared" si="68"/>
        <v/>
      </c>
      <c r="O883" s="12" t="str">
        <f t="shared" si="69"/>
        <v/>
      </c>
      <c r="P883" s="12" t="str">
        <f>IF(C883="Tournament",INDEX('Tournament Log'!$B:$B,E883),IF(C883="Guest","Guest: "&amp;INDEX('Guest Log'!$H:$H,Q883),""))</f>
        <v/>
      </c>
      <c r="Q883" t="str">
        <f>IFERROR(MATCH($A883,'Guest Log'!$L$4:$L$203,0)+3,"")</f>
        <v/>
      </c>
    </row>
    <row r="884" spans="1:17" ht="15" customHeight="1" x14ac:dyDescent="0.2">
      <c r="A884" s="40">
        <f>883</f>
        <v>883</v>
      </c>
      <c r="B884" s="40" t="str">
        <f>IF(C884="","",IF(C884="Match",INDEX('Match Log'!$A:$A,D884),IF(C884="Tournament",INDEX('Tournament Log'!$A:$A,E884),INDEX('Guest Log'!$A:$A,Q884))))</f>
        <v/>
      </c>
      <c r="C884" s="40" t="str">
        <f t="shared" si="65"/>
        <v/>
      </c>
      <c r="D884" s="41" t="str">
        <f>IFERROR(MATCH($A884,'Match Log'!$K$3:$K$501,0)+2,"")</f>
        <v/>
      </c>
      <c r="E884" s="41" t="str">
        <f>IFERROR(MATCH($A884,'Tournament Log'!$O$4:$O$203,0)+3,"")</f>
        <v/>
      </c>
      <c r="F884" s="40" t="str">
        <f>IF(C884="","",IF(C884="Match",INDEX('Match Log'!$B:$B,D884),IF(C884="Tournament",INDEX('Tournament Log'!$C:$C,E884),INDEX('Guest Log'!$B:$B,Q884))))</f>
        <v/>
      </c>
      <c r="G884" s="40" t="str">
        <f>IF(C884="","",IF(C884="Match",INDEX('Match Log'!$C:$C,D884),IF(C884="Tournament",INDEX('Tournament Log'!$B:$B,E884)&amp;" (Phantom)",INDEX('Guest Log'!$H:$H,Q884)&amp;" (Guest)")))</f>
        <v/>
      </c>
      <c r="H884" s="40" t="str">
        <f t="array" ref="H884">IF(C884="","",IFERROR(LOOKUP(2,1/(($F$1:F883=F884)+($G$1:G883=F884)),IF($F$1:F883=F884,$N$1:N883,$O$1:O883)),1000))</f>
        <v/>
      </c>
      <c r="I884" s="40" t="str">
        <f t="array" ref="I884">IF(C884="","",IF(C884="Tournament",INDEX('Tournament Log'!$J:$J,E884),IF(C884="Guest",IF(INDEX('Guest Log'!$I:$I,Q884)="",1000,INDEX('Guest Log'!$I:$I,Q884)),IFERROR(LOOKUP(2,1/(($F$1:F883=G884)+($G$1:G883=G884)),IF($F$1:F883=G884,$N$1:N883,$O$1:O883)),1000))))</f>
        <v/>
      </c>
      <c r="J884" s="40" t="str">
        <f t="shared" si="66"/>
        <v/>
      </c>
      <c r="K884" s="12" t="str">
        <f>IF(C884="","",IF(C884="Match",IF(INDEX('Match Log'!$D:$D,D884)="Win",1,IF(INDEX('Match Log'!$D:$D,D884)="Draw",0.5,0)),IF(C884="Tournament",INDEX('Tournament Log'!$K:$K,E884),IF(INDEX('Guest Log'!$C:$C,Q884)="Win",1,IF(INDEX('Guest Log'!$C:$C,Q884)="Draw",0.5,0)))))</f>
        <v/>
      </c>
      <c r="L884" s="12" t="str">
        <f>IF(C884="","",IF(C884="Match",32,IF(C884="Tournament",MIN(32*INDEX('Tournament Log'!$D:$D,E884),96),32)))</f>
        <v/>
      </c>
      <c r="M884" s="12" t="str">
        <f t="shared" si="67"/>
        <v/>
      </c>
      <c r="N884" s="12" t="str">
        <f t="shared" si="68"/>
        <v/>
      </c>
      <c r="O884" s="12" t="str">
        <f t="shared" si="69"/>
        <v/>
      </c>
      <c r="P884" s="12" t="str">
        <f>IF(C884="Tournament",INDEX('Tournament Log'!$B:$B,E884),IF(C884="Guest","Guest: "&amp;INDEX('Guest Log'!$H:$H,Q884),""))</f>
        <v/>
      </c>
      <c r="Q884" t="str">
        <f>IFERROR(MATCH($A884,'Guest Log'!$L$4:$L$203,0)+3,"")</f>
        <v/>
      </c>
    </row>
    <row r="885" spans="1:17" ht="15" customHeight="1" x14ac:dyDescent="0.2">
      <c r="A885" s="40">
        <f>884</f>
        <v>884</v>
      </c>
      <c r="B885" s="40" t="str">
        <f>IF(C885="","",IF(C885="Match",INDEX('Match Log'!$A:$A,D885),IF(C885="Tournament",INDEX('Tournament Log'!$A:$A,E885),INDEX('Guest Log'!$A:$A,Q885))))</f>
        <v/>
      </c>
      <c r="C885" s="40" t="str">
        <f t="shared" si="65"/>
        <v/>
      </c>
      <c r="D885" s="41" t="str">
        <f>IFERROR(MATCH($A885,'Match Log'!$K$3:$K$501,0)+2,"")</f>
        <v/>
      </c>
      <c r="E885" s="41" t="str">
        <f>IFERROR(MATCH($A885,'Tournament Log'!$O$4:$O$203,0)+3,"")</f>
        <v/>
      </c>
      <c r="F885" s="40" t="str">
        <f>IF(C885="","",IF(C885="Match",INDEX('Match Log'!$B:$B,D885),IF(C885="Tournament",INDEX('Tournament Log'!$C:$C,E885),INDEX('Guest Log'!$B:$B,Q885))))</f>
        <v/>
      </c>
      <c r="G885" s="40" t="str">
        <f>IF(C885="","",IF(C885="Match",INDEX('Match Log'!$C:$C,D885),IF(C885="Tournament",INDEX('Tournament Log'!$B:$B,E885)&amp;" (Phantom)",INDEX('Guest Log'!$H:$H,Q885)&amp;" (Guest)")))</f>
        <v/>
      </c>
      <c r="H885" s="40" t="str">
        <f t="array" ref="H885">IF(C885="","",IFERROR(LOOKUP(2,1/(($F$1:F884=F885)+($G$1:G884=F885)),IF($F$1:F884=F885,$N$1:N884,$O$1:O884)),1000))</f>
        <v/>
      </c>
      <c r="I885" s="40" t="str">
        <f t="array" ref="I885">IF(C885="","",IF(C885="Tournament",INDEX('Tournament Log'!$J:$J,E885),IF(C885="Guest",IF(INDEX('Guest Log'!$I:$I,Q885)="",1000,INDEX('Guest Log'!$I:$I,Q885)),IFERROR(LOOKUP(2,1/(($F$1:F884=G885)+($G$1:G884=G885)),IF($F$1:F884=G885,$N$1:N884,$O$1:O884)),1000))))</f>
        <v/>
      </c>
      <c r="J885" s="40" t="str">
        <f t="shared" si="66"/>
        <v/>
      </c>
      <c r="K885" s="12" t="str">
        <f>IF(C885="","",IF(C885="Match",IF(INDEX('Match Log'!$D:$D,D885)="Win",1,IF(INDEX('Match Log'!$D:$D,D885)="Draw",0.5,0)),IF(C885="Tournament",INDEX('Tournament Log'!$K:$K,E885),IF(INDEX('Guest Log'!$C:$C,Q885)="Win",1,IF(INDEX('Guest Log'!$C:$C,Q885)="Draw",0.5,0)))))</f>
        <v/>
      </c>
      <c r="L885" s="12" t="str">
        <f>IF(C885="","",IF(C885="Match",32,IF(C885="Tournament",MIN(32*INDEX('Tournament Log'!$D:$D,E885),96),32)))</f>
        <v/>
      </c>
      <c r="M885" s="12" t="str">
        <f t="shared" si="67"/>
        <v/>
      </c>
      <c r="N885" s="12" t="str">
        <f t="shared" si="68"/>
        <v/>
      </c>
      <c r="O885" s="12" t="str">
        <f t="shared" si="69"/>
        <v/>
      </c>
      <c r="P885" s="12" t="str">
        <f>IF(C885="Tournament",INDEX('Tournament Log'!$B:$B,E885),IF(C885="Guest","Guest: "&amp;INDEX('Guest Log'!$H:$H,Q885),""))</f>
        <v/>
      </c>
      <c r="Q885" t="str">
        <f>IFERROR(MATCH($A885,'Guest Log'!$L$4:$L$203,0)+3,"")</f>
        <v/>
      </c>
    </row>
    <row r="886" spans="1:17" ht="15" customHeight="1" x14ac:dyDescent="0.2">
      <c r="A886" s="40">
        <f>885</f>
        <v>885</v>
      </c>
      <c r="B886" s="40" t="str">
        <f>IF(C886="","",IF(C886="Match",INDEX('Match Log'!$A:$A,D886),IF(C886="Tournament",INDEX('Tournament Log'!$A:$A,E886),INDEX('Guest Log'!$A:$A,Q886))))</f>
        <v/>
      </c>
      <c r="C886" s="40" t="str">
        <f t="shared" si="65"/>
        <v/>
      </c>
      <c r="D886" s="41" t="str">
        <f>IFERROR(MATCH($A886,'Match Log'!$K$3:$K$501,0)+2,"")</f>
        <v/>
      </c>
      <c r="E886" s="41" t="str">
        <f>IFERROR(MATCH($A886,'Tournament Log'!$O$4:$O$203,0)+3,"")</f>
        <v/>
      </c>
      <c r="F886" s="40" t="str">
        <f>IF(C886="","",IF(C886="Match",INDEX('Match Log'!$B:$B,D886),IF(C886="Tournament",INDEX('Tournament Log'!$C:$C,E886),INDEX('Guest Log'!$B:$B,Q886))))</f>
        <v/>
      </c>
      <c r="G886" s="40" t="str">
        <f>IF(C886="","",IF(C886="Match",INDEX('Match Log'!$C:$C,D886),IF(C886="Tournament",INDEX('Tournament Log'!$B:$B,E886)&amp;" (Phantom)",INDEX('Guest Log'!$H:$H,Q886)&amp;" (Guest)")))</f>
        <v/>
      </c>
      <c r="H886" s="40" t="str">
        <f t="array" ref="H886">IF(C886="","",IFERROR(LOOKUP(2,1/(($F$1:F885=F886)+($G$1:G885=F886)),IF($F$1:F885=F886,$N$1:N885,$O$1:O885)),1000))</f>
        <v/>
      </c>
      <c r="I886" s="40" t="str">
        <f t="array" ref="I886">IF(C886="","",IF(C886="Tournament",INDEX('Tournament Log'!$J:$J,E886),IF(C886="Guest",IF(INDEX('Guest Log'!$I:$I,Q886)="",1000,INDEX('Guest Log'!$I:$I,Q886)),IFERROR(LOOKUP(2,1/(($F$1:F885=G886)+($G$1:G885=G886)),IF($F$1:F885=G886,$N$1:N885,$O$1:O885)),1000))))</f>
        <v/>
      </c>
      <c r="J886" s="40" t="str">
        <f t="shared" si="66"/>
        <v/>
      </c>
      <c r="K886" s="12" t="str">
        <f>IF(C886="","",IF(C886="Match",IF(INDEX('Match Log'!$D:$D,D886)="Win",1,IF(INDEX('Match Log'!$D:$D,D886)="Draw",0.5,0)),IF(C886="Tournament",INDEX('Tournament Log'!$K:$K,E886),IF(INDEX('Guest Log'!$C:$C,Q886)="Win",1,IF(INDEX('Guest Log'!$C:$C,Q886)="Draw",0.5,0)))))</f>
        <v/>
      </c>
      <c r="L886" s="12" t="str">
        <f>IF(C886="","",IF(C886="Match",32,IF(C886="Tournament",MIN(32*INDEX('Tournament Log'!$D:$D,E886),96),32)))</f>
        <v/>
      </c>
      <c r="M886" s="12" t="str">
        <f t="shared" si="67"/>
        <v/>
      </c>
      <c r="N886" s="12" t="str">
        <f t="shared" si="68"/>
        <v/>
      </c>
      <c r="O886" s="12" t="str">
        <f t="shared" si="69"/>
        <v/>
      </c>
      <c r="P886" s="12" t="str">
        <f>IF(C886="Tournament",INDEX('Tournament Log'!$B:$B,E886),IF(C886="Guest","Guest: "&amp;INDEX('Guest Log'!$H:$H,Q886),""))</f>
        <v/>
      </c>
      <c r="Q886" t="str">
        <f>IFERROR(MATCH($A886,'Guest Log'!$L$4:$L$203,0)+3,"")</f>
        <v/>
      </c>
    </row>
    <row r="887" spans="1:17" ht="15" customHeight="1" x14ac:dyDescent="0.2">
      <c r="A887" s="40">
        <f>886</f>
        <v>886</v>
      </c>
      <c r="B887" s="40" t="str">
        <f>IF(C887="","",IF(C887="Match",INDEX('Match Log'!$A:$A,D887),IF(C887="Tournament",INDEX('Tournament Log'!$A:$A,E887),INDEX('Guest Log'!$A:$A,Q887))))</f>
        <v/>
      </c>
      <c r="C887" s="40" t="str">
        <f t="shared" si="65"/>
        <v/>
      </c>
      <c r="D887" s="41" t="str">
        <f>IFERROR(MATCH($A887,'Match Log'!$K$3:$K$501,0)+2,"")</f>
        <v/>
      </c>
      <c r="E887" s="41" t="str">
        <f>IFERROR(MATCH($A887,'Tournament Log'!$O$4:$O$203,0)+3,"")</f>
        <v/>
      </c>
      <c r="F887" s="40" t="str">
        <f>IF(C887="","",IF(C887="Match",INDEX('Match Log'!$B:$B,D887),IF(C887="Tournament",INDEX('Tournament Log'!$C:$C,E887),INDEX('Guest Log'!$B:$B,Q887))))</f>
        <v/>
      </c>
      <c r="G887" s="40" t="str">
        <f>IF(C887="","",IF(C887="Match",INDEX('Match Log'!$C:$C,D887),IF(C887="Tournament",INDEX('Tournament Log'!$B:$B,E887)&amp;" (Phantom)",INDEX('Guest Log'!$H:$H,Q887)&amp;" (Guest)")))</f>
        <v/>
      </c>
      <c r="H887" s="40" t="str">
        <f t="array" ref="H887">IF(C887="","",IFERROR(LOOKUP(2,1/(($F$1:F886=F887)+($G$1:G886=F887)),IF($F$1:F886=F887,$N$1:N886,$O$1:O886)),1000))</f>
        <v/>
      </c>
      <c r="I887" s="40" t="str">
        <f t="array" ref="I887">IF(C887="","",IF(C887="Tournament",INDEX('Tournament Log'!$J:$J,E887),IF(C887="Guest",IF(INDEX('Guest Log'!$I:$I,Q887)="",1000,INDEX('Guest Log'!$I:$I,Q887)),IFERROR(LOOKUP(2,1/(($F$1:F886=G887)+($G$1:G886=G887)),IF($F$1:F886=G887,$N$1:N886,$O$1:O886)),1000))))</f>
        <v/>
      </c>
      <c r="J887" s="40" t="str">
        <f t="shared" si="66"/>
        <v/>
      </c>
      <c r="K887" s="12" t="str">
        <f>IF(C887="","",IF(C887="Match",IF(INDEX('Match Log'!$D:$D,D887)="Win",1,IF(INDEX('Match Log'!$D:$D,D887)="Draw",0.5,0)),IF(C887="Tournament",INDEX('Tournament Log'!$K:$K,E887),IF(INDEX('Guest Log'!$C:$C,Q887)="Win",1,IF(INDEX('Guest Log'!$C:$C,Q887)="Draw",0.5,0)))))</f>
        <v/>
      </c>
      <c r="L887" s="12" t="str">
        <f>IF(C887="","",IF(C887="Match",32,IF(C887="Tournament",MIN(32*INDEX('Tournament Log'!$D:$D,E887),96),32)))</f>
        <v/>
      </c>
      <c r="M887" s="12" t="str">
        <f t="shared" si="67"/>
        <v/>
      </c>
      <c r="N887" s="12" t="str">
        <f t="shared" si="68"/>
        <v/>
      </c>
      <c r="O887" s="12" t="str">
        <f t="shared" si="69"/>
        <v/>
      </c>
      <c r="P887" s="12" t="str">
        <f>IF(C887="Tournament",INDEX('Tournament Log'!$B:$B,E887),IF(C887="Guest","Guest: "&amp;INDEX('Guest Log'!$H:$H,Q887),""))</f>
        <v/>
      </c>
      <c r="Q887" t="str">
        <f>IFERROR(MATCH($A887,'Guest Log'!$L$4:$L$203,0)+3,"")</f>
        <v/>
      </c>
    </row>
    <row r="888" spans="1:17" ht="15" customHeight="1" x14ac:dyDescent="0.2">
      <c r="A888" s="40">
        <f>887</f>
        <v>887</v>
      </c>
      <c r="B888" s="40" t="str">
        <f>IF(C888="","",IF(C888="Match",INDEX('Match Log'!$A:$A,D888),IF(C888="Tournament",INDEX('Tournament Log'!$A:$A,E888),INDEX('Guest Log'!$A:$A,Q888))))</f>
        <v/>
      </c>
      <c r="C888" s="40" t="str">
        <f t="shared" si="65"/>
        <v/>
      </c>
      <c r="D888" s="41" t="str">
        <f>IFERROR(MATCH($A888,'Match Log'!$K$3:$K$501,0)+2,"")</f>
        <v/>
      </c>
      <c r="E888" s="41" t="str">
        <f>IFERROR(MATCH($A888,'Tournament Log'!$O$4:$O$203,0)+3,"")</f>
        <v/>
      </c>
      <c r="F888" s="40" t="str">
        <f>IF(C888="","",IF(C888="Match",INDEX('Match Log'!$B:$B,D888),IF(C888="Tournament",INDEX('Tournament Log'!$C:$C,E888),INDEX('Guest Log'!$B:$B,Q888))))</f>
        <v/>
      </c>
      <c r="G888" s="40" t="str">
        <f>IF(C888="","",IF(C888="Match",INDEX('Match Log'!$C:$C,D888),IF(C888="Tournament",INDEX('Tournament Log'!$B:$B,E888)&amp;" (Phantom)",INDEX('Guest Log'!$H:$H,Q888)&amp;" (Guest)")))</f>
        <v/>
      </c>
      <c r="H888" s="40" t="str">
        <f t="array" ref="H888">IF(C888="","",IFERROR(LOOKUP(2,1/(($F$1:F887=F888)+($G$1:G887=F888)),IF($F$1:F887=F888,$N$1:N887,$O$1:O887)),1000))</f>
        <v/>
      </c>
      <c r="I888" s="40" t="str">
        <f t="array" ref="I888">IF(C888="","",IF(C888="Tournament",INDEX('Tournament Log'!$J:$J,E888),IF(C888="Guest",IF(INDEX('Guest Log'!$I:$I,Q888)="",1000,INDEX('Guest Log'!$I:$I,Q888)),IFERROR(LOOKUP(2,1/(($F$1:F887=G888)+($G$1:G887=G888)),IF($F$1:F887=G888,$N$1:N887,$O$1:O887)),1000))))</f>
        <v/>
      </c>
      <c r="J888" s="40" t="str">
        <f t="shared" si="66"/>
        <v/>
      </c>
      <c r="K888" s="12" t="str">
        <f>IF(C888="","",IF(C888="Match",IF(INDEX('Match Log'!$D:$D,D888)="Win",1,IF(INDEX('Match Log'!$D:$D,D888)="Draw",0.5,0)),IF(C888="Tournament",INDEX('Tournament Log'!$K:$K,E888),IF(INDEX('Guest Log'!$C:$C,Q888)="Win",1,IF(INDEX('Guest Log'!$C:$C,Q888)="Draw",0.5,0)))))</f>
        <v/>
      </c>
      <c r="L888" s="12" t="str">
        <f>IF(C888="","",IF(C888="Match",32,IF(C888="Tournament",MIN(32*INDEX('Tournament Log'!$D:$D,E888),96),32)))</f>
        <v/>
      </c>
      <c r="M888" s="12" t="str">
        <f t="shared" si="67"/>
        <v/>
      </c>
      <c r="N888" s="12" t="str">
        <f t="shared" si="68"/>
        <v/>
      </c>
      <c r="O888" s="12" t="str">
        <f t="shared" si="69"/>
        <v/>
      </c>
      <c r="P888" s="12" t="str">
        <f>IF(C888="Tournament",INDEX('Tournament Log'!$B:$B,E888),IF(C888="Guest","Guest: "&amp;INDEX('Guest Log'!$H:$H,Q888),""))</f>
        <v/>
      </c>
      <c r="Q888" t="str">
        <f>IFERROR(MATCH($A888,'Guest Log'!$L$4:$L$203,0)+3,"")</f>
        <v/>
      </c>
    </row>
    <row r="889" spans="1:17" ht="15" customHeight="1" x14ac:dyDescent="0.2">
      <c r="A889" s="40">
        <f>888</f>
        <v>888</v>
      </c>
      <c r="B889" s="40" t="str">
        <f>IF(C889="","",IF(C889="Match",INDEX('Match Log'!$A:$A,D889),IF(C889="Tournament",INDEX('Tournament Log'!$A:$A,E889),INDEX('Guest Log'!$A:$A,Q889))))</f>
        <v/>
      </c>
      <c r="C889" s="40" t="str">
        <f t="shared" si="65"/>
        <v/>
      </c>
      <c r="D889" s="41" t="str">
        <f>IFERROR(MATCH($A889,'Match Log'!$K$3:$K$501,0)+2,"")</f>
        <v/>
      </c>
      <c r="E889" s="41" t="str">
        <f>IFERROR(MATCH($A889,'Tournament Log'!$O$4:$O$203,0)+3,"")</f>
        <v/>
      </c>
      <c r="F889" s="40" t="str">
        <f>IF(C889="","",IF(C889="Match",INDEX('Match Log'!$B:$B,D889),IF(C889="Tournament",INDEX('Tournament Log'!$C:$C,E889),INDEX('Guest Log'!$B:$B,Q889))))</f>
        <v/>
      </c>
      <c r="G889" s="40" t="str">
        <f>IF(C889="","",IF(C889="Match",INDEX('Match Log'!$C:$C,D889),IF(C889="Tournament",INDEX('Tournament Log'!$B:$B,E889)&amp;" (Phantom)",INDEX('Guest Log'!$H:$H,Q889)&amp;" (Guest)")))</f>
        <v/>
      </c>
      <c r="H889" s="40" t="str">
        <f t="array" ref="H889">IF(C889="","",IFERROR(LOOKUP(2,1/(($F$1:F888=F889)+($G$1:G888=F889)),IF($F$1:F888=F889,$N$1:N888,$O$1:O888)),1000))</f>
        <v/>
      </c>
      <c r="I889" s="40" t="str">
        <f t="array" ref="I889">IF(C889="","",IF(C889="Tournament",INDEX('Tournament Log'!$J:$J,E889),IF(C889="Guest",IF(INDEX('Guest Log'!$I:$I,Q889)="",1000,INDEX('Guest Log'!$I:$I,Q889)),IFERROR(LOOKUP(2,1/(($F$1:F888=G889)+($G$1:G888=G889)),IF($F$1:F888=G889,$N$1:N888,$O$1:O888)),1000))))</f>
        <v/>
      </c>
      <c r="J889" s="40" t="str">
        <f t="shared" si="66"/>
        <v/>
      </c>
      <c r="K889" s="12" t="str">
        <f>IF(C889="","",IF(C889="Match",IF(INDEX('Match Log'!$D:$D,D889)="Win",1,IF(INDEX('Match Log'!$D:$D,D889)="Draw",0.5,0)),IF(C889="Tournament",INDEX('Tournament Log'!$K:$K,E889),IF(INDEX('Guest Log'!$C:$C,Q889)="Win",1,IF(INDEX('Guest Log'!$C:$C,Q889)="Draw",0.5,0)))))</f>
        <v/>
      </c>
      <c r="L889" s="12" t="str">
        <f>IF(C889="","",IF(C889="Match",32,IF(C889="Tournament",MIN(32*INDEX('Tournament Log'!$D:$D,E889),96),32)))</f>
        <v/>
      </c>
      <c r="M889" s="12" t="str">
        <f t="shared" si="67"/>
        <v/>
      </c>
      <c r="N889" s="12" t="str">
        <f t="shared" si="68"/>
        <v/>
      </c>
      <c r="O889" s="12" t="str">
        <f t="shared" si="69"/>
        <v/>
      </c>
      <c r="P889" s="12" t="str">
        <f>IF(C889="Tournament",INDEX('Tournament Log'!$B:$B,E889),IF(C889="Guest","Guest: "&amp;INDEX('Guest Log'!$H:$H,Q889),""))</f>
        <v/>
      </c>
      <c r="Q889" t="str">
        <f>IFERROR(MATCH($A889,'Guest Log'!$L$4:$L$203,0)+3,"")</f>
        <v/>
      </c>
    </row>
    <row r="890" spans="1:17" ht="15" customHeight="1" x14ac:dyDescent="0.2">
      <c r="A890" s="40">
        <f>889</f>
        <v>889</v>
      </c>
      <c r="B890" s="40" t="str">
        <f>IF(C890="","",IF(C890="Match",INDEX('Match Log'!$A:$A,D890),IF(C890="Tournament",INDEX('Tournament Log'!$A:$A,E890),INDEX('Guest Log'!$A:$A,Q890))))</f>
        <v/>
      </c>
      <c r="C890" s="40" t="str">
        <f t="shared" si="65"/>
        <v/>
      </c>
      <c r="D890" s="41" t="str">
        <f>IFERROR(MATCH($A890,'Match Log'!$K$3:$K$501,0)+2,"")</f>
        <v/>
      </c>
      <c r="E890" s="41" t="str">
        <f>IFERROR(MATCH($A890,'Tournament Log'!$O$4:$O$203,0)+3,"")</f>
        <v/>
      </c>
      <c r="F890" s="40" t="str">
        <f>IF(C890="","",IF(C890="Match",INDEX('Match Log'!$B:$B,D890),IF(C890="Tournament",INDEX('Tournament Log'!$C:$C,E890),INDEX('Guest Log'!$B:$B,Q890))))</f>
        <v/>
      </c>
      <c r="G890" s="40" t="str">
        <f>IF(C890="","",IF(C890="Match",INDEX('Match Log'!$C:$C,D890),IF(C890="Tournament",INDEX('Tournament Log'!$B:$B,E890)&amp;" (Phantom)",INDEX('Guest Log'!$H:$H,Q890)&amp;" (Guest)")))</f>
        <v/>
      </c>
      <c r="H890" s="40" t="str">
        <f t="array" ref="H890">IF(C890="","",IFERROR(LOOKUP(2,1/(($F$1:F889=F890)+($G$1:G889=F890)),IF($F$1:F889=F890,$N$1:N889,$O$1:O889)),1000))</f>
        <v/>
      </c>
      <c r="I890" s="40" t="str">
        <f t="array" ref="I890">IF(C890="","",IF(C890="Tournament",INDEX('Tournament Log'!$J:$J,E890),IF(C890="Guest",IF(INDEX('Guest Log'!$I:$I,Q890)="",1000,INDEX('Guest Log'!$I:$I,Q890)),IFERROR(LOOKUP(2,1/(($F$1:F889=G890)+($G$1:G889=G890)),IF($F$1:F889=G890,$N$1:N889,$O$1:O889)),1000))))</f>
        <v/>
      </c>
      <c r="J890" s="40" t="str">
        <f t="shared" si="66"/>
        <v/>
      </c>
      <c r="K890" s="12" t="str">
        <f>IF(C890="","",IF(C890="Match",IF(INDEX('Match Log'!$D:$D,D890)="Win",1,IF(INDEX('Match Log'!$D:$D,D890)="Draw",0.5,0)),IF(C890="Tournament",INDEX('Tournament Log'!$K:$K,E890),IF(INDEX('Guest Log'!$C:$C,Q890)="Win",1,IF(INDEX('Guest Log'!$C:$C,Q890)="Draw",0.5,0)))))</f>
        <v/>
      </c>
      <c r="L890" s="12" t="str">
        <f>IF(C890="","",IF(C890="Match",32,IF(C890="Tournament",MIN(32*INDEX('Tournament Log'!$D:$D,E890),96),32)))</f>
        <v/>
      </c>
      <c r="M890" s="12" t="str">
        <f t="shared" si="67"/>
        <v/>
      </c>
      <c r="N890" s="12" t="str">
        <f t="shared" si="68"/>
        <v/>
      </c>
      <c r="O890" s="12" t="str">
        <f t="shared" si="69"/>
        <v/>
      </c>
      <c r="P890" s="12" t="str">
        <f>IF(C890="Tournament",INDEX('Tournament Log'!$B:$B,E890),IF(C890="Guest","Guest: "&amp;INDEX('Guest Log'!$H:$H,Q890),""))</f>
        <v/>
      </c>
      <c r="Q890" t="str">
        <f>IFERROR(MATCH($A890,'Guest Log'!$L$4:$L$203,0)+3,"")</f>
        <v/>
      </c>
    </row>
    <row r="891" spans="1:17" ht="15" customHeight="1" x14ac:dyDescent="0.2">
      <c r="A891" s="40">
        <f>890</f>
        <v>890</v>
      </c>
      <c r="B891" s="40" t="str">
        <f>IF(C891="","",IF(C891="Match",INDEX('Match Log'!$A:$A,D891),IF(C891="Tournament",INDEX('Tournament Log'!$A:$A,E891),INDEX('Guest Log'!$A:$A,Q891))))</f>
        <v/>
      </c>
      <c r="C891" s="40" t="str">
        <f t="shared" si="65"/>
        <v/>
      </c>
      <c r="D891" s="41" t="str">
        <f>IFERROR(MATCH($A891,'Match Log'!$K$3:$K$501,0)+2,"")</f>
        <v/>
      </c>
      <c r="E891" s="41" t="str">
        <f>IFERROR(MATCH($A891,'Tournament Log'!$O$4:$O$203,0)+3,"")</f>
        <v/>
      </c>
      <c r="F891" s="40" t="str">
        <f>IF(C891="","",IF(C891="Match",INDEX('Match Log'!$B:$B,D891),IF(C891="Tournament",INDEX('Tournament Log'!$C:$C,E891),INDEX('Guest Log'!$B:$B,Q891))))</f>
        <v/>
      </c>
      <c r="G891" s="40" t="str">
        <f>IF(C891="","",IF(C891="Match",INDEX('Match Log'!$C:$C,D891),IF(C891="Tournament",INDEX('Tournament Log'!$B:$B,E891)&amp;" (Phantom)",INDEX('Guest Log'!$H:$H,Q891)&amp;" (Guest)")))</f>
        <v/>
      </c>
      <c r="H891" s="40" t="str">
        <f t="array" ref="H891">IF(C891="","",IFERROR(LOOKUP(2,1/(($F$1:F890=F891)+($G$1:G890=F891)),IF($F$1:F890=F891,$N$1:N890,$O$1:O890)),1000))</f>
        <v/>
      </c>
      <c r="I891" s="40" t="str">
        <f t="array" ref="I891">IF(C891="","",IF(C891="Tournament",INDEX('Tournament Log'!$J:$J,E891),IF(C891="Guest",IF(INDEX('Guest Log'!$I:$I,Q891)="",1000,INDEX('Guest Log'!$I:$I,Q891)),IFERROR(LOOKUP(2,1/(($F$1:F890=G891)+($G$1:G890=G891)),IF($F$1:F890=G891,$N$1:N890,$O$1:O890)),1000))))</f>
        <v/>
      </c>
      <c r="J891" s="40" t="str">
        <f t="shared" si="66"/>
        <v/>
      </c>
      <c r="K891" s="12" t="str">
        <f>IF(C891="","",IF(C891="Match",IF(INDEX('Match Log'!$D:$D,D891)="Win",1,IF(INDEX('Match Log'!$D:$D,D891)="Draw",0.5,0)),IF(C891="Tournament",INDEX('Tournament Log'!$K:$K,E891),IF(INDEX('Guest Log'!$C:$C,Q891)="Win",1,IF(INDEX('Guest Log'!$C:$C,Q891)="Draw",0.5,0)))))</f>
        <v/>
      </c>
      <c r="L891" s="12" t="str">
        <f>IF(C891="","",IF(C891="Match",32,IF(C891="Tournament",MIN(32*INDEX('Tournament Log'!$D:$D,E891),96),32)))</f>
        <v/>
      </c>
      <c r="M891" s="12" t="str">
        <f t="shared" si="67"/>
        <v/>
      </c>
      <c r="N891" s="12" t="str">
        <f t="shared" si="68"/>
        <v/>
      </c>
      <c r="O891" s="12" t="str">
        <f t="shared" si="69"/>
        <v/>
      </c>
      <c r="P891" s="12" t="str">
        <f>IF(C891="Tournament",INDEX('Tournament Log'!$B:$B,E891),IF(C891="Guest","Guest: "&amp;INDEX('Guest Log'!$H:$H,Q891),""))</f>
        <v/>
      </c>
      <c r="Q891" t="str">
        <f>IFERROR(MATCH($A891,'Guest Log'!$L$4:$L$203,0)+3,"")</f>
        <v/>
      </c>
    </row>
    <row r="892" spans="1:17" ht="15" customHeight="1" x14ac:dyDescent="0.2">
      <c r="A892" s="40">
        <f>891</f>
        <v>891</v>
      </c>
      <c r="B892" s="40" t="str">
        <f>IF(C892="","",IF(C892="Match",INDEX('Match Log'!$A:$A,D892),IF(C892="Tournament",INDEX('Tournament Log'!$A:$A,E892),INDEX('Guest Log'!$A:$A,Q892))))</f>
        <v/>
      </c>
      <c r="C892" s="40" t="str">
        <f t="shared" si="65"/>
        <v/>
      </c>
      <c r="D892" s="41" t="str">
        <f>IFERROR(MATCH($A892,'Match Log'!$K$3:$K$501,0)+2,"")</f>
        <v/>
      </c>
      <c r="E892" s="41" t="str">
        <f>IFERROR(MATCH($A892,'Tournament Log'!$O$4:$O$203,0)+3,"")</f>
        <v/>
      </c>
      <c r="F892" s="40" t="str">
        <f>IF(C892="","",IF(C892="Match",INDEX('Match Log'!$B:$B,D892),IF(C892="Tournament",INDEX('Tournament Log'!$C:$C,E892),INDEX('Guest Log'!$B:$B,Q892))))</f>
        <v/>
      </c>
      <c r="G892" s="40" t="str">
        <f>IF(C892="","",IF(C892="Match",INDEX('Match Log'!$C:$C,D892),IF(C892="Tournament",INDEX('Tournament Log'!$B:$B,E892)&amp;" (Phantom)",INDEX('Guest Log'!$H:$H,Q892)&amp;" (Guest)")))</f>
        <v/>
      </c>
      <c r="H892" s="40" t="str">
        <f t="array" ref="H892">IF(C892="","",IFERROR(LOOKUP(2,1/(($F$1:F891=F892)+($G$1:G891=F892)),IF($F$1:F891=F892,$N$1:N891,$O$1:O891)),1000))</f>
        <v/>
      </c>
      <c r="I892" s="40" t="str">
        <f t="array" ref="I892">IF(C892="","",IF(C892="Tournament",INDEX('Tournament Log'!$J:$J,E892),IF(C892="Guest",IF(INDEX('Guest Log'!$I:$I,Q892)="",1000,INDEX('Guest Log'!$I:$I,Q892)),IFERROR(LOOKUP(2,1/(($F$1:F891=G892)+($G$1:G891=G892)),IF($F$1:F891=G892,$N$1:N891,$O$1:O891)),1000))))</f>
        <v/>
      </c>
      <c r="J892" s="40" t="str">
        <f t="shared" si="66"/>
        <v/>
      </c>
      <c r="K892" s="12" t="str">
        <f>IF(C892="","",IF(C892="Match",IF(INDEX('Match Log'!$D:$D,D892)="Win",1,IF(INDEX('Match Log'!$D:$D,D892)="Draw",0.5,0)),IF(C892="Tournament",INDEX('Tournament Log'!$K:$K,E892),IF(INDEX('Guest Log'!$C:$C,Q892)="Win",1,IF(INDEX('Guest Log'!$C:$C,Q892)="Draw",0.5,0)))))</f>
        <v/>
      </c>
      <c r="L892" s="12" t="str">
        <f>IF(C892="","",IF(C892="Match",32,IF(C892="Tournament",MIN(32*INDEX('Tournament Log'!$D:$D,E892),96),32)))</f>
        <v/>
      </c>
      <c r="M892" s="12" t="str">
        <f t="shared" si="67"/>
        <v/>
      </c>
      <c r="N892" s="12" t="str">
        <f t="shared" si="68"/>
        <v/>
      </c>
      <c r="O892" s="12" t="str">
        <f t="shared" si="69"/>
        <v/>
      </c>
      <c r="P892" s="12" t="str">
        <f>IF(C892="Tournament",INDEX('Tournament Log'!$B:$B,E892),IF(C892="Guest","Guest: "&amp;INDEX('Guest Log'!$H:$H,Q892),""))</f>
        <v/>
      </c>
      <c r="Q892" t="str">
        <f>IFERROR(MATCH($A892,'Guest Log'!$L$4:$L$203,0)+3,"")</f>
        <v/>
      </c>
    </row>
    <row r="893" spans="1:17" ht="15" customHeight="1" x14ac:dyDescent="0.2">
      <c r="A893" s="40">
        <f>892</f>
        <v>892</v>
      </c>
      <c r="B893" s="40" t="str">
        <f>IF(C893="","",IF(C893="Match",INDEX('Match Log'!$A:$A,D893),IF(C893="Tournament",INDEX('Tournament Log'!$A:$A,E893),INDEX('Guest Log'!$A:$A,Q893))))</f>
        <v/>
      </c>
      <c r="C893" s="40" t="str">
        <f t="shared" si="65"/>
        <v/>
      </c>
      <c r="D893" s="41" t="str">
        <f>IFERROR(MATCH($A893,'Match Log'!$K$3:$K$501,0)+2,"")</f>
        <v/>
      </c>
      <c r="E893" s="41" t="str">
        <f>IFERROR(MATCH($A893,'Tournament Log'!$O$4:$O$203,0)+3,"")</f>
        <v/>
      </c>
      <c r="F893" s="40" t="str">
        <f>IF(C893="","",IF(C893="Match",INDEX('Match Log'!$B:$B,D893),IF(C893="Tournament",INDEX('Tournament Log'!$C:$C,E893),INDEX('Guest Log'!$B:$B,Q893))))</f>
        <v/>
      </c>
      <c r="G893" s="40" t="str">
        <f>IF(C893="","",IF(C893="Match",INDEX('Match Log'!$C:$C,D893),IF(C893="Tournament",INDEX('Tournament Log'!$B:$B,E893)&amp;" (Phantom)",INDEX('Guest Log'!$H:$H,Q893)&amp;" (Guest)")))</f>
        <v/>
      </c>
      <c r="H893" s="40" t="str">
        <f t="array" ref="H893">IF(C893="","",IFERROR(LOOKUP(2,1/(($F$1:F892=F893)+($G$1:G892=F893)),IF($F$1:F892=F893,$N$1:N892,$O$1:O892)),1000))</f>
        <v/>
      </c>
      <c r="I893" s="40" t="str">
        <f t="array" ref="I893">IF(C893="","",IF(C893="Tournament",INDEX('Tournament Log'!$J:$J,E893),IF(C893="Guest",IF(INDEX('Guest Log'!$I:$I,Q893)="",1000,INDEX('Guest Log'!$I:$I,Q893)),IFERROR(LOOKUP(2,1/(($F$1:F892=G893)+($G$1:G892=G893)),IF($F$1:F892=G893,$N$1:N892,$O$1:O892)),1000))))</f>
        <v/>
      </c>
      <c r="J893" s="40" t="str">
        <f t="shared" si="66"/>
        <v/>
      </c>
      <c r="K893" s="12" t="str">
        <f>IF(C893="","",IF(C893="Match",IF(INDEX('Match Log'!$D:$D,D893)="Win",1,IF(INDEX('Match Log'!$D:$D,D893)="Draw",0.5,0)),IF(C893="Tournament",INDEX('Tournament Log'!$K:$K,E893),IF(INDEX('Guest Log'!$C:$C,Q893)="Win",1,IF(INDEX('Guest Log'!$C:$C,Q893)="Draw",0.5,0)))))</f>
        <v/>
      </c>
      <c r="L893" s="12" t="str">
        <f>IF(C893="","",IF(C893="Match",32,IF(C893="Tournament",MIN(32*INDEX('Tournament Log'!$D:$D,E893),96),32)))</f>
        <v/>
      </c>
      <c r="M893" s="12" t="str">
        <f t="shared" si="67"/>
        <v/>
      </c>
      <c r="N893" s="12" t="str">
        <f t="shared" si="68"/>
        <v/>
      </c>
      <c r="O893" s="12" t="str">
        <f t="shared" si="69"/>
        <v/>
      </c>
      <c r="P893" s="12" t="str">
        <f>IF(C893="Tournament",INDEX('Tournament Log'!$B:$B,E893),IF(C893="Guest","Guest: "&amp;INDEX('Guest Log'!$H:$H,Q893),""))</f>
        <v/>
      </c>
      <c r="Q893" t="str">
        <f>IFERROR(MATCH($A893,'Guest Log'!$L$4:$L$203,0)+3,"")</f>
        <v/>
      </c>
    </row>
    <row r="894" spans="1:17" ht="15" customHeight="1" x14ac:dyDescent="0.2">
      <c r="A894" s="40">
        <f>893</f>
        <v>893</v>
      </c>
      <c r="B894" s="40" t="str">
        <f>IF(C894="","",IF(C894="Match",INDEX('Match Log'!$A:$A,D894),IF(C894="Tournament",INDEX('Tournament Log'!$A:$A,E894),INDEX('Guest Log'!$A:$A,Q894))))</f>
        <v/>
      </c>
      <c r="C894" s="40" t="str">
        <f t="shared" si="65"/>
        <v/>
      </c>
      <c r="D894" s="41" t="str">
        <f>IFERROR(MATCH($A894,'Match Log'!$K$3:$K$501,0)+2,"")</f>
        <v/>
      </c>
      <c r="E894" s="41" t="str">
        <f>IFERROR(MATCH($A894,'Tournament Log'!$O$4:$O$203,0)+3,"")</f>
        <v/>
      </c>
      <c r="F894" s="40" t="str">
        <f>IF(C894="","",IF(C894="Match",INDEX('Match Log'!$B:$B,D894),IF(C894="Tournament",INDEX('Tournament Log'!$C:$C,E894),INDEX('Guest Log'!$B:$B,Q894))))</f>
        <v/>
      </c>
      <c r="G894" s="40" t="str">
        <f>IF(C894="","",IF(C894="Match",INDEX('Match Log'!$C:$C,D894),IF(C894="Tournament",INDEX('Tournament Log'!$B:$B,E894)&amp;" (Phantom)",INDEX('Guest Log'!$H:$H,Q894)&amp;" (Guest)")))</f>
        <v/>
      </c>
      <c r="H894" s="40" t="str">
        <f t="array" ref="H894">IF(C894="","",IFERROR(LOOKUP(2,1/(($F$1:F893=F894)+($G$1:G893=F894)),IF($F$1:F893=F894,$N$1:N893,$O$1:O893)),1000))</f>
        <v/>
      </c>
      <c r="I894" s="40" t="str">
        <f t="array" ref="I894">IF(C894="","",IF(C894="Tournament",INDEX('Tournament Log'!$J:$J,E894),IF(C894="Guest",IF(INDEX('Guest Log'!$I:$I,Q894)="",1000,INDEX('Guest Log'!$I:$I,Q894)),IFERROR(LOOKUP(2,1/(($F$1:F893=G894)+($G$1:G893=G894)),IF($F$1:F893=G894,$N$1:N893,$O$1:O893)),1000))))</f>
        <v/>
      </c>
      <c r="J894" s="40" t="str">
        <f t="shared" si="66"/>
        <v/>
      </c>
      <c r="K894" s="12" t="str">
        <f>IF(C894="","",IF(C894="Match",IF(INDEX('Match Log'!$D:$D,D894)="Win",1,IF(INDEX('Match Log'!$D:$D,D894)="Draw",0.5,0)),IF(C894="Tournament",INDEX('Tournament Log'!$K:$K,E894),IF(INDEX('Guest Log'!$C:$C,Q894)="Win",1,IF(INDEX('Guest Log'!$C:$C,Q894)="Draw",0.5,0)))))</f>
        <v/>
      </c>
      <c r="L894" s="12" t="str">
        <f>IF(C894="","",IF(C894="Match",32,IF(C894="Tournament",MIN(32*INDEX('Tournament Log'!$D:$D,E894),96),32)))</f>
        <v/>
      </c>
      <c r="M894" s="12" t="str">
        <f t="shared" si="67"/>
        <v/>
      </c>
      <c r="N894" s="12" t="str">
        <f t="shared" si="68"/>
        <v/>
      </c>
      <c r="O894" s="12" t="str">
        <f t="shared" si="69"/>
        <v/>
      </c>
      <c r="P894" s="12" t="str">
        <f>IF(C894="Tournament",INDEX('Tournament Log'!$B:$B,E894),IF(C894="Guest","Guest: "&amp;INDEX('Guest Log'!$H:$H,Q894),""))</f>
        <v/>
      </c>
      <c r="Q894" t="str">
        <f>IFERROR(MATCH($A894,'Guest Log'!$L$4:$L$203,0)+3,"")</f>
        <v/>
      </c>
    </row>
    <row r="895" spans="1:17" ht="15" customHeight="1" x14ac:dyDescent="0.2">
      <c r="A895" s="40">
        <f>894</f>
        <v>894</v>
      </c>
      <c r="B895" s="40" t="str">
        <f>IF(C895="","",IF(C895="Match",INDEX('Match Log'!$A:$A,D895),IF(C895="Tournament",INDEX('Tournament Log'!$A:$A,E895),INDEX('Guest Log'!$A:$A,Q895))))</f>
        <v/>
      </c>
      <c r="C895" s="40" t="str">
        <f t="shared" si="65"/>
        <v/>
      </c>
      <c r="D895" s="41" t="str">
        <f>IFERROR(MATCH($A895,'Match Log'!$K$3:$K$501,0)+2,"")</f>
        <v/>
      </c>
      <c r="E895" s="41" t="str">
        <f>IFERROR(MATCH($A895,'Tournament Log'!$O$4:$O$203,0)+3,"")</f>
        <v/>
      </c>
      <c r="F895" s="40" t="str">
        <f>IF(C895="","",IF(C895="Match",INDEX('Match Log'!$B:$B,D895),IF(C895="Tournament",INDEX('Tournament Log'!$C:$C,E895),INDEX('Guest Log'!$B:$B,Q895))))</f>
        <v/>
      </c>
      <c r="G895" s="40" t="str">
        <f>IF(C895="","",IF(C895="Match",INDEX('Match Log'!$C:$C,D895),IF(C895="Tournament",INDEX('Tournament Log'!$B:$B,E895)&amp;" (Phantom)",INDEX('Guest Log'!$H:$H,Q895)&amp;" (Guest)")))</f>
        <v/>
      </c>
      <c r="H895" s="40" t="str">
        <f t="array" ref="H895">IF(C895="","",IFERROR(LOOKUP(2,1/(($F$1:F894=F895)+($G$1:G894=F895)),IF($F$1:F894=F895,$N$1:N894,$O$1:O894)),1000))</f>
        <v/>
      </c>
      <c r="I895" s="40" t="str">
        <f t="array" ref="I895">IF(C895="","",IF(C895="Tournament",INDEX('Tournament Log'!$J:$J,E895),IF(C895="Guest",IF(INDEX('Guest Log'!$I:$I,Q895)="",1000,INDEX('Guest Log'!$I:$I,Q895)),IFERROR(LOOKUP(2,1/(($F$1:F894=G895)+($G$1:G894=G895)),IF($F$1:F894=G895,$N$1:N894,$O$1:O894)),1000))))</f>
        <v/>
      </c>
      <c r="J895" s="40" t="str">
        <f t="shared" si="66"/>
        <v/>
      </c>
      <c r="K895" s="12" t="str">
        <f>IF(C895="","",IF(C895="Match",IF(INDEX('Match Log'!$D:$D,D895)="Win",1,IF(INDEX('Match Log'!$D:$D,D895)="Draw",0.5,0)),IF(C895="Tournament",INDEX('Tournament Log'!$K:$K,E895),IF(INDEX('Guest Log'!$C:$C,Q895)="Win",1,IF(INDEX('Guest Log'!$C:$C,Q895)="Draw",0.5,0)))))</f>
        <v/>
      </c>
      <c r="L895" s="12" t="str">
        <f>IF(C895="","",IF(C895="Match",32,IF(C895="Tournament",MIN(32*INDEX('Tournament Log'!$D:$D,E895),96),32)))</f>
        <v/>
      </c>
      <c r="M895" s="12" t="str">
        <f t="shared" si="67"/>
        <v/>
      </c>
      <c r="N895" s="12" t="str">
        <f t="shared" si="68"/>
        <v/>
      </c>
      <c r="O895" s="12" t="str">
        <f t="shared" si="69"/>
        <v/>
      </c>
      <c r="P895" s="12" t="str">
        <f>IF(C895="Tournament",INDEX('Tournament Log'!$B:$B,E895),IF(C895="Guest","Guest: "&amp;INDEX('Guest Log'!$H:$H,Q895),""))</f>
        <v/>
      </c>
      <c r="Q895" t="str">
        <f>IFERROR(MATCH($A895,'Guest Log'!$L$4:$L$203,0)+3,"")</f>
        <v/>
      </c>
    </row>
    <row r="896" spans="1:17" ht="15" customHeight="1" x14ac:dyDescent="0.2">
      <c r="A896" s="40">
        <f>895</f>
        <v>895</v>
      </c>
      <c r="B896" s="40" t="str">
        <f>IF(C896="","",IF(C896="Match",INDEX('Match Log'!$A:$A,D896),IF(C896="Tournament",INDEX('Tournament Log'!$A:$A,E896),INDEX('Guest Log'!$A:$A,Q896))))</f>
        <v/>
      </c>
      <c r="C896" s="40" t="str">
        <f t="shared" si="65"/>
        <v/>
      </c>
      <c r="D896" s="41" t="str">
        <f>IFERROR(MATCH($A896,'Match Log'!$K$3:$K$501,0)+2,"")</f>
        <v/>
      </c>
      <c r="E896" s="41" t="str">
        <f>IFERROR(MATCH($A896,'Tournament Log'!$O$4:$O$203,0)+3,"")</f>
        <v/>
      </c>
      <c r="F896" s="40" t="str">
        <f>IF(C896="","",IF(C896="Match",INDEX('Match Log'!$B:$B,D896),IF(C896="Tournament",INDEX('Tournament Log'!$C:$C,E896),INDEX('Guest Log'!$B:$B,Q896))))</f>
        <v/>
      </c>
      <c r="G896" s="40" t="str">
        <f>IF(C896="","",IF(C896="Match",INDEX('Match Log'!$C:$C,D896),IF(C896="Tournament",INDEX('Tournament Log'!$B:$B,E896)&amp;" (Phantom)",INDEX('Guest Log'!$H:$H,Q896)&amp;" (Guest)")))</f>
        <v/>
      </c>
      <c r="H896" s="40" t="str">
        <f t="array" ref="H896">IF(C896="","",IFERROR(LOOKUP(2,1/(($F$1:F895=F896)+($G$1:G895=F896)),IF($F$1:F895=F896,$N$1:N895,$O$1:O895)),1000))</f>
        <v/>
      </c>
      <c r="I896" s="40" t="str">
        <f t="array" ref="I896">IF(C896="","",IF(C896="Tournament",INDEX('Tournament Log'!$J:$J,E896),IF(C896="Guest",IF(INDEX('Guest Log'!$I:$I,Q896)="",1000,INDEX('Guest Log'!$I:$I,Q896)),IFERROR(LOOKUP(2,1/(($F$1:F895=G896)+($G$1:G895=G896)),IF($F$1:F895=G896,$N$1:N895,$O$1:O895)),1000))))</f>
        <v/>
      </c>
      <c r="J896" s="40" t="str">
        <f t="shared" si="66"/>
        <v/>
      </c>
      <c r="K896" s="12" t="str">
        <f>IF(C896="","",IF(C896="Match",IF(INDEX('Match Log'!$D:$D,D896)="Win",1,IF(INDEX('Match Log'!$D:$D,D896)="Draw",0.5,0)),IF(C896="Tournament",INDEX('Tournament Log'!$K:$K,E896),IF(INDEX('Guest Log'!$C:$C,Q896)="Win",1,IF(INDEX('Guest Log'!$C:$C,Q896)="Draw",0.5,0)))))</f>
        <v/>
      </c>
      <c r="L896" s="12" t="str">
        <f>IF(C896="","",IF(C896="Match",32,IF(C896="Tournament",MIN(32*INDEX('Tournament Log'!$D:$D,E896),96),32)))</f>
        <v/>
      </c>
      <c r="M896" s="12" t="str">
        <f t="shared" si="67"/>
        <v/>
      </c>
      <c r="N896" s="12" t="str">
        <f t="shared" si="68"/>
        <v/>
      </c>
      <c r="O896" s="12" t="str">
        <f t="shared" si="69"/>
        <v/>
      </c>
      <c r="P896" s="12" t="str">
        <f>IF(C896="Tournament",INDEX('Tournament Log'!$B:$B,E896),IF(C896="Guest","Guest: "&amp;INDEX('Guest Log'!$H:$H,Q896),""))</f>
        <v/>
      </c>
      <c r="Q896" t="str">
        <f>IFERROR(MATCH($A896,'Guest Log'!$L$4:$L$203,0)+3,"")</f>
        <v/>
      </c>
    </row>
    <row r="897" spans="1:17" ht="15" customHeight="1" x14ac:dyDescent="0.2">
      <c r="A897" s="40">
        <f>896</f>
        <v>896</v>
      </c>
      <c r="B897" s="40" t="str">
        <f>IF(C897="","",IF(C897="Match",INDEX('Match Log'!$A:$A,D897),IF(C897="Tournament",INDEX('Tournament Log'!$A:$A,E897),INDEX('Guest Log'!$A:$A,Q897))))</f>
        <v/>
      </c>
      <c r="C897" s="40" t="str">
        <f t="shared" si="65"/>
        <v/>
      </c>
      <c r="D897" s="41" t="str">
        <f>IFERROR(MATCH($A897,'Match Log'!$K$3:$K$501,0)+2,"")</f>
        <v/>
      </c>
      <c r="E897" s="41" t="str">
        <f>IFERROR(MATCH($A897,'Tournament Log'!$O$4:$O$203,0)+3,"")</f>
        <v/>
      </c>
      <c r="F897" s="40" t="str">
        <f>IF(C897="","",IF(C897="Match",INDEX('Match Log'!$B:$B,D897),IF(C897="Tournament",INDEX('Tournament Log'!$C:$C,E897),INDEX('Guest Log'!$B:$B,Q897))))</f>
        <v/>
      </c>
      <c r="G897" s="40" t="str">
        <f>IF(C897="","",IF(C897="Match",INDEX('Match Log'!$C:$C,D897),IF(C897="Tournament",INDEX('Tournament Log'!$B:$B,E897)&amp;" (Phantom)",INDEX('Guest Log'!$H:$H,Q897)&amp;" (Guest)")))</f>
        <v/>
      </c>
      <c r="H897" s="40" t="str">
        <f t="array" ref="H897">IF(C897="","",IFERROR(LOOKUP(2,1/(($F$1:F896=F897)+($G$1:G896=F897)),IF($F$1:F896=F897,$N$1:N896,$O$1:O896)),1000))</f>
        <v/>
      </c>
      <c r="I897" s="40" t="str">
        <f t="array" ref="I897">IF(C897="","",IF(C897="Tournament",INDEX('Tournament Log'!$J:$J,E897),IF(C897="Guest",IF(INDEX('Guest Log'!$I:$I,Q897)="",1000,INDEX('Guest Log'!$I:$I,Q897)),IFERROR(LOOKUP(2,1/(($F$1:F896=G897)+($G$1:G896=G897)),IF($F$1:F896=G897,$N$1:N896,$O$1:O896)),1000))))</f>
        <v/>
      </c>
      <c r="J897" s="40" t="str">
        <f t="shared" si="66"/>
        <v/>
      </c>
      <c r="K897" s="12" t="str">
        <f>IF(C897="","",IF(C897="Match",IF(INDEX('Match Log'!$D:$D,D897)="Win",1,IF(INDEX('Match Log'!$D:$D,D897)="Draw",0.5,0)),IF(C897="Tournament",INDEX('Tournament Log'!$K:$K,E897),IF(INDEX('Guest Log'!$C:$C,Q897)="Win",1,IF(INDEX('Guest Log'!$C:$C,Q897)="Draw",0.5,0)))))</f>
        <v/>
      </c>
      <c r="L897" s="12" t="str">
        <f>IF(C897="","",IF(C897="Match",32,IF(C897="Tournament",MIN(32*INDEX('Tournament Log'!$D:$D,E897),96),32)))</f>
        <v/>
      </c>
      <c r="M897" s="12" t="str">
        <f t="shared" si="67"/>
        <v/>
      </c>
      <c r="N897" s="12" t="str">
        <f t="shared" si="68"/>
        <v/>
      </c>
      <c r="O897" s="12" t="str">
        <f t="shared" si="69"/>
        <v/>
      </c>
      <c r="P897" s="12" t="str">
        <f>IF(C897="Tournament",INDEX('Tournament Log'!$B:$B,E897),IF(C897="Guest","Guest: "&amp;INDEX('Guest Log'!$H:$H,Q897),""))</f>
        <v/>
      </c>
      <c r="Q897" t="str">
        <f>IFERROR(MATCH($A897,'Guest Log'!$L$4:$L$203,0)+3,"")</f>
        <v/>
      </c>
    </row>
    <row r="898" spans="1:17" ht="15" customHeight="1" x14ac:dyDescent="0.2">
      <c r="A898" s="40">
        <f>897</f>
        <v>897</v>
      </c>
      <c r="B898" s="40" t="str">
        <f>IF(C898="","",IF(C898="Match",INDEX('Match Log'!$A:$A,D898),IF(C898="Tournament",INDEX('Tournament Log'!$A:$A,E898),INDEX('Guest Log'!$A:$A,Q898))))</f>
        <v/>
      </c>
      <c r="C898" s="40" t="str">
        <f t="shared" ref="C898:C961" si="70">IF(D898&lt;&gt;"","Match",IF(E898&lt;&gt;"","Tournament",IF(Q898&lt;&gt;"","Guest","")))</f>
        <v/>
      </c>
      <c r="D898" s="41" t="str">
        <f>IFERROR(MATCH($A898,'Match Log'!$K$3:$K$501,0)+2,"")</f>
        <v/>
      </c>
      <c r="E898" s="41" t="str">
        <f>IFERROR(MATCH($A898,'Tournament Log'!$O$4:$O$203,0)+3,"")</f>
        <v/>
      </c>
      <c r="F898" s="40" t="str">
        <f>IF(C898="","",IF(C898="Match",INDEX('Match Log'!$B:$B,D898),IF(C898="Tournament",INDEX('Tournament Log'!$C:$C,E898),INDEX('Guest Log'!$B:$B,Q898))))</f>
        <v/>
      </c>
      <c r="G898" s="40" t="str">
        <f>IF(C898="","",IF(C898="Match",INDEX('Match Log'!$C:$C,D898),IF(C898="Tournament",INDEX('Tournament Log'!$B:$B,E898)&amp;" (Phantom)",INDEX('Guest Log'!$H:$H,Q898)&amp;" (Guest)")))</f>
        <v/>
      </c>
      <c r="H898" s="40" t="str">
        <f t="array" ref="H898">IF(C898="","",IFERROR(LOOKUP(2,1/(($F$1:F897=F898)+($G$1:G897=F898)),IF($F$1:F897=F898,$N$1:N897,$O$1:O897)),1000))</f>
        <v/>
      </c>
      <c r="I898" s="40" t="str">
        <f t="array" ref="I898">IF(C898="","",IF(C898="Tournament",INDEX('Tournament Log'!$J:$J,E898),IF(C898="Guest",IF(INDEX('Guest Log'!$I:$I,Q898)="",1000,INDEX('Guest Log'!$I:$I,Q898)),IFERROR(LOOKUP(2,1/(($F$1:F897=G898)+($G$1:G897=G898)),IF($F$1:F897=G898,$N$1:N897,$O$1:O897)),1000))))</f>
        <v/>
      </c>
      <c r="J898" s="40" t="str">
        <f t="shared" ref="J898:J961" si="71">IF(C898="","",1/(1+10^((I898-H898)/400)))</f>
        <v/>
      </c>
      <c r="K898" s="12" t="str">
        <f>IF(C898="","",IF(C898="Match",IF(INDEX('Match Log'!$D:$D,D898)="Win",1,IF(INDEX('Match Log'!$D:$D,D898)="Draw",0.5,0)),IF(C898="Tournament",INDEX('Tournament Log'!$K:$K,E898),IF(INDEX('Guest Log'!$C:$C,Q898)="Win",1,IF(INDEX('Guest Log'!$C:$C,Q898)="Draw",0.5,0)))))</f>
        <v/>
      </c>
      <c r="L898" s="12" t="str">
        <f>IF(C898="","",IF(C898="Match",32,IF(C898="Tournament",MIN(32*INDEX('Tournament Log'!$D:$D,E898),96),32)))</f>
        <v/>
      </c>
      <c r="M898" s="12" t="str">
        <f t="shared" ref="M898:M961" si="72">IF(C898="","",ROUND(L898*(K898-J898),0))</f>
        <v/>
      </c>
      <c r="N898" s="12" t="str">
        <f t="shared" ref="N898:N961" si="73">IF(C898="","",H898+M898)</f>
        <v/>
      </c>
      <c r="O898" s="12" t="str">
        <f t="shared" si="69"/>
        <v/>
      </c>
      <c r="P898" s="12" t="str">
        <f>IF(C898="Tournament",INDEX('Tournament Log'!$B:$B,E898),IF(C898="Guest","Guest: "&amp;INDEX('Guest Log'!$H:$H,Q898),""))</f>
        <v/>
      </c>
      <c r="Q898" t="str">
        <f>IFERROR(MATCH($A898,'Guest Log'!$L$4:$L$203,0)+3,"")</f>
        <v/>
      </c>
    </row>
    <row r="899" spans="1:17" ht="15" customHeight="1" x14ac:dyDescent="0.2">
      <c r="A899" s="40">
        <f>898</f>
        <v>898</v>
      </c>
      <c r="B899" s="40" t="str">
        <f>IF(C899="","",IF(C899="Match",INDEX('Match Log'!$A:$A,D899),IF(C899="Tournament",INDEX('Tournament Log'!$A:$A,E899),INDEX('Guest Log'!$A:$A,Q899))))</f>
        <v/>
      </c>
      <c r="C899" s="40" t="str">
        <f t="shared" si="70"/>
        <v/>
      </c>
      <c r="D899" s="41" t="str">
        <f>IFERROR(MATCH($A899,'Match Log'!$K$3:$K$501,0)+2,"")</f>
        <v/>
      </c>
      <c r="E899" s="41" t="str">
        <f>IFERROR(MATCH($A899,'Tournament Log'!$O$4:$O$203,0)+3,"")</f>
        <v/>
      </c>
      <c r="F899" s="40" t="str">
        <f>IF(C899="","",IF(C899="Match",INDEX('Match Log'!$B:$B,D899),IF(C899="Tournament",INDEX('Tournament Log'!$C:$C,E899),INDEX('Guest Log'!$B:$B,Q899))))</f>
        <v/>
      </c>
      <c r="G899" s="40" t="str">
        <f>IF(C899="","",IF(C899="Match",INDEX('Match Log'!$C:$C,D899),IF(C899="Tournament",INDEX('Tournament Log'!$B:$B,E899)&amp;" (Phantom)",INDEX('Guest Log'!$H:$H,Q899)&amp;" (Guest)")))</f>
        <v/>
      </c>
      <c r="H899" s="40" t="str">
        <f t="array" ref="H899">IF(C899="","",IFERROR(LOOKUP(2,1/(($F$1:F898=F899)+($G$1:G898=F899)),IF($F$1:F898=F899,$N$1:N898,$O$1:O898)),1000))</f>
        <v/>
      </c>
      <c r="I899" s="40" t="str">
        <f t="array" ref="I899">IF(C899="","",IF(C899="Tournament",INDEX('Tournament Log'!$J:$J,E899),IF(C899="Guest",IF(INDEX('Guest Log'!$I:$I,Q899)="",1000,INDEX('Guest Log'!$I:$I,Q899)),IFERROR(LOOKUP(2,1/(($F$1:F898=G899)+($G$1:G898=G899)),IF($F$1:F898=G899,$N$1:N898,$O$1:O898)),1000))))</f>
        <v/>
      </c>
      <c r="J899" s="40" t="str">
        <f t="shared" si="71"/>
        <v/>
      </c>
      <c r="K899" s="12" t="str">
        <f>IF(C899="","",IF(C899="Match",IF(INDEX('Match Log'!$D:$D,D899)="Win",1,IF(INDEX('Match Log'!$D:$D,D899)="Draw",0.5,0)),IF(C899="Tournament",INDEX('Tournament Log'!$K:$K,E899),IF(INDEX('Guest Log'!$C:$C,Q899)="Win",1,IF(INDEX('Guest Log'!$C:$C,Q899)="Draw",0.5,0)))))</f>
        <v/>
      </c>
      <c r="L899" s="12" t="str">
        <f>IF(C899="","",IF(C899="Match",32,IF(C899="Tournament",MIN(32*INDEX('Tournament Log'!$D:$D,E899),96),32)))</f>
        <v/>
      </c>
      <c r="M899" s="12" t="str">
        <f t="shared" si="72"/>
        <v/>
      </c>
      <c r="N899" s="12" t="str">
        <f t="shared" si="73"/>
        <v/>
      </c>
      <c r="O899" s="12" t="str">
        <f t="shared" si="69"/>
        <v/>
      </c>
      <c r="P899" s="12" t="str">
        <f>IF(C899="Tournament",INDEX('Tournament Log'!$B:$B,E899),IF(C899="Guest","Guest: "&amp;INDEX('Guest Log'!$H:$H,Q899),""))</f>
        <v/>
      </c>
      <c r="Q899" t="str">
        <f>IFERROR(MATCH($A899,'Guest Log'!$L$4:$L$203,0)+3,"")</f>
        <v/>
      </c>
    </row>
    <row r="900" spans="1:17" ht="15" customHeight="1" x14ac:dyDescent="0.2">
      <c r="A900" s="40">
        <f>899</f>
        <v>899</v>
      </c>
      <c r="B900" s="40" t="str">
        <f>IF(C900="","",IF(C900="Match",INDEX('Match Log'!$A:$A,D900),IF(C900="Tournament",INDEX('Tournament Log'!$A:$A,E900),INDEX('Guest Log'!$A:$A,Q900))))</f>
        <v/>
      </c>
      <c r="C900" s="40" t="str">
        <f t="shared" si="70"/>
        <v/>
      </c>
      <c r="D900" s="41" t="str">
        <f>IFERROR(MATCH($A900,'Match Log'!$K$3:$K$501,0)+2,"")</f>
        <v/>
      </c>
      <c r="E900" s="41" t="str">
        <f>IFERROR(MATCH($A900,'Tournament Log'!$O$4:$O$203,0)+3,"")</f>
        <v/>
      </c>
      <c r="F900" s="40" t="str">
        <f>IF(C900="","",IF(C900="Match",INDEX('Match Log'!$B:$B,D900),IF(C900="Tournament",INDEX('Tournament Log'!$C:$C,E900),INDEX('Guest Log'!$B:$B,Q900))))</f>
        <v/>
      </c>
      <c r="G900" s="40" t="str">
        <f>IF(C900="","",IF(C900="Match",INDEX('Match Log'!$C:$C,D900),IF(C900="Tournament",INDEX('Tournament Log'!$B:$B,E900)&amp;" (Phantom)",INDEX('Guest Log'!$H:$H,Q900)&amp;" (Guest)")))</f>
        <v/>
      </c>
      <c r="H900" s="40" t="str">
        <f t="array" ref="H900">IF(C900="","",IFERROR(LOOKUP(2,1/(($F$1:F899=F900)+($G$1:G899=F900)),IF($F$1:F899=F900,$N$1:N899,$O$1:O899)),1000))</f>
        <v/>
      </c>
      <c r="I900" s="40" t="str">
        <f t="array" ref="I900">IF(C900="","",IF(C900="Tournament",INDEX('Tournament Log'!$J:$J,E900),IF(C900="Guest",IF(INDEX('Guest Log'!$I:$I,Q900)="",1000,INDEX('Guest Log'!$I:$I,Q900)),IFERROR(LOOKUP(2,1/(($F$1:F899=G900)+($G$1:G899=G900)),IF($F$1:F899=G900,$N$1:N899,$O$1:O899)),1000))))</f>
        <v/>
      </c>
      <c r="J900" s="40" t="str">
        <f t="shared" si="71"/>
        <v/>
      </c>
      <c r="K900" s="12" t="str">
        <f>IF(C900="","",IF(C900="Match",IF(INDEX('Match Log'!$D:$D,D900)="Win",1,IF(INDEX('Match Log'!$D:$D,D900)="Draw",0.5,0)),IF(C900="Tournament",INDEX('Tournament Log'!$K:$K,E900),IF(INDEX('Guest Log'!$C:$C,Q900)="Win",1,IF(INDEX('Guest Log'!$C:$C,Q900)="Draw",0.5,0)))))</f>
        <v/>
      </c>
      <c r="L900" s="12" t="str">
        <f>IF(C900="","",IF(C900="Match",32,IF(C900="Tournament",MIN(32*INDEX('Tournament Log'!$D:$D,E900),96),32)))</f>
        <v/>
      </c>
      <c r="M900" s="12" t="str">
        <f t="shared" si="72"/>
        <v/>
      </c>
      <c r="N900" s="12" t="str">
        <f t="shared" si="73"/>
        <v/>
      </c>
      <c r="O900" s="12" t="str">
        <f t="shared" si="69"/>
        <v/>
      </c>
      <c r="P900" s="12" t="str">
        <f>IF(C900="Tournament",INDEX('Tournament Log'!$B:$B,E900),IF(C900="Guest","Guest: "&amp;INDEX('Guest Log'!$H:$H,Q900),""))</f>
        <v/>
      </c>
      <c r="Q900" t="str">
        <f>IFERROR(MATCH($A900,'Guest Log'!$L$4:$L$203,0)+3,"")</f>
        <v/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M51"/>
  <sheetViews>
    <sheetView zoomScaleNormal="100" workbookViewId="0">
      <pane ySplit="1" topLeftCell="A2" activePane="bottomLeft" state="frozen"/>
      <selection pane="bottomLeft" activeCell="A12" sqref="A12"/>
    </sheetView>
  </sheetViews>
  <sheetFormatPr defaultColWidth="8.7421875" defaultRowHeight="15" x14ac:dyDescent="0.2"/>
  <cols>
    <col min="1" max="1" width="18.0234375" customWidth="1"/>
    <col min="2" max="2" width="7.53125" customWidth="1"/>
    <col min="3" max="3" width="7.93359375" customWidth="1"/>
    <col min="4" max="4" width="7.26171875" customWidth="1"/>
    <col min="5" max="5" width="5.37890625" customWidth="1"/>
    <col min="6" max="6" width="6.58984375" customWidth="1"/>
    <col min="7" max="7" width="6.9921875" customWidth="1"/>
    <col min="8" max="8" width="4.03515625" customWidth="1"/>
    <col min="9" max="9" width="9.953125" customWidth="1"/>
    <col min="10" max="10" width="6.3203125" customWidth="1"/>
    <col min="11" max="12" width="11.56640625" hidden="1" customWidth="1"/>
    <col min="13" max="13" width="6.859375" customWidth="1"/>
  </cols>
  <sheetData>
    <row r="1" spans="1:13" ht="30" customHeight="1" x14ac:dyDescent="0.2">
      <c r="A1" s="42" t="s">
        <v>1</v>
      </c>
      <c r="B1" s="42" t="s">
        <v>89</v>
      </c>
      <c r="C1" s="42" t="s">
        <v>3</v>
      </c>
      <c r="D1" s="42" t="s">
        <v>4</v>
      </c>
      <c r="E1" s="6" t="s">
        <v>5</v>
      </c>
      <c r="F1" s="6" t="s">
        <v>6</v>
      </c>
      <c r="G1" s="42" t="s">
        <v>7</v>
      </c>
      <c r="H1" s="42" t="s">
        <v>9</v>
      </c>
      <c r="I1" s="42" t="s">
        <v>8</v>
      </c>
      <c r="J1" s="42" t="s">
        <v>0</v>
      </c>
      <c r="L1" t="s">
        <v>90</v>
      </c>
      <c r="M1" s="42" t="s">
        <v>91</v>
      </c>
    </row>
    <row r="2" spans="1:13" ht="15" customHeight="1" x14ac:dyDescent="0.2">
      <c r="A2" s="9" t="s">
        <v>29</v>
      </c>
      <c r="B2" s="43">
        <f t="array" ref="B2">IF(A2="","",IFERROR(LOOKUP(2,1/(('ELO Engine'!$F$2:$F$900=A2)+('ELO Engine'!$G$2:$G$900=A2)),IF('ELO Engine'!$F$2:$F$900=A2,'ELO Engine'!$N$2:$N$900,'ELO Engine'!$O$2:$O$900)),1000))</f>
        <v>1012</v>
      </c>
      <c r="C2" s="43">
        <f t="array" ref="C2">IF(A2="","",MAX(1000,MAX(IF('ELO Engine'!$F$2:$F$900=A2,'ELO Engine'!$N$2:$N$900)),MAX(IF('ELO Engine'!$G$2:$G$900=A2,'ELO Engine'!$O$2:$O$900))))</f>
        <v>1032</v>
      </c>
      <c r="D2" s="44">
        <f>IF(A2="","",COUNTIF('Match Log'!B:B,A2)+COUNTIF('Match Log'!C:C,A2)+SUMIF('Tournament Log'!C:C,A2,'Tournament Log'!D:D)+COUNTIF('Guest Log'!B:B,A2))</f>
        <v>5</v>
      </c>
      <c r="E2" s="44">
        <f>COUNTIFS('Match Log'!B:B,A2,'Match Log'!D:D,"Win")+COUNTIFS('Match Log'!C:C,A2,'Match Log'!D:D,"Loss")+SUMIF('Tournament Log'!C:C,A2,'Tournament Log'!E:E)+COUNTIFS('Guest Log'!B:B,A2,'Guest Log'!C:C,"Win")</f>
        <v>3</v>
      </c>
      <c r="F2" s="44">
        <f>COUNTIFS('Match Log'!B:B,A2,'Match Log'!D:D,"Draw")+COUNTIFS('Match Log'!C:C,A2,'Match Log'!D:D,"Draw")+SUMIF('Tournament Log'!C:C,A2,'Tournament Log'!F:F)+COUNTIFS('Guest Log'!B:B,A2,'Guest Log'!C:C,"Draw")</f>
        <v>0</v>
      </c>
      <c r="G2" s="45">
        <f t="shared" ref="G2:G33" si="0">IF(A2="","",D2-E2-F2)</f>
        <v>2</v>
      </c>
      <c r="H2" s="45">
        <f>SUMIFS('Match Log'!E:E,'Match Log'!B:B,A2)+SUMIFS('Match Log'!F:F,'Match Log'!C:C,A2)+SUMIF('Tournament Log'!C:C,A2,'Tournament Log'!H:H)+SUMIF('Guest Log'!B:B,A2,'Guest Log'!D:D)</f>
        <v>424</v>
      </c>
      <c r="I2" s="46">
        <f t="shared" ref="I2:I33" si="1">IF(A2="","",IF(D2=0,0,E2/D2))</f>
        <v>0.6</v>
      </c>
      <c r="J2" s="45">
        <f t="shared" ref="J2:J33" si="2">IF(A2="","",RANK(B2,$B$2:$B$51,0))</f>
        <v>6</v>
      </c>
      <c r="K2">
        <f t="shared" ref="K2:K33" si="3">IF(A2="","",B2*1000000+I2*10000+H2)</f>
        <v>1012006424</v>
      </c>
      <c r="L2">
        <f>IF(A2="","",1+COUNTIF($B$2:$B$51,"&gt;"&amp;B2)+COUNTIFS($B$2:$B$51,B2,$M$2:$M$51,"&gt;"&amp;M2)+COUNTIFS($B$2:B2,B2,$M$2:M2,M2)-1)</f>
        <v>6</v>
      </c>
      <c r="M2" s="45">
        <f t="shared" ref="M2:M33" si="4">IF(A2="","",IF(D2=0,0,H2/D2))</f>
        <v>84.8</v>
      </c>
    </row>
    <row r="3" spans="1:13" ht="15" customHeight="1" x14ac:dyDescent="0.2">
      <c r="A3" s="9" t="s">
        <v>23</v>
      </c>
      <c r="B3" s="43">
        <f t="array" ref="B3">IF(A3="","",IFERROR(LOOKUP(2,1/(('ELO Engine'!$F$2:$F$900=A3)+('ELO Engine'!$G$2:$G$900=A3)),IF('ELO Engine'!$F$2:$F$900=A3,'ELO Engine'!$N$2:$N$900,'ELO Engine'!$O$2:$O$900)),1000))</f>
        <v>1011</v>
      </c>
      <c r="C3" s="43">
        <f t="array" ref="C3">IF(A3="","",MAX(1000,MAX(IF('ELO Engine'!$F$2:$F$900=A3,'ELO Engine'!$N$2:$N$900)),MAX(IF('ELO Engine'!$G$2:$G$900=A3,'ELO Engine'!$O$2:$O$900))))</f>
        <v>1011</v>
      </c>
      <c r="D3" s="44">
        <f>IF(A3="","",COUNTIF('Match Log'!B:B,A3)+COUNTIF('Match Log'!C:C,A3)+SUMIF('Tournament Log'!C:C,A3,'Tournament Log'!D:D)+COUNTIF('Guest Log'!B:B,A3))</f>
        <v>13</v>
      </c>
      <c r="E3" s="44">
        <f>COUNTIFS('Match Log'!B:B,A3,'Match Log'!D:D,"Win")+COUNTIFS('Match Log'!C:C,A3,'Match Log'!D:D,"Loss")+SUMIF('Tournament Log'!C:C,A3,'Tournament Log'!E:E)+COUNTIFS('Guest Log'!B:B,A3,'Guest Log'!C:C,"Win")</f>
        <v>6</v>
      </c>
      <c r="F3" s="44">
        <f>COUNTIFS('Match Log'!B:B,A3,'Match Log'!D:D,"Draw")+COUNTIFS('Match Log'!C:C,A3,'Match Log'!D:D,"Draw")+SUMIF('Tournament Log'!C:C,A3,'Tournament Log'!F:F)+COUNTIFS('Guest Log'!B:B,A3,'Guest Log'!C:C,"Draw")</f>
        <v>0</v>
      </c>
      <c r="G3" s="45">
        <f t="shared" si="0"/>
        <v>7</v>
      </c>
      <c r="H3" s="45">
        <f>SUMIFS('Match Log'!E:E,'Match Log'!B:B,A3)+SUMIFS('Match Log'!F:F,'Match Log'!C:C,A3)+SUMIF('Tournament Log'!C:C,A3,'Tournament Log'!H:H)+SUMIF('Guest Log'!B:B,A3,'Guest Log'!D:D)</f>
        <v>1053</v>
      </c>
      <c r="I3" s="46">
        <f t="shared" si="1"/>
        <v>0.46153846153846156</v>
      </c>
      <c r="J3" s="45">
        <f t="shared" si="2"/>
        <v>7</v>
      </c>
      <c r="K3">
        <f t="shared" si="3"/>
        <v>1011005668.3846154</v>
      </c>
      <c r="L3">
        <f>IF(A3="","",1+COUNTIF($B$2:$B$51,"&gt;"&amp;B3)+COUNTIFS($B$2:$B$51,B3,$M$2:$M$51,"&gt;"&amp;M3)+COUNTIFS($B$2:B3,B3,$M$2:M3,M3)-1)</f>
        <v>7</v>
      </c>
      <c r="M3" s="45">
        <f t="shared" si="4"/>
        <v>81</v>
      </c>
    </row>
    <row r="4" spans="1:13" ht="15" customHeight="1" x14ac:dyDescent="0.2">
      <c r="A4" s="9" t="s">
        <v>24</v>
      </c>
      <c r="B4" s="43">
        <f t="array" ref="B4">IF(A4="","",IFERROR(LOOKUP(2,1/(('ELO Engine'!$F$2:$F$900=A4)+('ELO Engine'!$G$2:$G$900=A4)),IF('ELO Engine'!$F$2:$F$900=A4,'ELO Engine'!$N$2:$N$900,'ELO Engine'!$O$2:$O$900)),1000))</f>
        <v>985</v>
      </c>
      <c r="C4" s="43">
        <f t="array" ref="C4">IF(A4="","",MAX(1000,MAX(IF('ELO Engine'!$F$2:$F$900=A4,'ELO Engine'!$N$2:$N$900)),MAX(IF('ELO Engine'!$G$2:$G$900=A4,'ELO Engine'!$O$2:$O$900))))</f>
        <v>1029</v>
      </c>
      <c r="D4" s="44">
        <f>IF(A4="","",COUNTIF('Match Log'!B:B,A4)+COUNTIF('Match Log'!C:C,A4)+SUMIF('Tournament Log'!C:C,A4,'Tournament Log'!D:D)+COUNTIF('Guest Log'!B:B,A4))</f>
        <v>16</v>
      </c>
      <c r="E4" s="44">
        <f>COUNTIFS('Match Log'!B:B,A4,'Match Log'!D:D,"Win")+COUNTIFS('Match Log'!C:C,A4,'Match Log'!D:D,"Loss")+SUMIF('Tournament Log'!C:C,A4,'Tournament Log'!E:E)+COUNTIFS('Guest Log'!B:B,A4,'Guest Log'!C:C,"Win")</f>
        <v>7</v>
      </c>
      <c r="F4" s="44">
        <f>COUNTIFS('Match Log'!B:B,A4,'Match Log'!D:D,"Draw")+COUNTIFS('Match Log'!C:C,A4,'Match Log'!D:D,"Draw")+SUMIF('Tournament Log'!C:C,A4,'Tournament Log'!F:F)+COUNTIFS('Guest Log'!B:B,A4,'Guest Log'!C:C,"Draw")</f>
        <v>1</v>
      </c>
      <c r="G4" s="45">
        <f t="shared" si="0"/>
        <v>8</v>
      </c>
      <c r="H4" s="45">
        <f>SUMIFS('Match Log'!E:E,'Match Log'!B:B,A4)+SUMIFS('Match Log'!F:F,'Match Log'!C:C,A4)+SUMIF('Tournament Log'!C:C,A4,'Tournament Log'!H:H)+SUMIF('Guest Log'!B:B,A4,'Guest Log'!D:D)</f>
        <v>1339</v>
      </c>
      <c r="I4" s="46">
        <f t="shared" si="1"/>
        <v>0.4375</v>
      </c>
      <c r="J4" s="45">
        <f t="shared" si="2"/>
        <v>8</v>
      </c>
      <c r="K4">
        <f t="shared" si="3"/>
        <v>985005714</v>
      </c>
      <c r="L4">
        <f>IF(A4="","",1+COUNTIF($B$2:$B$51,"&gt;"&amp;B4)+COUNTIFS($B$2:$B$51,B4,$M$2:$M$51,"&gt;"&amp;M4)+COUNTIFS($B$2:B4,B4,$M$2:M4,M4)-1)</f>
        <v>8</v>
      </c>
      <c r="M4" s="45">
        <f t="shared" si="4"/>
        <v>83.6875</v>
      </c>
    </row>
    <row r="5" spans="1:13" ht="15" customHeight="1" x14ac:dyDescent="0.2">
      <c r="A5" s="9" t="s">
        <v>31</v>
      </c>
      <c r="B5" s="43">
        <f t="array" ref="B5">IF(A5="","",IFERROR(LOOKUP(2,1/(('ELO Engine'!$F$2:$F$900=A5)+('ELO Engine'!$G$2:$G$900=A5)),IF('ELO Engine'!$F$2:$F$900=A5,'ELO Engine'!$N$2:$N$900,'ELO Engine'!$O$2:$O$900)),1000))</f>
        <v>1072</v>
      </c>
      <c r="C5" s="43">
        <f t="array" ref="C5">IF(A5="","",MAX(1000,MAX(IF('ELO Engine'!$F$2:$F$900=A5,'ELO Engine'!$N$2:$N$900)),MAX(IF('ELO Engine'!$G$2:$G$900=A5,'ELO Engine'!$O$2:$O$900))))</f>
        <v>1072</v>
      </c>
      <c r="D5" s="44">
        <f>IF(A5="","",COUNTIF('Match Log'!B:B,A5)+COUNTIF('Match Log'!C:C,A5)+SUMIF('Tournament Log'!C:C,A5,'Tournament Log'!D:D)+COUNTIF('Guest Log'!B:B,A5))</f>
        <v>11</v>
      </c>
      <c r="E5" s="44">
        <f>COUNTIFS('Match Log'!B:B,A5,'Match Log'!D:D,"Win")+COUNTIFS('Match Log'!C:C,A5,'Match Log'!D:D,"Loss")+SUMIF('Tournament Log'!C:C,A5,'Tournament Log'!E:E)+COUNTIFS('Guest Log'!B:B,A5,'Guest Log'!C:C,"Win")</f>
        <v>7</v>
      </c>
      <c r="F5" s="44">
        <f>COUNTIFS('Match Log'!B:B,A5,'Match Log'!D:D,"Draw")+COUNTIFS('Match Log'!C:C,A5,'Match Log'!D:D,"Draw")+SUMIF('Tournament Log'!C:C,A5,'Tournament Log'!F:F)+COUNTIFS('Guest Log'!B:B,A5,'Guest Log'!C:C,"Draw")</f>
        <v>1</v>
      </c>
      <c r="G5" s="45">
        <f t="shared" si="0"/>
        <v>3</v>
      </c>
      <c r="H5" s="45">
        <f>SUMIFS('Match Log'!E:E,'Match Log'!B:B,A5)+SUMIFS('Match Log'!F:F,'Match Log'!C:C,A5)+SUMIF('Tournament Log'!C:C,A5,'Tournament Log'!H:H)+SUMIF('Guest Log'!B:B,A5,'Guest Log'!D:D)</f>
        <v>937</v>
      </c>
      <c r="I5" s="46">
        <f t="shared" si="1"/>
        <v>0.63636363636363635</v>
      </c>
      <c r="J5" s="45">
        <f t="shared" si="2"/>
        <v>1</v>
      </c>
      <c r="K5">
        <f t="shared" si="3"/>
        <v>1072007300.6363636</v>
      </c>
      <c r="L5">
        <f>IF(A5="","",1+COUNTIF($B$2:$B$51,"&gt;"&amp;B5)+COUNTIFS($B$2:$B$51,B5,$M$2:$M$51,"&gt;"&amp;M5)+COUNTIFS($B$2:B5,B5,$M$2:M5,M5)-1)</f>
        <v>1</v>
      </c>
      <c r="M5" s="45">
        <f t="shared" si="4"/>
        <v>85.181818181818187</v>
      </c>
    </row>
    <row r="6" spans="1:13" ht="15" customHeight="1" x14ac:dyDescent="0.2">
      <c r="A6" s="9" t="s">
        <v>33</v>
      </c>
      <c r="B6" s="43">
        <f t="array" ref="B6">IF(A6="","",IFERROR(LOOKUP(2,1/(('ELO Engine'!$F$2:$F$900=A6)+('ELO Engine'!$G$2:$G$900=A6)),IF('ELO Engine'!$F$2:$F$900=A6,'ELO Engine'!$N$2:$N$900,'ELO Engine'!$O$2:$O$900)),1000))</f>
        <v>958</v>
      </c>
      <c r="C6" s="43">
        <f t="array" ref="C6">IF(A6="","",MAX(1000,MAX(IF('ELO Engine'!$F$2:$F$900=A6,'ELO Engine'!$N$2:$N$900)),MAX(IF('ELO Engine'!$G$2:$G$900=A6,'ELO Engine'!$O$2:$O$900))))</f>
        <v>1000</v>
      </c>
      <c r="D6" s="44">
        <f>IF(A6="","",COUNTIF('Match Log'!B:B,A6)+COUNTIF('Match Log'!C:C,A6)+SUMIF('Tournament Log'!C:C,A6,'Tournament Log'!D:D)+COUNTIF('Guest Log'!B:B,A6))</f>
        <v>5</v>
      </c>
      <c r="E6" s="44">
        <f>COUNTIFS('Match Log'!B:B,A6,'Match Log'!D:D,"Win")+COUNTIFS('Match Log'!C:C,A6,'Match Log'!D:D,"Loss")+SUMIF('Tournament Log'!C:C,A6,'Tournament Log'!E:E)+COUNTIFS('Guest Log'!B:B,A6,'Guest Log'!C:C,"Win")</f>
        <v>1</v>
      </c>
      <c r="F6" s="44">
        <f>COUNTIFS('Match Log'!B:B,A6,'Match Log'!D:D,"Draw")+COUNTIFS('Match Log'!C:C,A6,'Match Log'!D:D,"Draw")+SUMIF('Tournament Log'!C:C,A6,'Tournament Log'!F:F)+COUNTIFS('Guest Log'!B:B,A6,'Guest Log'!C:C,"Draw")</f>
        <v>0</v>
      </c>
      <c r="G6" s="45">
        <f t="shared" si="0"/>
        <v>4</v>
      </c>
      <c r="H6" s="45">
        <f>SUMIFS('Match Log'!E:E,'Match Log'!B:B,A6)+SUMIFS('Match Log'!F:F,'Match Log'!C:C,A6)+SUMIF('Tournament Log'!C:C,A6,'Tournament Log'!H:H)+SUMIF('Guest Log'!B:B,A6,'Guest Log'!D:D)</f>
        <v>347</v>
      </c>
      <c r="I6" s="46">
        <f t="shared" si="1"/>
        <v>0.2</v>
      </c>
      <c r="J6" s="45">
        <f t="shared" si="2"/>
        <v>9</v>
      </c>
      <c r="K6">
        <f t="shared" si="3"/>
        <v>958002347</v>
      </c>
      <c r="L6">
        <f>IF(A6="","",1+COUNTIF($B$2:$B$51,"&gt;"&amp;B6)+COUNTIFS($B$2:$B$51,B6,$M$2:$M$51,"&gt;"&amp;M6)+COUNTIFS($B$2:B6,B6,$M$2:M6,M6)-1)</f>
        <v>9</v>
      </c>
      <c r="M6" s="45">
        <f t="shared" si="4"/>
        <v>69.400000000000006</v>
      </c>
    </row>
    <row r="7" spans="1:13" ht="15" customHeight="1" x14ac:dyDescent="0.2">
      <c r="A7" s="9" t="s">
        <v>40</v>
      </c>
      <c r="B7" s="43">
        <f t="array" ref="B7">IF(A7="","",IFERROR(LOOKUP(2,1/(('ELO Engine'!$F$2:$F$900=A7)+('ELO Engine'!$G$2:$G$900=A7)),IF('ELO Engine'!$F$2:$F$900=A7,'ELO Engine'!$N$2:$N$900,'ELO Engine'!$O$2:$O$900)),1000))</f>
        <v>1017</v>
      </c>
      <c r="C7" s="43">
        <f t="array" ref="C7">IF(A7="","",MAX(1000,MAX(IF('ELO Engine'!$F$2:$F$900=A7,'ELO Engine'!$N$2:$N$900)),MAX(IF('ELO Engine'!$G$2:$G$900=A7,'ELO Engine'!$O$2:$O$900))))</f>
        <v>1017</v>
      </c>
      <c r="D7" s="44">
        <f>IF(A7="","",COUNTIF('Match Log'!B:B,A7)+COUNTIF('Match Log'!C:C,A7)+SUMIF('Tournament Log'!C:C,A7,'Tournament Log'!D:D)+COUNTIF('Guest Log'!B:B,A7))</f>
        <v>2</v>
      </c>
      <c r="E7" s="44">
        <f>COUNTIFS('Match Log'!B:B,A7,'Match Log'!D:D,"Win")+COUNTIFS('Match Log'!C:C,A7,'Match Log'!D:D,"Loss")+SUMIF('Tournament Log'!C:C,A7,'Tournament Log'!E:E)+COUNTIFS('Guest Log'!B:B,A7,'Guest Log'!C:C,"Win")</f>
        <v>2</v>
      </c>
      <c r="F7" s="44">
        <f>COUNTIFS('Match Log'!B:B,A7,'Match Log'!D:D,"Draw")+COUNTIFS('Match Log'!C:C,A7,'Match Log'!D:D,"Draw")+SUMIF('Tournament Log'!C:C,A7,'Tournament Log'!F:F)+COUNTIFS('Guest Log'!B:B,A7,'Guest Log'!C:C,"Draw")</f>
        <v>0</v>
      </c>
      <c r="G7" s="45">
        <f t="shared" si="0"/>
        <v>0</v>
      </c>
      <c r="H7" s="45">
        <f>SUMIFS('Match Log'!E:E,'Match Log'!B:B,A7)+SUMIFS('Match Log'!F:F,'Match Log'!C:C,A7)+SUMIF('Tournament Log'!C:C,A7,'Tournament Log'!H:H)+SUMIF('Guest Log'!B:B,A7,'Guest Log'!D:D)</f>
        <v>187</v>
      </c>
      <c r="I7" s="46">
        <f t="shared" si="1"/>
        <v>1</v>
      </c>
      <c r="J7" s="45">
        <f t="shared" si="2"/>
        <v>3</v>
      </c>
      <c r="K7">
        <f t="shared" si="3"/>
        <v>1017010187</v>
      </c>
      <c r="L7">
        <f>IF(A7="","",1+COUNTIF($B$2:$B$51,"&gt;"&amp;B7)+COUNTIFS($B$2:$B$51,B7,$M$2:$M$51,"&gt;"&amp;M7)+COUNTIFS($B$2:B7,B7,$M$2:M7,M7)-1)</f>
        <v>3</v>
      </c>
      <c r="M7" s="45">
        <f t="shared" si="4"/>
        <v>93.5</v>
      </c>
    </row>
    <row r="8" spans="1:13" ht="15" customHeight="1" x14ac:dyDescent="0.2">
      <c r="A8" s="9" t="s">
        <v>43</v>
      </c>
      <c r="B8" s="43">
        <f t="array" ref="B8">IF(A8="","",IFERROR(LOOKUP(2,1/(('ELO Engine'!$F$2:$F$900=A8)+('ELO Engine'!$G$2:$G$900=A8)),IF('ELO Engine'!$F$2:$F$900=A8,'ELO Engine'!$N$2:$N$900,'ELO Engine'!$O$2:$O$900)),1000))</f>
        <v>957</v>
      </c>
      <c r="C8" s="43">
        <f t="array" ref="C8">IF(A8="","",MAX(1000,MAX(IF('ELO Engine'!$F$2:$F$900=A8,'ELO Engine'!$N$2:$N$900)),MAX(IF('ELO Engine'!$G$2:$G$900=A8,'ELO Engine'!$O$2:$O$900))))</f>
        <v>1000</v>
      </c>
      <c r="D8" s="44">
        <f>IF(A8="","",COUNTIF('Match Log'!B:B,A8)+COUNTIF('Match Log'!C:C,A8)+SUMIF('Tournament Log'!C:C,A8,'Tournament Log'!D:D)+COUNTIF('Guest Log'!B:B,A8))</f>
        <v>3</v>
      </c>
      <c r="E8" s="44">
        <f>COUNTIFS('Match Log'!B:B,A8,'Match Log'!D:D,"Win")+COUNTIFS('Match Log'!C:C,A8,'Match Log'!D:D,"Loss")+SUMIF('Tournament Log'!C:C,A8,'Tournament Log'!E:E)+COUNTIFS('Guest Log'!B:B,A8,'Guest Log'!C:C,"Win")</f>
        <v>0</v>
      </c>
      <c r="F8" s="44">
        <f>COUNTIFS('Match Log'!B:B,A8,'Match Log'!D:D,"Draw")+COUNTIFS('Match Log'!C:C,A8,'Match Log'!D:D,"Draw")+SUMIF('Tournament Log'!C:C,A8,'Tournament Log'!F:F)+COUNTIFS('Guest Log'!B:B,A8,'Guest Log'!C:C,"Draw")</f>
        <v>0</v>
      </c>
      <c r="G8" s="45">
        <f t="shared" si="0"/>
        <v>3</v>
      </c>
      <c r="H8" s="45">
        <f>SUMIFS('Match Log'!E:E,'Match Log'!B:B,A8)+SUMIFS('Match Log'!F:F,'Match Log'!C:C,A8)+SUMIF('Tournament Log'!C:C,A8,'Tournament Log'!H:H)+SUMIF('Guest Log'!B:B,A8,'Guest Log'!D:D)</f>
        <v>135</v>
      </c>
      <c r="I8" s="46">
        <f t="shared" si="1"/>
        <v>0</v>
      </c>
      <c r="J8" s="45">
        <f t="shared" si="2"/>
        <v>10</v>
      </c>
      <c r="K8">
        <f t="shared" si="3"/>
        <v>957000135</v>
      </c>
      <c r="L8">
        <f>IF(A8="","",1+COUNTIF($B$2:$B$51,"&gt;"&amp;B8)+COUNTIFS($B$2:$B$51,B8,$M$2:$M$51,"&gt;"&amp;M8)+COUNTIFS($B$2:B8,B8,$M$2:M8,M8)-1)</f>
        <v>10</v>
      </c>
      <c r="M8" s="45">
        <f t="shared" si="4"/>
        <v>45</v>
      </c>
    </row>
    <row r="9" spans="1:13" ht="15" customHeight="1" x14ac:dyDescent="0.2">
      <c r="A9" s="9" t="s">
        <v>35</v>
      </c>
      <c r="B9" s="43">
        <f t="array" ref="B9">IF(A9="","",IFERROR(LOOKUP(2,1/(('ELO Engine'!$F$2:$F$900=A9)+('ELO Engine'!$G$2:$G$900=A9)),IF('ELO Engine'!$F$2:$F$900=A9,'ELO Engine'!$N$2:$N$900,'ELO Engine'!$O$2:$O$900)),1000))</f>
        <v>1019</v>
      </c>
      <c r="C9" s="43">
        <f t="array" ref="C9">IF(A9="","",MAX(1000,MAX(IF('ELO Engine'!$F$2:$F$900=A9,'ELO Engine'!$N$2:$N$900)),MAX(IF('ELO Engine'!$G$2:$G$900=A9,'ELO Engine'!$O$2:$O$900))))</f>
        <v>1037</v>
      </c>
      <c r="D9" s="44">
        <f>IF(A9="","",COUNTIF('Match Log'!B:B,A9)+COUNTIF('Match Log'!C:C,A9)+SUMIF('Tournament Log'!C:C,A9,'Tournament Log'!D:D)+COUNTIF('Guest Log'!B:B,A9))</f>
        <v>7</v>
      </c>
      <c r="E9" s="44">
        <f>COUNTIFS('Match Log'!B:B,A9,'Match Log'!D:D,"Win")+COUNTIFS('Match Log'!C:C,A9,'Match Log'!D:D,"Loss")+SUMIF('Tournament Log'!C:C,A9,'Tournament Log'!E:E)+COUNTIFS('Guest Log'!B:B,A9,'Guest Log'!C:C,"Win")</f>
        <v>4</v>
      </c>
      <c r="F9" s="44">
        <f>COUNTIFS('Match Log'!B:B,A9,'Match Log'!D:D,"Draw")+COUNTIFS('Match Log'!C:C,A9,'Match Log'!D:D,"Draw")+SUMIF('Tournament Log'!C:C,A9,'Tournament Log'!F:F)+COUNTIFS('Guest Log'!B:B,A9,'Guest Log'!C:C,"Draw")</f>
        <v>0</v>
      </c>
      <c r="G9" s="45">
        <f t="shared" si="0"/>
        <v>3</v>
      </c>
      <c r="H9" s="45">
        <f>SUMIFS('Match Log'!E:E,'Match Log'!B:B,A9)+SUMIFS('Match Log'!F:F,'Match Log'!C:C,A9)+SUMIF('Tournament Log'!C:C,A9,'Tournament Log'!H:H)+SUMIF('Guest Log'!B:B,A9,'Guest Log'!D:D)</f>
        <v>539</v>
      </c>
      <c r="I9" s="46">
        <f t="shared" si="1"/>
        <v>0.5714285714285714</v>
      </c>
      <c r="J9" s="45">
        <f t="shared" si="2"/>
        <v>2</v>
      </c>
      <c r="K9">
        <f t="shared" si="3"/>
        <v>1019006253.2857143</v>
      </c>
      <c r="L9">
        <f>IF(A9="","",1+COUNTIF($B$2:$B$51,"&gt;"&amp;B9)+COUNTIFS($B$2:$B$51,B9,$M$2:$M$51,"&gt;"&amp;M9)+COUNTIFS($B$2:B9,B9,$M$2:M9,M9)-1)</f>
        <v>2</v>
      </c>
      <c r="M9" s="45">
        <f t="shared" si="4"/>
        <v>77</v>
      </c>
    </row>
    <row r="10" spans="1:13" ht="15" customHeight="1" x14ac:dyDescent="0.2">
      <c r="A10" s="9" t="s">
        <v>42</v>
      </c>
      <c r="B10" s="43">
        <f t="array" ref="B10">IF(A10="","",IFERROR(LOOKUP(2,1/(('ELO Engine'!$F$2:$F$900=A10)+('ELO Engine'!$G$2:$G$900=A10)),IF('ELO Engine'!$F$2:$F$900=A10,'ELO Engine'!$N$2:$N$900,'ELO Engine'!$O$2:$O$900)),1000))</f>
        <v>1016</v>
      </c>
      <c r="C10" s="43">
        <f t="array" ref="C10">IF(A10="","",MAX(1000,MAX(IF('ELO Engine'!$F$2:$F$900=A10,'ELO Engine'!$N$2:$N$900)),MAX(IF('ELO Engine'!$G$2:$G$900=A10,'ELO Engine'!$O$2:$O$900))))</f>
        <v>1016</v>
      </c>
      <c r="D10" s="44">
        <f>IF(A10="","",COUNTIF('Match Log'!B:B,A10)+COUNTIF('Match Log'!C:C,A10)+SUMIF('Tournament Log'!C:C,A10,'Tournament Log'!D:D)+COUNTIF('Guest Log'!B:B,A10))</f>
        <v>1</v>
      </c>
      <c r="E10" s="44">
        <f>COUNTIFS('Match Log'!B:B,A10,'Match Log'!D:D,"Win")+COUNTIFS('Match Log'!C:C,A10,'Match Log'!D:D,"Loss")+SUMIF('Tournament Log'!C:C,A10,'Tournament Log'!E:E)+COUNTIFS('Guest Log'!B:B,A10,'Guest Log'!C:C,"Win")</f>
        <v>1</v>
      </c>
      <c r="F10" s="44">
        <f>COUNTIFS('Match Log'!B:B,A10,'Match Log'!D:D,"Draw")+COUNTIFS('Match Log'!C:C,A10,'Match Log'!D:D,"Draw")+SUMIF('Tournament Log'!C:C,A10,'Tournament Log'!F:F)+COUNTIFS('Guest Log'!B:B,A10,'Guest Log'!C:C,"Draw")</f>
        <v>0</v>
      </c>
      <c r="G10" s="45">
        <f t="shared" si="0"/>
        <v>0</v>
      </c>
      <c r="H10" s="45">
        <f>SUMIFS('Match Log'!E:E,'Match Log'!B:B,A10)+SUMIFS('Match Log'!F:F,'Match Log'!C:C,A10)+SUMIF('Tournament Log'!C:C,A10,'Tournament Log'!H:H)+SUMIF('Guest Log'!B:B,A10,'Guest Log'!D:D)</f>
        <v>58</v>
      </c>
      <c r="I10" s="46">
        <f t="shared" si="1"/>
        <v>1</v>
      </c>
      <c r="J10" s="45">
        <f t="shared" si="2"/>
        <v>4</v>
      </c>
      <c r="K10">
        <f t="shared" si="3"/>
        <v>1016010058</v>
      </c>
      <c r="L10">
        <f>IF(A10="","",1+COUNTIF($B$2:$B$51,"&gt;"&amp;B10)+COUNTIFS($B$2:$B$51,B10,$M$2:$M$51,"&gt;"&amp;M10)+COUNTIFS($B$2:B10,B10,$M$2:M10,M10)-1)</f>
        <v>4</v>
      </c>
      <c r="M10" s="45">
        <f t="shared" si="4"/>
        <v>58</v>
      </c>
    </row>
    <row r="11" spans="1:13" ht="15" customHeight="1" x14ac:dyDescent="0.2">
      <c r="A11" s="9" t="s">
        <v>47</v>
      </c>
      <c r="B11" s="43">
        <f t="array" ref="B11">IF(A11="","",IFERROR(LOOKUP(2,1/(('ELO Engine'!$F$2:$F$900=A11)+('ELO Engine'!$G$2:$G$900=A11)),IF('ELO Engine'!$F$2:$F$900=A11,'ELO Engine'!$N$2:$N$900,'ELO Engine'!$O$2:$O$900)),1000))</f>
        <v>1015</v>
      </c>
      <c r="C11" s="43">
        <f t="array" ref="C11">IF(A11="","",MAX(1000,MAX(IF('ELO Engine'!$F$2:$F$900=A11,'ELO Engine'!$N$2:$N$900)),MAX(IF('ELO Engine'!$G$2:$G$900=A11,'ELO Engine'!$O$2:$O$900))))</f>
        <v>1015</v>
      </c>
      <c r="D11" s="44">
        <f>IF(A11="","",COUNTIF('Match Log'!B:B,A11)+COUNTIF('Match Log'!C:C,A11)+SUMIF('Tournament Log'!C:C,A11,'Tournament Log'!D:D)+COUNTIF('Guest Log'!B:B,A11))</f>
        <v>1</v>
      </c>
      <c r="E11" s="44">
        <f>COUNTIFS('Match Log'!B:B,A11,'Match Log'!D:D,"Win")+COUNTIFS('Match Log'!C:C,A11,'Match Log'!D:D,"Loss")+SUMIF('Tournament Log'!C:C,A11,'Tournament Log'!E:E)+COUNTIFS('Guest Log'!B:B,A11,'Guest Log'!C:C,"Win")</f>
        <v>1</v>
      </c>
      <c r="F11" s="44">
        <f>COUNTIFS('Match Log'!B:B,A11,'Match Log'!D:D,"Draw")+COUNTIFS('Match Log'!C:C,A11,'Match Log'!D:D,"Draw")+SUMIF('Tournament Log'!C:C,A11,'Tournament Log'!F:F)+COUNTIFS('Guest Log'!B:B,A11,'Guest Log'!C:C,"Draw")</f>
        <v>0</v>
      </c>
      <c r="G11" s="45">
        <f t="shared" si="0"/>
        <v>0</v>
      </c>
      <c r="H11" s="45">
        <f>SUMIFS('Match Log'!E:E,'Match Log'!B:B,A11)+SUMIFS('Match Log'!F:F,'Match Log'!C:C,A11)+SUMIF('Tournament Log'!C:C,A11,'Tournament Log'!H:H)+SUMIF('Guest Log'!B:B,A11,'Guest Log'!D:D)</f>
        <v>40</v>
      </c>
      <c r="I11" s="46">
        <f t="shared" si="1"/>
        <v>1</v>
      </c>
      <c r="J11" s="45">
        <f t="shared" si="2"/>
        <v>5</v>
      </c>
      <c r="K11">
        <f t="shared" si="3"/>
        <v>1015010040</v>
      </c>
      <c r="L11">
        <f>IF(A11="","",1+COUNTIF($B$2:$B$51,"&gt;"&amp;B11)+COUNTIFS($B$2:$B$51,B11,$M$2:$M$51,"&gt;"&amp;M11)+COUNTIFS($B$2:B11,B11,$M$2:M11,M11)-1)</f>
        <v>5</v>
      </c>
      <c r="M11" s="45">
        <f t="shared" si="4"/>
        <v>40</v>
      </c>
    </row>
    <row r="12" spans="1:13" ht="15" customHeight="1" x14ac:dyDescent="0.2">
      <c r="A12" s="9"/>
      <c r="B12" s="43" t="str">
        <f t="array" ref="B12">IF(A12="","",IFERROR(LOOKUP(2,1/(('ELO Engine'!$F$2:$F$900=A12)+('ELO Engine'!$G$2:$G$900=A12)),IF('ELO Engine'!$F$2:$F$900=A12,'ELO Engine'!$N$2:$N$900,'ELO Engine'!$O$2:$O$900)),1000))</f>
        <v/>
      </c>
      <c r="C12" s="43" t="str">
        <f t="array" ref="C12">IF(A12="","",MAX(1000,MAX(IF('ELO Engine'!$F$2:$F$900=A12,'ELO Engine'!$N$2:$N$900)),MAX(IF('ELO Engine'!$G$2:$G$900=A12,'ELO Engine'!$O$2:$O$900))))</f>
        <v/>
      </c>
      <c r="D12" s="44" t="str">
        <f>IF(A12="","",COUNTIF('Match Log'!B:B,A12)+COUNTIF('Match Log'!C:C,A12)+SUMIF('Tournament Log'!C:C,A12,'Tournament Log'!D:D)+COUNTIF('Guest Log'!B:B,A12))</f>
        <v/>
      </c>
      <c r="E12" s="44">
        <f>COUNTIFS('Match Log'!B:B,A12,'Match Log'!D:D,"Win")+COUNTIFS('Match Log'!C:C,A12,'Match Log'!D:D,"Loss")+SUMIF('Tournament Log'!C:C,A12,'Tournament Log'!E:E)+COUNTIFS('Guest Log'!B:B,A12,'Guest Log'!C:C,"Win")</f>
        <v>0</v>
      </c>
      <c r="F12" s="44">
        <f>COUNTIFS('Match Log'!B:B,A12,'Match Log'!D:D,"Draw")+COUNTIFS('Match Log'!C:C,A12,'Match Log'!D:D,"Draw")+SUMIF('Tournament Log'!C:C,A12,'Tournament Log'!F:F)+COUNTIFS('Guest Log'!B:B,A12,'Guest Log'!C:C,"Draw")</f>
        <v>0</v>
      </c>
      <c r="G12" s="45" t="str">
        <f t="shared" si="0"/>
        <v/>
      </c>
      <c r="H12" s="45">
        <f>SUMIFS('Match Log'!E:E,'Match Log'!B:B,A12)+SUMIFS('Match Log'!F:F,'Match Log'!C:C,A12)+SUMIF('Tournament Log'!C:C,A12,'Tournament Log'!H:H)+SUMIF('Guest Log'!B:B,A12,'Guest Log'!D:D)</f>
        <v>0</v>
      </c>
      <c r="I12" s="46" t="str">
        <f t="shared" si="1"/>
        <v/>
      </c>
      <c r="J12" s="45" t="str">
        <f t="shared" si="2"/>
        <v/>
      </c>
      <c r="K12" t="str">
        <f t="shared" si="3"/>
        <v/>
      </c>
      <c r="L12" t="str">
        <f>IF(A12="","",1+COUNTIF($B$2:$B$51,"&gt;"&amp;B12)+COUNTIFS($B$2:$B$51,B12,$M$2:$M$51,"&gt;"&amp;M12)+COUNTIFS($B$2:B12,B12,$M$2:M12,M12)-1)</f>
        <v/>
      </c>
      <c r="M12" s="45" t="str">
        <f t="shared" si="4"/>
        <v/>
      </c>
    </row>
    <row r="13" spans="1:13" ht="15" customHeight="1" x14ac:dyDescent="0.2">
      <c r="A13" s="9"/>
      <c r="B13" s="43" t="str">
        <f t="array" ref="B13">IF(A13="","",IFERROR(LOOKUP(2,1/(('ELO Engine'!$F$2:$F$900=A13)+('ELO Engine'!$G$2:$G$900=A13)),IF('ELO Engine'!$F$2:$F$900=A13,'ELO Engine'!$N$2:$N$900,'ELO Engine'!$O$2:$O$900)),1000))</f>
        <v/>
      </c>
      <c r="C13" s="43" t="str">
        <f t="array" ref="C13">IF(A13="","",MAX(1000,MAX(IF('ELO Engine'!$F$2:$F$900=A13,'ELO Engine'!$N$2:$N$900)),MAX(IF('ELO Engine'!$G$2:$G$900=A13,'ELO Engine'!$O$2:$O$900))))</f>
        <v/>
      </c>
      <c r="D13" s="44" t="str">
        <f>IF(A13="","",COUNTIF('Match Log'!B:B,A13)+COUNTIF('Match Log'!C:C,A13)+SUMIF('Tournament Log'!C:C,A13,'Tournament Log'!D:D)+COUNTIF('Guest Log'!B:B,A13))</f>
        <v/>
      </c>
      <c r="E13" s="44">
        <f>COUNTIFS('Match Log'!B:B,A13,'Match Log'!D:D,"Win")+COUNTIFS('Match Log'!C:C,A13,'Match Log'!D:D,"Loss")+SUMIF('Tournament Log'!C:C,A13,'Tournament Log'!E:E)+COUNTIFS('Guest Log'!B:B,A13,'Guest Log'!C:C,"Win")</f>
        <v>0</v>
      </c>
      <c r="F13" s="44">
        <f>COUNTIFS('Match Log'!B:B,A13,'Match Log'!D:D,"Draw")+COUNTIFS('Match Log'!C:C,A13,'Match Log'!D:D,"Draw")+SUMIF('Tournament Log'!C:C,A13,'Tournament Log'!F:F)+COUNTIFS('Guest Log'!B:B,A13,'Guest Log'!C:C,"Draw")</f>
        <v>0</v>
      </c>
      <c r="G13" s="45" t="str">
        <f t="shared" si="0"/>
        <v/>
      </c>
      <c r="H13" s="45">
        <f>SUMIFS('Match Log'!E:E,'Match Log'!B:B,A13)+SUMIFS('Match Log'!F:F,'Match Log'!C:C,A13)+SUMIF('Tournament Log'!C:C,A13,'Tournament Log'!H:H)+SUMIF('Guest Log'!B:B,A13,'Guest Log'!D:D)</f>
        <v>0</v>
      </c>
      <c r="I13" s="46" t="str">
        <f t="shared" si="1"/>
        <v/>
      </c>
      <c r="J13" s="45" t="str">
        <f t="shared" si="2"/>
        <v/>
      </c>
      <c r="K13" t="str">
        <f t="shared" si="3"/>
        <v/>
      </c>
      <c r="L13" t="str">
        <f>IF(A13="","",1+COUNTIF($B$2:$B$51,"&gt;"&amp;B13)+COUNTIFS($B$2:$B$51,B13,$M$2:$M$51,"&gt;"&amp;M13)+COUNTIFS($B$2:B13,B13,$M$2:M13,M13)-1)</f>
        <v/>
      </c>
      <c r="M13" s="45" t="str">
        <f t="shared" si="4"/>
        <v/>
      </c>
    </row>
    <row r="14" spans="1:13" ht="15" customHeight="1" x14ac:dyDescent="0.2">
      <c r="A14" s="9"/>
      <c r="B14" s="43" t="str">
        <f t="array" ref="B14">IF(A14="","",IFERROR(LOOKUP(2,1/(('ELO Engine'!$F$2:$F$900=A14)+('ELO Engine'!$G$2:$G$900=A14)),IF('ELO Engine'!$F$2:$F$900=A14,'ELO Engine'!$N$2:$N$900,'ELO Engine'!$O$2:$O$900)),1000))</f>
        <v/>
      </c>
      <c r="C14" s="43" t="str">
        <f t="array" ref="C14">IF(A14="","",MAX(1000,MAX(IF('ELO Engine'!$F$2:$F$900=A14,'ELO Engine'!$N$2:$N$900)),MAX(IF('ELO Engine'!$G$2:$G$900=A14,'ELO Engine'!$O$2:$O$900))))</f>
        <v/>
      </c>
      <c r="D14" s="44" t="str">
        <f>IF(A14="","",COUNTIF('Match Log'!B:B,A14)+COUNTIF('Match Log'!C:C,A14)+SUMIF('Tournament Log'!C:C,A14,'Tournament Log'!D:D)+COUNTIF('Guest Log'!B:B,A14))</f>
        <v/>
      </c>
      <c r="E14" s="44">
        <f>COUNTIFS('Match Log'!B:B,A14,'Match Log'!D:D,"Win")+COUNTIFS('Match Log'!C:C,A14,'Match Log'!D:D,"Loss")+SUMIF('Tournament Log'!C:C,A14,'Tournament Log'!E:E)+COUNTIFS('Guest Log'!B:B,A14,'Guest Log'!C:C,"Win")</f>
        <v>0</v>
      </c>
      <c r="F14" s="44">
        <f>COUNTIFS('Match Log'!B:B,A14,'Match Log'!D:D,"Draw")+COUNTIFS('Match Log'!C:C,A14,'Match Log'!D:D,"Draw")+SUMIF('Tournament Log'!C:C,A14,'Tournament Log'!F:F)+COUNTIFS('Guest Log'!B:B,A14,'Guest Log'!C:C,"Draw")</f>
        <v>0</v>
      </c>
      <c r="G14" s="45" t="str">
        <f t="shared" si="0"/>
        <v/>
      </c>
      <c r="H14" s="45">
        <f>SUMIFS('Match Log'!E:E,'Match Log'!B:B,A14)+SUMIFS('Match Log'!F:F,'Match Log'!C:C,A14)+SUMIF('Tournament Log'!C:C,A14,'Tournament Log'!H:H)+SUMIF('Guest Log'!B:B,A14,'Guest Log'!D:D)</f>
        <v>0</v>
      </c>
      <c r="I14" s="46" t="str">
        <f t="shared" si="1"/>
        <v/>
      </c>
      <c r="J14" s="45" t="str">
        <f t="shared" si="2"/>
        <v/>
      </c>
      <c r="K14" t="str">
        <f t="shared" si="3"/>
        <v/>
      </c>
      <c r="L14" t="str">
        <f>IF(A14="","",1+COUNTIF($B$2:$B$51,"&gt;"&amp;B14)+COUNTIFS($B$2:$B$51,B14,$M$2:$M$51,"&gt;"&amp;M14)+COUNTIFS($B$2:B14,B14,$M$2:M14,M14)-1)</f>
        <v/>
      </c>
      <c r="M14" s="45" t="str">
        <f t="shared" si="4"/>
        <v/>
      </c>
    </row>
    <row r="15" spans="1:13" ht="15" customHeight="1" x14ac:dyDescent="0.2">
      <c r="A15" s="9"/>
      <c r="B15" s="43" t="str">
        <f t="array" ref="B15">IF(A15="","",IFERROR(LOOKUP(2,1/(('ELO Engine'!$F$2:$F$900=A15)+('ELO Engine'!$G$2:$G$900=A15)),IF('ELO Engine'!$F$2:$F$900=A15,'ELO Engine'!$N$2:$N$900,'ELO Engine'!$O$2:$O$900)),1000))</f>
        <v/>
      </c>
      <c r="C15" s="43" t="str">
        <f t="array" ref="C15">IF(A15="","",MAX(1000,MAX(IF('ELO Engine'!$F$2:$F$900=A15,'ELO Engine'!$N$2:$N$900)),MAX(IF('ELO Engine'!$G$2:$G$900=A15,'ELO Engine'!$O$2:$O$900))))</f>
        <v/>
      </c>
      <c r="D15" s="44" t="str">
        <f>IF(A15="","",COUNTIF('Match Log'!B:B,A15)+COUNTIF('Match Log'!C:C,A15)+SUMIF('Tournament Log'!C:C,A15,'Tournament Log'!D:D)+COUNTIF('Guest Log'!B:B,A15))</f>
        <v/>
      </c>
      <c r="E15" s="44">
        <f>COUNTIFS('Match Log'!B:B,A15,'Match Log'!D:D,"Win")+COUNTIFS('Match Log'!C:C,A15,'Match Log'!D:D,"Loss")+SUMIF('Tournament Log'!C:C,A15,'Tournament Log'!E:E)+COUNTIFS('Guest Log'!B:B,A15,'Guest Log'!C:C,"Win")</f>
        <v>0</v>
      </c>
      <c r="F15" s="44">
        <f>COUNTIFS('Match Log'!B:B,A15,'Match Log'!D:D,"Draw")+COUNTIFS('Match Log'!C:C,A15,'Match Log'!D:D,"Draw")+SUMIF('Tournament Log'!C:C,A15,'Tournament Log'!F:F)+COUNTIFS('Guest Log'!B:B,A15,'Guest Log'!C:C,"Draw")</f>
        <v>0</v>
      </c>
      <c r="G15" s="45" t="str">
        <f t="shared" si="0"/>
        <v/>
      </c>
      <c r="H15" s="45">
        <f>SUMIFS('Match Log'!E:E,'Match Log'!B:B,A15)+SUMIFS('Match Log'!F:F,'Match Log'!C:C,A15)+SUMIF('Tournament Log'!C:C,A15,'Tournament Log'!H:H)+SUMIF('Guest Log'!B:B,A15,'Guest Log'!D:D)</f>
        <v>0</v>
      </c>
      <c r="I15" s="46" t="str">
        <f t="shared" si="1"/>
        <v/>
      </c>
      <c r="J15" s="45" t="str">
        <f t="shared" si="2"/>
        <v/>
      </c>
      <c r="K15" t="str">
        <f t="shared" si="3"/>
        <v/>
      </c>
      <c r="L15" t="str">
        <f>IF(A15="","",1+COUNTIF($B$2:$B$51,"&gt;"&amp;B15)+COUNTIFS($B$2:$B$51,B15,$M$2:$M$51,"&gt;"&amp;M15)+COUNTIFS($B$2:B15,B15,$M$2:M15,M15)-1)</f>
        <v/>
      </c>
      <c r="M15" s="45" t="str">
        <f t="shared" si="4"/>
        <v/>
      </c>
    </row>
    <row r="16" spans="1:13" ht="15" customHeight="1" x14ac:dyDescent="0.2">
      <c r="A16" s="9"/>
      <c r="B16" s="43" t="str">
        <f t="array" ref="B16">IF(A16="","",IFERROR(LOOKUP(2,1/(('ELO Engine'!$F$2:$F$900=A16)+('ELO Engine'!$G$2:$G$900=A16)),IF('ELO Engine'!$F$2:$F$900=A16,'ELO Engine'!$N$2:$N$900,'ELO Engine'!$O$2:$O$900)),1000))</f>
        <v/>
      </c>
      <c r="C16" s="43" t="str">
        <f t="array" ref="C16">IF(A16="","",MAX(1000,MAX(IF('ELO Engine'!$F$2:$F$900=A16,'ELO Engine'!$N$2:$N$900)),MAX(IF('ELO Engine'!$G$2:$G$900=A16,'ELO Engine'!$O$2:$O$900))))</f>
        <v/>
      </c>
      <c r="D16" s="44" t="str">
        <f>IF(A16="","",COUNTIF('Match Log'!B:B,A16)+COUNTIF('Match Log'!C:C,A16)+SUMIF('Tournament Log'!C:C,A16,'Tournament Log'!D:D)+COUNTIF('Guest Log'!B:B,A16))</f>
        <v/>
      </c>
      <c r="E16" s="44">
        <f>COUNTIFS('Match Log'!B:B,A16,'Match Log'!D:D,"Win")+COUNTIFS('Match Log'!C:C,A16,'Match Log'!D:D,"Loss")+SUMIF('Tournament Log'!C:C,A16,'Tournament Log'!E:E)+COUNTIFS('Guest Log'!B:B,A16,'Guest Log'!C:C,"Win")</f>
        <v>0</v>
      </c>
      <c r="F16" s="44">
        <f>COUNTIFS('Match Log'!B:B,A16,'Match Log'!D:D,"Draw")+COUNTIFS('Match Log'!C:C,A16,'Match Log'!D:D,"Draw")+SUMIF('Tournament Log'!C:C,A16,'Tournament Log'!F:F)+COUNTIFS('Guest Log'!B:B,A16,'Guest Log'!C:C,"Draw")</f>
        <v>0</v>
      </c>
      <c r="G16" s="45" t="str">
        <f t="shared" si="0"/>
        <v/>
      </c>
      <c r="H16" s="45">
        <f>SUMIFS('Match Log'!E:E,'Match Log'!B:B,A16)+SUMIFS('Match Log'!F:F,'Match Log'!C:C,A16)+SUMIF('Tournament Log'!C:C,A16,'Tournament Log'!H:H)+SUMIF('Guest Log'!B:B,A16,'Guest Log'!D:D)</f>
        <v>0</v>
      </c>
      <c r="I16" s="46" t="str">
        <f t="shared" si="1"/>
        <v/>
      </c>
      <c r="J16" s="45" t="str">
        <f t="shared" si="2"/>
        <v/>
      </c>
      <c r="K16" t="str">
        <f t="shared" si="3"/>
        <v/>
      </c>
      <c r="L16" t="str">
        <f>IF(A16="","",1+COUNTIF($B$2:$B$51,"&gt;"&amp;B16)+COUNTIFS($B$2:$B$51,B16,$M$2:$M$51,"&gt;"&amp;M16)+COUNTIFS($B$2:B16,B16,$M$2:M16,M16)-1)</f>
        <v/>
      </c>
      <c r="M16" s="45" t="str">
        <f t="shared" si="4"/>
        <v/>
      </c>
    </row>
    <row r="17" spans="1:13" ht="15" customHeight="1" x14ac:dyDescent="0.2">
      <c r="A17" s="9"/>
      <c r="B17" s="43" t="str">
        <f t="array" ref="B17">IF(A17="","",IFERROR(LOOKUP(2,1/(('ELO Engine'!$F$2:$F$900=A17)+('ELO Engine'!$G$2:$G$900=A17)),IF('ELO Engine'!$F$2:$F$900=A17,'ELO Engine'!$N$2:$N$900,'ELO Engine'!$O$2:$O$900)),1000))</f>
        <v/>
      </c>
      <c r="C17" s="43" t="str">
        <f t="array" ref="C17">IF(A17="","",MAX(1000,MAX(IF('ELO Engine'!$F$2:$F$900=A17,'ELO Engine'!$N$2:$N$900)),MAX(IF('ELO Engine'!$G$2:$G$900=A17,'ELO Engine'!$O$2:$O$900))))</f>
        <v/>
      </c>
      <c r="D17" s="44" t="str">
        <f>IF(A17="","",COUNTIF('Match Log'!B:B,A17)+COUNTIF('Match Log'!C:C,A17)+SUMIF('Tournament Log'!C:C,A17,'Tournament Log'!D:D)+COUNTIF('Guest Log'!B:B,A17))</f>
        <v/>
      </c>
      <c r="E17" s="44">
        <f>COUNTIFS('Match Log'!B:B,A17,'Match Log'!D:D,"Win")+COUNTIFS('Match Log'!C:C,A17,'Match Log'!D:D,"Loss")+SUMIF('Tournament Log'!C:C,A17,'Tournament Log'!E:E)+COUNTIFS('Guest Log'!B:B,A17,'Guest Log'!C:C,"Win")</f>
        <v>0</v>
      </c>
      <c r="F17" s="44">
        <f>COUNTIFS('Match Log'!B:B,A17,'Match Log'!D:D,"Draw")+COUNTIFS('Match Log'!C:C,A17,'Match Log'!D:D,"Draw")+SUMIF('Tournament Log'!C:C,A17,'Tournament Log'!F:F)+COUNTIFS('Guest Log'!B:B,A17,'Guest Log'!C:C,"Draw")</f>
        <v>0</v>
      </c>
      <c r="G17" s="45" t="str">
        <f t="shared" si="0"/>
        <v/>
      </c>
      <c r="H17" s="45">
        <f>SUMIFS('Match Log'!E:E,'Match Log'!B:B,A17)+SUMIFS('Match Log'!F:F,'Match Log'!C:C,A17)+SUMIF('Tournament Log'!C:C,A17,'Tournament Log'!H:H)+SUMIF('Guest Log'!B:B,A17,'Guest Log'!D:D)</f>
        <v>0</v>
      </c>
      <c r="I17" s="46" t="str">
        <f t="shared" si="1"/>
        <v/>
      </c>
      <c r="J17" s="45" t="str">
        <f t="shared" si="2"/>
        <v/>
      </c>
      <c r="K17" t="str">
        <f t="shared" si="3"/>
        <v/>
      </c>
      <c r="L17" t="str">
        <f>IF(A17="","",1+COUNTIF($B$2:$B$51,"&gt;"&amp;B17)+COUNTIFS($B$2:$B$51,B17,$M$2:$M$51,"&gt;"&amp;M17)+COUNTIFS($B$2:B17,B17,$M$2:M17,M17)-1)</f>
        <v/>
      </c>
      <c r="M17" s="45" t="str">
        <f t="shared" si="4"/>
        <v/>
      </c>
    </row>
    <row r="18" spans="1:13" ht="15" customHeight="1" x14ac:dyDescent="0.2">
      <c r="A18" s="9"/>
      <c r="B18" s="43" t="str">
        <f t="array" ref="B18">IF(A18="","",IFERROR(LOOKUP(2,1/(('ELO Engine'!$F$2:$F$900=A18)+('ELO Engine'!$G$2:$G$900=A18)),IF('ELO Engine'!$F$2:$F$900=A18,'ELO Engine'!$N$2:$N$900,'ELO Engine'!$O$2:$O$900)),1000))</f>
        <v/>
      </c>
      <c r="C18" s="43" t="str">
        <f t="array" ref="C18">IF(A18="","",MAX(1000,MAX(IF('ELO Engine'!$F$2:$F$900=A18,'ELO Engine'!$N$2:$N$900)),MAX(IF('ELO Engine'!$G$2:$G$900=A18,'ELO Engine'!$O$2:$O$900))))</f>
        <v/>
      </c>
      <c r="D18" s="44" t="str">
        <f>IF(A18="","",COUNTIF('Match Log'!B:B,A18)+COUNTIF('Match Log'!C:C,A18)+SUMIF('Tournament Log'!C:C,A18,'Tournament Log'!D:D)+COUNTIF('Guest Log'!B:B,A18))</f>
        <v/>
      </c>
      <c r="E18" s="44">
        <f>COUNTIFS('Match Log'!B:B,A18,'Match Log'!D:D,"Win")+COUNTIFS('Match Log'!C:C,A18,'Match Log'!D:D,"Loss")+SUMIF('Tournament Log'!C:C,A18,'Tournament Log'!E:E)+COUNTIFS('Guest Log'!B:B,A18,'Guest Log'!C:C,"Win")</f>
        <v>0</v>
      </c>
      <c r="F18" s="44">
        <f>COUNTIFS('Match Log'!B:B,A18,'Match Log'!D:D,"Draw")+COUNTIFS('Match Log'!C:C,A18,'Match Log'!D:D,"Draw")+SUMIF('Tournament Log'!C:C,A18,'Tournament Log'!F:F)+COUNTIFS('Guest Log'!B:B,A18,'Guest Log'!C:C,"Draw")</f>
        <v>0</v>
      </c>
      <c r="G18" s="45" t="str">
        <f t="shared" si="0"/>
        <v/>
      </c>
      <c r="H18" s="45">
        <f>SUMIFS('Match Log'!E:E,'Match Log'!B:B,A18)+SUMIFS('Match Log'!F:F,'Match Log'!C:C,A18)+SUMIF('Tournament Log'!C:C,A18,'Tournament Log'!H:H)+SUMIF('Guest Log'!B:B,A18,'Guest Log'!D:D)</f>
        <v>0</v>
      </c>
      <c r="I18" s="46" t="str">
        <f t="shared" si="1"/>
        <v/>
      </c>
      <c r="J18" s="45" t="str">
        <f t="shared" si="2"/>
        <v/>
      </c>
      <c r="K18" t="str">
        <f t="shared" si="3"/>
        <v/>
      </c>
      <c r="L18" t="str">
        <f>IF(A18="","",1+COUNTIF($B$2:$B$51,"&gt;"&amp;B18)+COUNTIFS($B$2:$B$51,B18,$M$2:$M$51,"&gt;"&amp;M18)+COUNTIFS($B$2:B18,B18,$M$2:M18,M18)-1)</f>
        <v/>
      </c>
      <c r="M18" s="45" t="str">
        <f t="shared" si="4"/>
        <v/>
      </c>
    </row>
    <row r="19" spans="1:13" ht="15" customHeight="1" x14ac:dyDescent="0.2">
      <c r="A19" s="9"/>
      <c r="B19" s="43" t="str">
        <f t="array" ref="B19">IF(A19="","",IFERROR(LOOKUP(2,1/(('ELO Engine'!$F$2:$F$900=A19)+('ELO Engine'!$G$2:$G$900=A19)),IF('ELO Engine'!$F$2:$F$900=A19,'ELO Engine'!$N$2:$N$900,'ELO Engine'!$O$2:$O$900)),1000))</f>
        <v/>
      </c>
      <c r="C19" s="43" t="str">
        <f t="array" ref="C19">IF(A19="","",MAX(1000,MAX(IF('ELO Engine'!$F$2:$F$900=A19,'ELO Engine'!$N$2:$N$900)),MAX(IF('ELO Engine'!$G$2:$G$900=A19,'ELO Engine'!$O$2:$O$900))))</f>
        <v/>
      </c>
      <c r="D19" s="44" t="str">
        <f>IF(A19="","",COUNTIF('Match Log'!B:B,A19)+COUNTIF('Match Log'!C:C,A19)+SUMIF('Tournament Log'!C:C,A19,'Tournament Log'!D:D)+COUNTIF('Guest Log'!B:B,A19))</f>
        <v/>
      </c>
      <c r="E19" s="44">
        <f>COUNTIFS('Match Log'!B:B,A19,'Match Log'!D:D,"Win")+COUNTIFS('Match Log'!C:C,A19,'Match Log'!D:D,"Loss")+SUMIF('Tournament Log'!C:C,A19,'Tournament Log'!E:E)+COUNTIFS('Guest Log'!B:B,A19,'Guest Log'!C:C,"Win")</f>
        <v>0</v>
      </c>
      <c r="F19" s="44">
        <f>COUNTIFS('Match Log'!B:B,A19,'Match Log'!D:D,"Draw")+COUNTIFS('Match Log'!C:C,A19,'Match Log'!D:D,"Draw")+SUMIF('Tournament Log'!C:C,A19,'Tournament Log'!F:F)+COUNTIFS('Guest Log'!B:B,A19,'Guest Log'!C:C,"Draw")</f>
        <v>0</v>
      </c>
      <c r="G19" s="45" t="str">
        <f t="shared" si="0"/>
        <v/>
      </c>
      <c r="H19" s="45">
        <f>SUMIFS('Match Log'!E:E,'Match Log'!B:B,A19)+SUMIFS('Match Log'!F:F,'Match Log'!C:C,A19)+SUMIF('Tournament Log'!C:C,A19,'Tournament Log'!H:H)+SUMIF('Guest Log'!B:B,A19,'Guest Log'!D:D)</f>
        <v>0</v>
      </c>
      <c r="I19" s="46" t="str">
        <f t="shared" si="1"/>
        <v/>
      </c>
      <c r="J19" s="45" t="str">
        <f t="shared" si="2"/>
        <v/>
      </c>
      <c r="K19" t="str">
        <f t="shared" si="3"/>
        <v/>
      </c>
      <c r="L19" t="str">
        <f>IF(A19="","",1+COUNTIF($B$2:$B$51,"&gt;"&amp;B19)+COUNTIFS($B$2:$B$51,B19,$M$2:$M$51,"&gt;"&amp;M19)+COUNTIFS($B$2:B19,B19,$M$2:M19,M19)-1)</f>
        <v/>
      </c>
      <c r="M19" s="45" t="str">
        <f t="shared" si="4"/>
        <v/>
      </c>
    </row>
    <row r="20" spans="1:13" ht="15" customHeight="1" x14ac:dyDescent="0.2">
      <c r="A20" s="9"/>
      <c r="B20" s="43" t="str">
        <f t="array" ref="B20">IF(A20="","",IFERROR(LOOKUP(2,1/(('ELO Engine'!$F$2:$F$900=A20)+('ELO Engine'!$G$2:$G$900=A20)),IF('ELO Engine'!$F$2:$F$900=A20,'ELO Engine'!$N$2:$N$900,'ELO Engine'!$O$2:$O$900)),1000))</f>
        <v/>
      </c>
      <c r="C20" s="43" t="str">
        <f t="array" ref="C20">IF(A20="","",MAX(1000,MAX(IF('ELO Engine'!$F$2:$F$900=A20,'ELO Engine'!$N$2:$N$900)),MAX(IF('ELO Engine'!$G$2:$G$900=A20,'ELO Engine'!$O$2:$O$900))))</f>
        <v/>
      </c>
      <c r="D20" s="44" t="str">
        <f>IF(A20="","",COUNTIF('Match Log'!B:B,A20)+COUNTIF('Match Log'!C:C,A20)+SUMIF('Tournament Log'!C:C,A20,'Tournament Log'!D:D)+COUNTIF('Guest Log'!B:B,A20))</f>
        <v/>
      </c>
      <c r="E20" s="44">
        <f>COUNTIFS('Match Log'!B:B,A20,'Match Log'!D:D,"Win")+COUNTIFS('Match Log'!C:C,A20,'Match Log'!D:D,"Loss")+SUMIF('Tournament Log'!C:C,A20,'Tournament Log'!E:E)+COUNTIFS('Guest Log'!B:B,A20,'Guest Log'!C:C,"Win")</f>
        <v>0</v>
      </c>
      <c r="F20" s="44">
        <f>COUNTIFS('Match Log'!B:B,A20,'Match Log'!D:D,"Draw")+COUNTIFS('Match Log'!C:C,A20,'Match Log'!D:D,"Draw")+SUMIF('Tournament Log'!C:C,A20,'Tournament Log'!F:F)+COUNTIFS('Guest Log'!B:B,A20,'Guest Log'!C:C,"Draw")</f>
        <v>0</v>
      </c>
      <c r="G20" s="45" t="str">
        <f t="shared" si="0"/>
        <v/>
      </c>
      <c r="H20" s="45">
        <f>SUMIFS('Match Log'!E:E,'Match Log'!B:B,A20)+SUMIFS('Match Log'!F:F,'Match Log'!C:C,A20)+SUMIF('Tournament Log'!C:C,A20,'Tournament Log'!H:H)+SUMIF('Guest Log'!B:B,A20,'Guest Log'!D:D)</f>
        <v>0</v>
      </c>
      <c r="I20" s="46" t="str">
        <f t="shared" si="1"/>
        <v/>
      </c>
      <c r="J20" s="45" t="str">
        <f t="shared" si="2"/>
        <v/>
      </c>
      <c r="K20" t="str">
        <f t="shared" si="3"/>
        <v/>
      </c>
      <c r="L20" t="str">
        <f>IF(A20="","",1+COUNTIF($B$2:$B$51,"&gt;"&amp;B20)+COUNTIFS($B$2:$B$51,B20,$M$2:$M$51,"&gt;"&amp;M20)+COUNTIFS($B$2:B20,B20,$M$2:M20,M20)-1)</f>
        <v/>
      </c>
      <c r="M20" s="45" t="str">
        <f t="shared" si="4"/>
        <v/>
      </c>
    </row>
    <row r="21" spans="1:13" ht="15" customHeight="1" x14ac:dyDescent="0.2">
      <c r="A21" s="9"/>
      <c r="B21" s="43" t="str">
        <f t="array" ref="B21">IF(A21="","",IFERROR(LOOKUP(2,1/(('ELO Engine'!$F$2:$F$900=A21)+('ELO Engine'!$G$2:$G$900=A21)),IF('ELO Engine'!$F$2:$F$900=A21,'ELO Engine'!$N$2:$N$900,'ELO Engine'!$O$2:$O$900)),1000))</f>
        <v/>
      </c>
      <c r="C21" s="43" t="str">
        <f t="array" ref="C21">IF(A21="","",MAX(1000,MAX(IF('ELO Engine'!$F$2:$F$900=A21,'ELO Engine'!$N$2:$N$900)),MAX(IF('ELO Engine'!$G$2:$G$900=A21,'ELO Engine'!$O$2:$O$900))))</f>
        <v/>
      </c>
      <c r="D21" s="44" t="str">
        <f>IF(A21="","",COUNTIF('Match Log'!B:B,A21)+COUNTIF('Match Log'!C:C,A21)+SUMIF('Tournament Log'!C:C,A21,'Tournament Log'!D:D)+COUNTIF('Guest Log'!B:B,A21))</f>
        <v/>
      </c>
      <c r="E21" s="44">
        <f>COUNTIFS('Match Log'!B:B,A21,'Match Log'!D:D,"Win")+COUNTIFS('Match Log'!C:C,A21,'Match Log'!D:D,"Loss")+SUMIF('Tournament Log'!C:C,A21,'Tournament Log'!E:E)+COUNTIFS('Guest Log'!B:B,A21,'Guest Log'!C:C,"Win")</f>
        <v>0</v>
      </c>
      <c r="F21" s="44">
        <f>COUNTIFS('Match Log'!B:B,A21,'Match Log'!D:D,"Draw")+COUNTIFS('Match Log'!C:C,A21,'Match Log'!D:D,"Draw")+SUMIF('Tournament Log'!C:C,A21,'Tournament Log'!F:F)+COUNTIFS('Guest Log'!B:B,A21,'Guest Log'!C:C,"Draw")</f>
        <v>0</v>
      </c>
      <c r="G21" s="45" t="str">
        <f t="shared" si="0"/>
        <v/>
      </c>
      <c r="H21" s="45">
        <f>SUMIFS('Match Log'!E:E,'Match Log'!B:B,A21)+SUMIFS('Match Log'!F:F,'Match Log'!C:C,A21)+SUMIF('Tournament Log'!C:C,A21,'Tournament Log'!H:H)+SUMIF('Guest Log'!B:B,A21,'Guest Log'!D:D)</f>
        <v>0</v>
      </c>
      <c r="I21" s="46" t="str">
        <f t="shared" si="1"/>
        <v/>
      </c>
      <c r="J21" s="45" t="str">
        <f t="shared" si="2"/>
        <v/>
      </c>
      <c r="K21" t="str">
        <f t="shared" si="3"/>
        <v/>
      </c>
      <c r="L21" t="str">
        <f>IF(A21="","",1+COUNTIF($B$2:$B$51,"&gt;"&amp;B21)+COUNTIFS($B$2:$B$51,B21,$M$2:$M$51,"&gt;"&amp;M21)+COUNTIFS($B$2:B21,B21,$M$2:M21,M21)-1)</f>
        <v/>
      </c>
      <c r="M21" s="45" t="str">
        <f t="shared" si="4"/>
        <v/>
      </c>
    </row>
    <row r="22" spans="1:13" ht="15" customHeight="1" x14ac:dyDescent="0.2">
      <c r="A22" s="9"/>
      <c r="B22" s="43" t="str">
        <f t="array" ref="B22">IF(A22="","",IFERROR(LOOKUP(2,1/(('ELO Engine'!$F$2:$F$900=A22)+('ELO Engine'!$G$2:$G$900=A22)),IF('ELO Engine'!$F$2:$F$900=A22,'ELO Engine'!$N$2:$N$900,'ELO Engine'!$O$2:$O$900)),1000))</f>
        <v/>
      </c>
      <c r="C22" s="43" t="str">
        <f t="array" ref="C22">IF(A22="","",MAX(1000,MAX(IF('ELO Engine'!$F$2:$F$900=A22,'ELO Engine'!$N$2:$N$900)),MAX(IF('ELO Engine'!$G$2:$G$900=A22,'ELO Engine'!$O$2:$O$900))))</f>
        <v/>
      </c>
      <c r="D22" s="44" t="str">
        <f>IF(A22="","",COUNTIF('Match Log'!B:B,A22)+COUNTIF('Match Log'!C:C,A22)+SUMIF('Tournament Log'!C:C,A22,'Tournament Log'!D:D)+COUNTIF('Guest Log'!B:B,A22))</f>
        <v/>
      </c>
      <c r="E22" s="44">
        <f>COUNTIFS('Match Log'!B:B,A22,'Match Log'!D:D,"Win")+COUNTIFS('Match Log'!C:C,A22,'Match Log'!D:D,"Loss")+SUMIF('Tournament Log'!C:C,A22,'Tournament Log'!E:E)+COUNTIFS('Guest Log'!B:B,A22,'Guest Log'!C:C,"Win")</f>
        <v>0</v>
      </c>
      <c r="F22" s="44">
        <f>COUNTIFS('Match Log'!B:B,A22,'Match Log'!D:D,"Draw")+COUNTIFS('Match Log'!C:C,A22,'Match Log'!D:D,"Draw")+SUMIF('Tournament Log'!C:C,A22,'Tournament Log'!F:F)+COUNTIFS('Guest Log'!B:B,A22,'Guest Log'!C:C,"Draw")</f>
        <v>0</v>
      </c>
      <c r="G22" s="45" t="str">
        <f t="shared" si="0"/>
        <v/>
      </c>
      <c r="H22" s="45">
        <f>SUMIFS('Match Log'!E:E,'Match Log'!B:B,A22)+SUMIFS('Match Log'!F:F,'Match Log'!C:C,A22)+SUMIF('Tournament Log'!C:C,A22,'Tournament Log'!H:H)+SUMIF('Guest Log'!B:B,A22,'Guest Log'!D:D)</f>
        <v>0</v>
      </c>
      <c r="I22" s="46" t="str">
        <f t="shared" si="1"/>
        <v/>
      </c>
      <c r="J22" s="45" t="str">
        <f t="shared" si="2"/>
        <v/>
      </c>
      <c r="K22" t="str">
        <f t="shared" si="3"/>
        <v/>
      </c>
      <c r="L22" t="str">
        <f>IF(A22="","",1+COUNTIF($B$2:$B$51,"&gt;"&amp;B22)+COUNTIFS($B$2:$B$51,B22,$M$2:$M$51,"&gt;"&amp;M22)+COUNTIFS($B$2:B22,B22,$M$2:M22,M22)-1)</f>
        <v/>
      </c>
      <c r="M22" s="45" t="str">
        <f t="shared" si="4"/>
        <v/>
      </c>
    </row>
    <row r="23" spans="1:13" ht="15" customHeight="1" x14ac:dyDescent="0.2">
      <c r="A23" s="9"/>
      <c r="B23" s="43" t="str">
        <f t="array" ref="B23">IF(A23="","",IFERROR(LOOKUP(2,1/(('ELO Engine'!$F$2:$F$900=A23)+('ELO Engine'!$G$2:$G$900=A23)),IF('ELO Engine'!$F$2:$F$900=A23,'ELO Engine'!$N$2:$N$900,'ELO Engine'!$O$2:$O$900)),1000))</f>
        <v/>
      </c>
      <c r="C23" s="43" t="str">
        <f t="array" ref="C23">IF(A23="","",MAX(1000,MAX(IF('ELO Engine'!$F$2:$F$900=A23,'ELO Engine'!$N$2:$N$900)),MAX(IF('ELO Engine'!$G$2:$G$900=A23,'ELO Engine'!$O$2:$O$900))))</f>
        <v/>
      </c>
      <c r="D23" s="44" t="str">
        <f>IF(A23="","",COUNTIF('Match Log'!B:B,A23)+COUNTIF('Match Log'!C:C,A23)+SUMIF('Tournament Log'!C:C,A23,'Tournament Log'!D:D)+COUNTIF('Guest Log'!B:B,A23))</f>
        <v/>
      </c>
      <c r="E23" s="44">
        <f>COUNTIFS('Match Log'!B:B,A23,'Match Log'!D:D,"Win")+COUNTIFS('Match Log'!C:C,A23,'Match Log'!D:D,"Loss")+SUMIF('Tournament Log'!C:C,A23,'Tournament Log'!E:E)+COUNTIFS('Guest Log'!B:B,A23,'Guest Log'!C:C,"Win")</f>
        <v>0</v>
      </c>
      <c r="F23" s="44">
        <f>COUNTIFS('Match Log'!B:B,A23,'Match Log'!D:D,"Draw")+COUNTIFS('Match Log'!C:C,A23,'Match Log'!D:D,"Draw")+SUMIF('Tournament Log'!C:C,A23,'Tournament Log'!F:F)+COUNTIFS('Guest Log'!B:B,A23,'Guest Log'!C:C,"Draw")</f>
        <v>0</v>
      </c>
      <c r="G23" s="45" t="str">
        <f t="shared" si="0"/>
        <v/>
      </c>
      <c r="H23" s="45">
        <f>SUMIFS('Match Log'!E:E,'Match Log'!B:B,A23)+SUMIFS('Match Log'!F:F,'Match Log'!C:C,A23)+SUMIF('Tournament Log'!C:C,A23,'Tournament Log'!H:H)+SUMIF('Guest Log'!B:B,A23,'Guest Log'!D:D)</f>
        <v>0</v>
      </c>
      <c r="I23" s="46" t="str">
        <f t="shared" si="1"/>
        <v/>
      </c>
      <c r="J23" s="45" t="str">
        <f t="shared" si="2"/>
        <v/>
      </c>
      <c r="K23" t="str">
        <f t="shared" si="3"/>
        <v/>
      </c>
      <c r="L23" t="str">
        <f>IF(A23="","",1+COUNTIF($B$2:$B$51,"&gt;"&amp;B23)+COUNTIFS($B$2:$B$51,B23,$M$2:$M$51,"&gt;"&amp;M23)+COUNTIFS($B$2:B23,B23,$M$2:M23,M23)-1)</f>
        <v/>
      </c>
      <c r="M23" s="45" t="str">
        <f t="shared" si="4"/>
        <v/>
      </c>
    </row>
    <row r="24" spans="1:13" ht="15" customHeight="1" x14ac:dyDescent="0.2">
      <c r="A24" s="9"/>
      <c r="B24" s="43" t="str">
        <f t="array" ref="B24">IF(A24="","",IFERROR(LOOKUP(2,1/(('ELO Engine'!$F$2:$F$900=A24)+('ELO Engine'!$G$2:$G$900=A24)),IF('ELO Engine'!$F$2:$F$900=A24,'ELO Engine'!$N$2:$N$900,'ELO Engine'!$O$2:$O$900)),1000))</f>
        <v/>
      </c>
      <c r="C24" s="43" t="str">
        <f t="array" ref="C24">IF(A24="","",MAX(1000,MAX(IF('ELO Engine'!$F$2:$F$900=A24,'ELO Engine'!$N$2:$N$900)),MAX(IF('ELO Engine'!$G$2:$G$900=A24,'ELO Engine'!$O$2:$O$900))))</f>
        <v/>
      </c>
      <c r="D24" s="44" t="str">
        <f>IF(A24="","",COUNTIF('Match Log'!B:B,A24)+COUNTIF('Match Log'!C:C,A24)+SUMIF('Tournament Log'!C:C,A24,'Tournament Log'!D:D)+COUNTIF('Guest Log'!B:B,A24))</f>
        <v/>
      </c>
      <c r="E24" s="44">
        <f>COUNTIFS('Match Log'!B:B,A24,'Match Log'!D:D,"Win")+COUNTIFS('Match Log'!C:C,A24,'Match Log'!D:D,"Loss")+SUMIF('Tournament Log'!C:C,A24,'Tournament Log'!E:E)+COUNTIFS('Guest Log'!B:B,A24,'Guest Log'!C:C,"Win")</f>
        <v>0</v>
      </c>
      <c r="F24" s="44">
        <f>COUNTIFS('Match Log'!B:B,A24,'Match Log'!D:D,"Draw")+COUNTIFS('Match Log'!C:C,A24,'Match Log'!D:D,"Draw")+SUMIF('Tournament Log'!C:C,A24,'Tournament Log'!F:F)+COUNTIFS('Guest Log'!B:B,A24,'Guest Log'!C:C,"Draw")</f>
        <v>0</v>
      </c>
      <c r="G24" s="45" t="str">
        <f t="shared" si="0"/>
        <v/>
      </c>
      <c r="H24" s="45">
        <f>SUMIFS('Match Log'!E:E,'Match Log'!B:B,A24)+SUMIFS('Match Log'!F:F,'Match Log'!C:C,A24)+SUMIF('Tournament Log'!C:C,A24,'Tournament Log'!H:H)+SUMIF('Guest Log'!B:B,A24,'Guest Log'!D:D)</f>
        <v>0</v>
      </c>
      <c r="I24" s="46" t="str">
        <f t="shared" si="1"/>
        <v/>
      </c>
      <c r="J24" s="45" t="str">
        <f t="shared" si="2"/>
        <v/>
      </c>
      <c r="K24" t="str">
        <f t="shared" si="3"/>
        <v/>
      </c>
      <c r="L24" t="str">
        <f>IF(A24="","",1+COUNTIF($B$2:$B$51,"&gt;"&amp;B24)+COUNTIFS($B$2:$B$51,B24,$M$2:$M$51,"&gt;"&amp;M24)+COUNTIFS($B$2:B24,B24,$M$2:M24,M24)-1)</f>
        <v/>
      </c>
      <c r="M24" s="45" t="str">
        <f t="shared" si="4"/>
        <v/>
      </c>
    </row>
    <row r="25" spans="1:13" ht="15" customHeight="1" x14ac:dyDescent="0.2">
      <c r="A25" s="9"/>
      <c r="B25" s="43" t="str">
        <f t="array" ref="B25">IF(A25="","",IFERROR(LOOKUP(2,1/(('ELO Engine'!$F$2:$F$900=A25)+('ELO Engine'!$G$2:$G$900=A25)),IF('ELO Engine'!$F$2:$F$900=A25,'ELO Engine'!$N$2:$N$900,'ELO Engine'!$O$2:$O$900)),1000))</f>
        <v/>
      </c>
      <c r="C25" s="43" t="str">
        <f t="array" ref="C25">IF(A25="","",MAX(1000,MAX(IF('ELO Engine'!$F$2:$F$900=A25,'ELO Engine'!$N$2:$N$900)),MAX(IF('ELO Engine'!$G$2:$G$900=A25,'ELO Engine'!$O$2:$O$900))))</f>
        <v/>
      </c>
      <c r="D25" s="44" t="str">
        <f>IF(A25="","",COUNTIF('Match Log'!B:B,A25)+COUNTIF('Match Log'!C:C,A25)+SUMIF('Tournament Log'!C:C,A25,'Tournament Log'!D:D)+COUNTIF('Guest Log'!B:B,A25))</f>
        <v/>
      </c>
      <c r="E25" s="44">
        <f>COUNTIFS('Match Log'!B:B,A25,'Match Log'!D:D,"Win")+COUNTIFS('Match Log'!C:C,A25,'Match Log'!D:D,"Loss")+SUMIF('Tournament Log'!C:C,A25,'Tournament Log'!E:E)+COUNTIFS('Guest Log'!B:B,A25,'Guest Log'!C:C,"Win")</f>
        <v>0</v>
      </c>
      <c r="F25" s="44">
        <f>COUNTIFS('Match Log'!B:B,A25,'Match Log'!D:D,"Draw")+COUNTIFS('Match Log'!C:C,A25,'Match Log'!D:D,"Draw")+SUMIF('Tournament Log'!C:C,A25,'Tournament Log'!F:F)+COUNTIFS('Guest Log'!B:B,A25,'Guest Log'!C:C,"Draw")</f>
        <v>0</v>
      </c>
      <c r="G25" s="45" t="str">
        <f t="shared" si="0"/>
        <v/>
      </c>
      <c r="H25" s="45">
        <f>SUMIFS('Match Log'!E:E,'Match Log'!B:B,A25)+SUMIFS('Match Log'!F:F,'Match Log'!C:C,A25)+SUMIF('Tournament Log'!C:C,A25,'Tournament Log'!H:H)+SUMIF('Guest Log'!B:B,A25,'Guest Log'!D:D)</f>
        <v>0</v>
      </c>
      <c r="I25" s="46" t="str">
        <f t="shared" si="1"/>
        <v/>
      </c>
      <c r="J25" s="45" t="str">
        <f t="shared" si="2"/>
        <v/>
      </c>
      <c r="K25" t="str">
        <f t="shared" si="3"/>
        <v/>
      </c>
      <c r="L25" t="str">
        <f>IF(A25="","",1+COUNTIF($B$2:$B$51,"&gt;"&amp;B25)+COUNTIFS($B$2:$B$51,B25,$M$2:$M$51,"&gt;"&amp;M25)+COUNTIFS($B$2:B25,B25,$M$2:M25,M25)-1)</f>
        <v/>
      </c>
      <c r="M25" s="45" t="str">
        <f t="shared" si="4"/>
        <v/>
      </c>
    </row>
    <row r="26" spans="1:13" ht="15" customHeight="1" x14ac:dyDescent="0.2">
      <c r="A26" s="9"/>
      <c r="B26" s="43" t="str">
        <f t="array" ref="B26">IF(A26="","",IFERROR(LOOKUP(2,1/(('ELO Engine'!$F$2:$F$900=A26)+('ELO Engine'!$G$2:$G$900=A26)),IF('ELO Engine'!$F$2:$F$900=A26,'ELO Engine'!$N$2:$N$900,'ELO Engine'!$O$2:$O$900)),1000))</f>
        <v/>
      </c>
      <c r="C26" s="43" t="str">
        <f t="array" ref="C26">IF(A26="","",MAX(1000,MAX(IF('ELO Engine'!$F$2:$F$900=A26,'ELO Engine'!$N$2:$N$900)),MAX(IF('ELO Engine'!$G$2:$G$900=A26,'ELO Engine'!$O$2:$O$900))))</f>
        <v/>
      </c>
      <c r="D26" s="44" t="str">
        <f>IF(A26="","",COUNTIF('Match Log'!B:B,A26)+COUNTIF('Match Log'!C:C,A26)+SUMIF('Tournament Log'!C:C,A26,'Tournament Log'!D:D)+COUNTIF('Guest Log'!B:B,A26))</f>
        <v/>
      </c>
      <c r="E26" s="44">
        <f>COUNTIFS('Match Log'!B:B,A26,'Match Log'!D:D,"Win")+COUNTIFS('Match Log'!C:C,A26,'Match Log'!D:D,"Loss")+SUMIF('Tournament Log'!C:C,A26,'Tournament Log'!E:E)+COUNTIFS('Guest Log'!B:B,A26,'Guest Log'!C:C,"Win")</f>
        <v>0</v>
      </c>
      <c r="F26" s="44">
        <f>COUNTIFS('Match Log'!B:B,A26,'Match Log'!D:D,"Draw")+COUNTIFS('Match Log'!C:C,A26,'Match Log'!D:D,"Draw")+SUMIF('Tournament Log'!C:C,A26,'Tournament Log'!F:F)+COUNTIFS('Guest Log'!B:B,A26,'Guest Log'!C:C,"Draw")</f>
        <v>0</v>
      </c>
      <c r="G26" s="45" t="str">
        <f t="shared" si="0"/>
        <v/>
      </c>
      <c r="H26" s="45">
        <f>SUMIFS('Match Log'!E:E,'Match Log'!B:B,A26)+SUMIFS('Match Log'!F:F,'Match Log'!C:C,A26)+SUMIF('Tournament Log'!C:C,A26,'Tournament Log'!H:H)+SUMIF('Guest Log'!B:B,A26,'Guest Log'!D:D)</f>
        <v>0</v>
      </c>
      <c r="I26" s="46" t="str">
        <f t="shared" si="1"/>
        <v/>
      </c>
      <c r="J26" s="45" t="str">
        <f t="shared" si="2"/>
        <v/>
      </c>
      <c r="K26" t="str">
        <f t="shared" si="3"/>
        <v/>
      </c>
      <c r="L26" t="str">
        <f>IF(A26="","",1+COUNTIF($B$2:$B$51,"&gt;"&amp;B26)+COUNTIFS($B$2:$B$51,B26,$M$2:$M$51,"&gt;"&amp;M26)+COUNTIFS($B$2:B26,B26,$M$2:M26,M26)-1)</f>
        <v/>
      </c>
      <c r="M26" s="45" t="str">
        <f t="shared" si="4"/>
        <v/>
      </c>
    </row>
    <row r="27" spans="1:13" ht="15" customHeight="1" x14ac:dyDescent="0.2">
      <c r="A27" s="9"/>
      <c r="B27" s="43" t="str">
        <f t="array" ref="B27">IF(A27="","",IFERROR(LOOKUP(2,1/(('ELO Engine'!$F$2:$F$900=A27)+('ELO Engine'!$G$2:$G$900=A27)),IF('ELO Engine'!$F$2:$F$900=A27,'ELO Engine'!$N$2:$N$900,'ELO Engine'!$O$2:$O$900)),1000))</f>
        <v/>
      </c>
      <c r="C27" s="43" t="str">
        <f t="array" ref="C27">IF(A27="","",MAX(1000,MAX(IF('ELO Engine'!$F$2:$F$900=A27,'ELO Engine'!$N$2:$N$900)),MAX(IF('ELO Engine'!$G$2:$G$900=A27,'ELO Engine'!$O$2:$O$900))))</f>
        <v/>
      </c>
      <c r="D27" s="44" t="str">
        <f>IF(A27="","",COUNTIF('Match Log'!B:B,A27)+COUNTIF('Match Log'!C:C,A27)+SUMIF('Tournament Log'!C:C,A27,'Tournament Log'!D:D)+COUNTIF('Guest Log'!B:B,A27))</f>
        <v/>
      </c>
      <c r="E27" s="44">
        <f>COUNTIFS('Match Log'!B:B,A27,'Match Log'!D:D,"Win")+COUNTIFS('Match Log'!C:C,A27,'Match Log'!D:D,"Loss")+SUMIF('Tournament Log'!C:C,A27,'Tournament Log'!E:E)+COUNTIFS('Guest Log'!B:B,A27,'Guest Log'!C:C,"Win")</f>
        <v>0</v>
      </c>
      <c r="F27" s="44">
        <f>COUNTIFS('Match Log'!B:B,A27,'Match Log'!D:D,"Draw")+COUNTIFS('Match Log'!C:C,A27,'Match Log'!D:D,"Draw")+SUMIF('Tournament Log'!C:C,A27,'Tournament Log'!F:F)+COUNTIFS('Guest Log'!B:B,A27,'Guest Log'!C:C,"Draw")</f>
        <v>0</v>
      </c>
      <c r="G27" s="45" t="str">
        <f t="shared" si="0"/>
        <v/>
      </c>
      <c r="H27" s="45">
        <f>SUMIFS('Match Log'!E:E,'Match Log'!B:B,A27)+SUMIFS('Match Log'!F:F,'Match Log'!C:C,A27)+SUMIF('Tournament Log'!C:C,A27,'Tournament Log'!H:H)+SUMIF('Guest Log'!B:B,A27,'Guest Log'!D:D)</f>
        <v>0</v>
      </c>
      <c r="I27" s="46" t="str">
        <f t="shared" si="1"/>
        <v/>
      </c>
      <c r="J27" s="45" t="str">
        <f t="shared" si="2"/>
        <v/>
      </c>
      <c r="K27" t="str">
        <f t="shared" si="3"/>
        <v/>
      </c>
      <c r="L27" t="str">
        <f>IF(A27="","",1+COUNTIF($B$2:$B$51,"&gt;"&amp;B27)+COUNTIFS($B$2:$B$51,B27,$M$2:$M$51,"&gt;"&amp;M27)+COUNTIFS($B$2:B27,B27,$M$2:M27,M27)-1)</f>
        <v/>
      </c>
      <c r="M27" s="45" t="str">
        <f t="shared" si="4"/>
        <v/>
      </c>
    </row>
    <row r="28" spans="1:13" ht="15" customHeight="1" x14ac:dyDescent="0.2">
      <c r="A28" s="9"/>
      <c r="B28" s="43" t="str">
        <f t="array" ref="B28">IF(A28="","",IFERROR(LOOKUP(2,1/(('ELO Engine'!$F$2:$F$900=A28)+('ELO Engine'!$G$2:$G$900=A28)),IF('ELO Engine'!$F$2:$F$900=A28,'ELO Engine'!$N$2:$N$900,'ELO Engine'!$O$2:$O$900)),1000))</f>
        <v/>
      </c>
      <c r="C28" s="43" t="str">
        <f t="array" ref="C28">IF(A28="","",MAX(1000,MAX(IF('ELO Engine'!$F$2:$F$900=A28,'ELO Engine'!$N$2:$N$900)),MAX(IF('ELO Engine'!$G$2:$G$900=A28,'ELO Engine'!$O$2:$O$900))))</f>
        <v/>
      </c>
      <c r="D28" s="44" t="str">
        <f>IF(A28="","",COUNTIF('Match Log'!B:B,A28)+COUNTIF('Match Log'!C:C,A28)+SUMIF('Tournament Log'!C:C,A28,'Tournament Log'!D:D)+COUNTIF('Guest Log'!B:B,A28))</f>
        <v/>
      </c>
      <c r="E28" s="44">
        <f>COUNTIFS('Match Log'!B:B,A28,'Match Log'!D:D,"Win")+COUNTIFS('Match Log'!C:C,A28,'Match Log'!D:D,"Loss")+SUMIF('Tournament Log'!C:C,A28,'Tournament Log'!E:E)+COUNTIFS('Guest Log'!B:B,A28,'Guest Log'!C:C,"Win")</f>
        <v>0</v>
      </c>
      <c r="F28" s="44">
        <f>COUNTIFS('Match Log'!B:B,A28,'Match Log'!D:D,"Draw")+COUNTIFS('Match Log'!C:C,A28,'Match Log'!D:D,"Draw")+SUMIF('Tournament Log'!C:C,A28,'Tournament Log'!F:F)+COUNTIFS('Guest Log'!B:B,A28,'Guest Log'!C:C,"Draw")</f>
        <v>0</v>
      </c>
      <c r="G28" s="45" t="str">
        <f t="shared" si="0"/>
        <v/>
      </c>
      <c r="H28" s="45">
        <f>SUMIFS('Match Log'!E:E,'Match Log'!B:B,A28)+SUMIFS('Match Log'!F:F,'Match Log'!C:C,A28)+SUMIF('Tournament Log'!C:C,A28,'Tournament Log'!H:H)+SUMIF('Guest Log'!B:B,A28,'Guest Log'!D:D)</f>
        <v>0</v>
      </c>
      <c r="I28" s="46" t="str">
        <f t="shared" si="1"/>
        <v/>
      </c>
      <c r="J28" s="45" t="str">
        <f t="shared" si="2"/>
        <v/>
      </c>
      <c r="K28" t="str">
        <f t="shared" si="3"/>
        <v/>
      </c>
      <c r="L28" t="str">
        <f>IF(A28="","",1+COUNTIF($B$2:$B$51,"&gt;"&amp;B28)+COUNTIFS($B$2:$B$51,B28,$M$2:$M$51,"&gt;"&amp;M28)+COUNTIFS($B$2:B28,B28,$M$2:M28,M28)-1)</f>
        <v/>
      </c>
      <c r="M28" s="45" t="str">
        <f t="shared" si="4"/>
        <v/>
      </c>
    </row>
    <row r="29" spans="1:13" ht="15" customHeight="1" x14ac:dyDescent="0.2">
      <c r="A29" s="9"/>
      <c r="B29" s="43" t="str">
        <f t="array" ref="B29">IF(A29="","",IFERROR(LOOKUP(2,1/(('ELO Engine'!$F$2:$F$900=A29)+('ELO Engine'!$G$2:$G$900=A29)),IF('ELO Engine'!$F$2:$F$900=A29,'ELO Engine'!$N$2:$N$900,'ELO Engine'!$O$2:$O$900)),1000))</f>
        <v/>
      </c>
      <c r="C29" s="43" t="str">
        <f t="array" ref="C29">IF(A29="","",MAX(1000,MAX(IF('ELO Engine'!$F$2:$F$900=A29,'ELO Engine'!$N$2:$N$900)),MAX(IF('ELO Engine'!$G$2:$G$900=A29,'ELO Engine'!$O$2:$O$900))))</f>
        <v/>
      </c>
      <c r="D29" s="44" t="str">
        <f>IF(A29="","",COUNTIF('Match Log'!B:B,A29)+COUNTIF('Match Log'!C:C,A29)+SUMIF('Tournament Log'!C:C,A29,'Tournament Log'!D:D)+COUNTIF('Guest Log'!B:B,A29))</f>
        <v/>
      </c>
      <c r="E29" s="44">
        <f>COUNTIFS('Match Log'!B:B,A29,'Match Log'!D:D,"Win")+COUNTIFS('Match Log'!C:C,A29,'Match Log'!D:D,"Loss")+SUMIF('Tournament Log'!C:C,A29,'Tournament Log'!E:E)+COUNTIFS('Guest Log'!B:B,A29,'Guest Log'!C:C,"Win")</f>
        <v>0</v>
      </c>
      <c r="F29" s="44">
        <f>COUNTIFS('Match Log'!B:B,A29,'Match Log'!D:D,"Draw")+COUNTIFS('Match Log'!C:C,A29,'Match Log'!D:D,"Draw")+SUMIF('Tournament Log'!C:C,A29,'Tournament Log'!F:F)+COUNTIFS('Guest Log'!B:B,A29,'Guest Log'!C:C,"Draw")</f>
        <v>0</v>
      </c>
      <c r="G29" s="45" t="str">
        <f t="shared" si="0"/>
        <v/>
      </c>
      <c r="H29" s="45">
        <f>SUMIFS('Match Log'!E:E,'Match Log'!B:B,A29)+SUMIFS('Match Log'!F:F,'Match Log'!C:C,A29)+SUMIF('Tournament Log'!C:C,A29,'Tournament Log'!H:H)+SUMIF('Guest Log'!B:B,A29,'Guest Log'!D:D)</f>
        <v>0</v>
      </c>
      <c r="I29" s="46" t="str">
        <f t="shared" si="1"/>
        <v/>
      </c>
      <c r="J29" s="45" t="str">
        <f t="shared" si="2"/>
        <v/>
      </c>
      <c r="K29" t="str">
        <f t="shared" si="3"/>
        <v/>
      </c>
      <c r="L29" t="str">
        <f>IF(A29="","",1+COUNTIF($B$2:$B$51,"&gt;"&amp;B29)+COUNTIFS($B$2:$B$51,B29,$M$2:$M$51,"&gt;"&amp;M29)+COUNTIFS($B$2:B29,B29,$M$2:M29,M29)-1)</f>
        <v/>
      </c>
      <c r="M29" s="45" t="str">
        <f t="shared" si="4"/>
        <v/>
      </c>
    </row>
    <row r="30" spans="1:13" ht="15" customHeight="1" x14ac:dyDescent="0.2">
      <c r="A30" s="9"/>
      <c r="B30" s="43" t="str">
        <f t="array" ref="B30">IF(A30="","",IFERROR(LOOKUP(2,1/(('ELO Engine'!$F$2:$F$900=A30)+('ELO Engine'!$G$2:$G$900=A30)),IF('ELO Engine'!$F$2:$F$900=A30,'ELO Engine'!$N$2:$N$900,'ELO Engine'!$O$2:$O$900)),1000))</f>
        <v/>
      </c>
      <c r="C30" s="43" t="str">
        <f t="array" ref="C30">IF(A30="","",MAX(1000,MAX(IF('ELO Engine'!$F$2:$F$900=A30,'ELO Engine'!$N$2:$N$900)),MAX(IF('ELO Engine'!$G$2:$G$900=A30,'ELO Engine'!$O$2:$O$900))))</f>
        <v/>
      </c>
      <c r="D30" s="44" t="str">
        <f>IF(A30="","",COUNTIF('Match Log'!B:B,A30)+COUNTIF('Match Log'!C:C,A30)+SUMIF('Tournament Log'!C:C,A30,'Tournament Log'!D:D)+COUNTIF('Guest Log'!B:B,A30))</f>
        <v/>
      </c>
      <c r="E30" s="44">
        <f>COUNTIFS('Match Log'!B:B,A30,'Match Log'!D:D,"Win")+COUNTIFS('Match Log'!C:C,A30,'Match Log'!D:D,"Loss")+SUMIF('Tournament Log'!C:C,A30,'Tournament Log'!E:E)+COUNTIFS('Guest Log'!B:B,A30,'Guest Log'!C:C,"Win")</f>
        <v>0</v>
      </c>
      <c r="F30" s="44">
        <f>COUNTIFS('Match Log'!B:B,A30,'Match Log'!D:D,"Draw")+COUNTIFS('Match Log'!C:C,A30,'Match Log'!D:D,"Draw")+SUMIF('Tournament Log'!C:C,A30,'Tournament Log'!F:F)+COUNTIFS('Guest Log'!B:B,A30,'Guest Log'!C:C,"Draw")</f>
        <v>0</v>
      </c>
      <c r="G30" s="45" t="str">
        <f t="shared" si="0"/>
        <v/>
      </c>
      <c r="H30" s="45">
        <f>SUMIFS('Match Log'!E:E,'Match Log'!B:B,A30)+SUMIFS('Match Log'!F:F,'Match Log'!C:C,A30)+SUMIF('Tournament Log'!C:C,A30,'Tournament Log'!H:H)+SUMIF('Guest Log'!B:B,A30,'Guest Log'!D:D)</f>
        <v>0</v>
      </c>
      <c r="I30" s="46" t="str">
        <f t="shared" si="1"/>
        <v/>
      </c>
      <c r="J30" s="45" t="str">
        <f t="shared" si="2"/>
        <v/>
      </c>
      <c r="K30" t="str">
        <f t="shared" si="3"/>
        <v/>
      </c>
      <c r="L30" t="str">
        <f>IF(A30="","",1+COUNTIF($B$2:$B$51,"&gt;"&amp;B30)+COUNTIFS($B$2:$B$51,B30,$M$2:$M$51,"&gt;"&amp;M30)+COUNTIFS($B$2:B30,B30,$M$2:M30,M30)-1)</f>
        <v/>
      </c>
      <c r="M30" s="45" t="str">
        <f t="shared" si="4"/>
        <v/>
      </c>
    </row>
    <row r="31" spans="1:13" ht="15" customHeight="1" x14ac:dyDescent="0.2">
      <c r="A31" s="9"/>
      <c r="B31" s="43" t="str">
        <f t="array" ref="B31">IF(A31="","",IFERROR(LOOKUP(2,1/(('ELO Engine'!$F$2:$F$900=A31)+('ELO Engine'!$G$2:$G$900=A31)),IF('ELO Engine'!$F$2:$F$900=A31,'ELO Engine'!$N$2:$N$900,'ELO Engine'!$O$2:$O$900)),1000))</f>
        <v/>
      </c>
      <c r="C31" s="43" t="str">
        <f t="array" ref="C31">IF(A31="","",MAX(1000,MAX(IF('ELO Engine'!$F$2:$F$900=A31,'ELO Engine'!$N$2:$N$900)),MAX(IF('ELO Engine'!$G$2:$G$900=A31,'ELO Engine'!$O$2:$O$900))))</f>
        <v/>
      </c>
      <c r="D31" s="44" t="str">
        <f>IF(A31="","",COUNTIF('Match Log'!B:B,A31)+COUNTIF('Match Log'!C:C,A31)+SUMIF('Tournament Log'!C:C,A31,'Tournament Log'!D:D)+COUNTIF('Guest Log'!B:B,A31))</f>
        <v/>
      </c>
      <c r="E31" s="44">
        <f>COUNTIFS('Match Log'!B:B,A31,'Match Log'!D:D,"Win")+COUNTIFS('Match Log'!C:C,A31,'Match Log'!D:D,"Loss")+SUMIF('Tournament Log'!C:C,A31,'Tournament Log'!E:E)+COUNTIFS('Guest Log'!B:B,A31,'Guest Log'!C:C,"Win")</f>
        <v>0</v>
      </c>
      <c r="F31" s="44">
        <f>COUNTIFS('Match Log'!B:B,A31,'Match Log'!D:D,"Draw")+COUNTIFS('Match Log'!C:C,A31,'Match Log'!D:D,"Draw")+SUMIF('Tournament Log'!C:C,A31,'Tournament Log'!F:F)+COUNTIFS('Guest Log'!B:B,A31,'Guest Log'!C:C,"Draw")</f>
        <v>0</v>
      </c>
      <c r="G31" s="45" t="str">
        <f t="shared" si="0"/>
        <v/>
      </c>
      <c r="H31" s="45">
        <f>SUMIFS('Match Log'!E:E,'Match Log'!B:B,A31)+SUMIFS('Match Log'!F:F,'Match Log'!C:C,A31)+SUMIF('Tournament Log'!C:C,A31,'Tournament Log'!H:H)+SUMIF('Guest Log'!B:B,A31,'Guest Log'!D:D)</f>
        <v>0</v>
      </c>
      <c r="I31" s="46" t="str">
        <f t="shared" si="1"/>
        <v/>
      </c>
      <c r="J31" s="45" t="str">
        <f t="shared" si="2"/>
        <v/>
      </c>
      <c r="K31" t="str">
        <f t="shared" si="3"/>
        <v/>
      </c>
      <c r="L31" t="str">
        <f>IF(A31="","",1+COUNTIF($B$2:$B$51,"&gt;"&amp;B31)+COUNTIFS($B$2:$B$51,B31,$M$2:$M$51,"&gt;"&amp;M31)+COUNTIFS($B$2:B31,B31,$M$2:M31,M31)-1)</f>
        <v/>
      </c>
      <c r="M31" s="45" t="str">
        <f t="shared" si="4"/>
        <v/>
      </c>
    </row>
    <row r="32" spans="1:13" ht="15" customHeight="1" x14ac:dyDescent="0.2">
      <c r="A32" s="9"/>
      <c r="B32" s="43" t="str">
        <f t="array" ref="B32">IF(A32="","",IFERROR(LOOKUP(2,1/(('ELO Engine'!$F$2:$F$900=A32)+('ELO Engine'!$G$2:$G$900=A32)),IF('ELO Engine'!$F$2:$F$900=A32,'ELO Engine'!$N$2:$N$900,'ELO Engine'!$O$2:$O$900)),1000))</f>
        <v/>
      </c>
      <c r="C32" s="43" t="str">
        <f t="array" ref="C32">IF(A32="","",MAX(1000,MAX(IF('ELO Engine'!$F$2:$F$900=A32,'ELO Engine'!$N$2:$N$900)),MAX(IF('ELO Engine'!$G$2:$G$900=A32,'ELO Engine'!$O$2:$O$900))))</f>
        <v/>
      </c>
      <c r="D32" s="44" t="str">
        <f>IF(A32="","",COUNTIF('Match Log'!B:B,A32)+COUNTIF('Match Log'!C:C,A32)+SUMIF('Tournament Log'!C:C,A32,'Tournament Log'!D:D)+COUNTIF('Guest Log'!B:B,A32))</f>
        <v/>
      </c>
      <c r="E32" s="44">
        <f>COUNTIFS('Match Log'!B:B,A32,'Match Log'!D:D,"Win")+COUNTIFS('Match Log'!C:C,A32,'Match Log'!D:D,"Loss")+SUMIF('Tournament Log'!C:C,A32,'Tournament Log'!E:E)+COUNTIFS('Guest Log'!B:B,A32,'Guest Log'!C:C,"Win")</f>
        <v>0</v>
      </c>
      <c r="F32" s="44">
        <f>COUNTIFS('Match Log'!B:B,A32,'Match Log'!D:D,"Draw")+COUNTIFS('Match Log'!C:C,A32,'Match Log'!D:D,"Draw")+SUMIF('Tournament Log'!C:C,A32,'Tournament Log'!F:F)+COUNTIFS('Guest Log'!B:B,A32,'Guest Log'!C:C,"Draw")</f>
        <v>0</v>
      </c>
      <c r="G32" s="45" t="str">
        <f t="shared" si="0"/>
        <v/>
      </c>
      <c r="H32" s="45">
        <f>SUMIFS('Match Log'!E:E,'Match Log'!B:B,A32)+SUMIFS('Match Log'!F:F,'Match Log'!C:C,A32)+SUMIF('Tournament Log'!C:C,A32,'Tournament Log'!H:H)+SUMIF('Guest Log'!B:B,A32,'Guest Log'!D:D)</f>
        <v>0</v>
      </c>
      <c r="I32" s="46" t="str">
        <f t="shared" si="1"/>
        <v/>
      </c>
      <c r="J32" s="45" t="str">
        <f t="shared" si="2"/>
        <v/>
      </c>
      <c r="K32" t="str">
        <f t="shared" si="3"/>
        <v/>
      </c>
      <c r="L32" t="str">
        <f>IF(A32="","",1+COUNTIF($B$2:$B$51,"&gt;"&amp;B32)+COUNTIFS($B$2:$B$51,B32,$M$2:$M$51,"&gt;"&amp;M32)+COUNTIFS($B$2:B32,B32,$M$2:M32,M32)-1)</f>
        <v/>
      </c>
      <c r="M32" s="45" t="str">
        <f t="shared" si="4"/>
        <v/>
      </c>
    </row>
    <row r="33" spans="1:13" ht="15" customHeight="1" x14ac:dyDescent="0.2">
      <c r="A33" s="9"/>
      <c r="B33" s="43" t="str">
        <f t="array" ref="B33">IF(A33="","",IFERROR(LOOKUP(2,1/(('ELO Engine'!$F$2:$F$900=A33)+('ELO Engine'!$G$2:$G$900=A33)),IF('ELO Engine'!$F$2:$F$900=A33,'ELO Engine'!$N$2:$N$900,'ELO Engine'!$O$2:$O$900)),1000))</f>
        <v/>
      </c>
      <c r="C33" s="43" t="str">
        <f t="array" ref="C33">IF(A33="","",MAX(1000,MAX(IF('ELO Engine'!$F$2:$F$900=A33,'ELO Engine'!$N$2:$N$900)),MAX(IF('ELO Engine'!$G$2:$G$900=A33,'ELO Engine'!$O$2:$O$900))))</f>
        <v/>
      </c>
      <c r="D33" s="44" t="str">
        <f>IF(A33="","",COUNTIF('Match Log'!B:B,A33)+COUNTIF('Match Log'!C:C,A33)+SUMIF('Tournament Log'!C:C,A33,'Tournament Log'!D:D)+COUNTIF('Guest Log'!B:B,A33))</f>
        <v/>
      </c>
      <c r="E33" s="44">
        <f>COUNTIFS('Match Log'!B:B,A33,'Match Log'!D:D,"Win")+COUNTIFS('Match Log'!C:C,A33,'Match Log'!D:D,"Loss")+SUMIF('Tournament Log'!C:C,A33,'Tournament Log'!E:E)+COUNTIFS('Guest Log'!B:B,A33,'Guest Log'!C:C,"Win")</f>
        <v>0</v>
      </c>
      <c r="F33" s="44">
        <f>COUNTIFS('Match Log'!B:B,A33,'Match Log'!D:D,"Draw")+COUNTIFS('Match Log'!C:C,A33,'Match Log'!D:D,"Draw")+SUMIF('Tournament Log'!C:C,A33,'Tournament Log'!F:F)+COUNTIFS('Guest Log'!B:B,A33,'Guest Log'!C:C,"Draw")</f>
        <v>0</v>
      </c>
      <c r="G33" s="45" t="str">
        <f t="shared" si="0"/>
        <v/>
      </c>
      <c r="H33" s="45">
        <f>SUMIFS('Match Log'!E:E,'Match Log'!B:B,A33)+SUMIFS('Match Log'!F:F,'Match Log'!C:C,A33)+SUMIF('Tournament Log'!C:C,A33,'Tournament Log'!H:H)+SUMIF('Guest Log'!B:B,A33,'Guest Log'!D:D)</f>
        <v>0</v>
      </c>
      <c r="I33" s="46" t="str">
        <f t="shared" si="1"/>
        <v/>
      </c>
      <c r="J33" s="45" t="str">
        <f t="shared" si="2"/>
        <v/>
      </c>
      <c r="K33" t="str">
        <f t="shared" si="3"/>
        <v/>
      </c>
      <c r="L33" t="str">
        <f>IF(A33="","",1+COUNTIF($B$2:$B$51,"&gt;"&amp;B33)+COUNTIFS($B$2:$B$51,B33,$M$2:$M$51,"&gt;"&amp;M33)+COUNTIFS($B$2:B33,B33,$M$2:M33,M33)-1)</f>
        <v/>
      </c>
      <c r="M33" s="45" t="str">
        <f t="shared" si="4"/>
        <v/>
      </c>
    </row>
    <row r="34" spans="1:13" ht="15" customHeight="1" x14ac:dyDescent="0.2">
      <c r="A34" s="9"/>
      <c r="B34" s="43" t="str">
        <f t="array" ref="B34">IF(A34="","",IFERROR(LOOKUP(2,1/(('ELO Engine'!$F$2:$F$900=A34)+('ELO Engine'!$G$2:$G$900=A34)),IF('ELO Engine'!$F$2:$F$900=A34,'ELO Engine'!$N$2:$N$900,'ELO Engine'!$O$2:$O$900)),1000))</f>
        <v/>
      </c>
      <c r="C34" s="43" t="str">
        <f t="array" ref="C34">IF(A34="","",MAX(1000,MAX(IF('ELO Engine'!$F$2:$F$900=A34,'ELO Engine'!$N$2:$N$900)),MAX(IF('ELO Engine'!$G$2:$G$900=A34,'ELO Engine'!$O$2:$O$900))))</f>
        <v/>
      </c>
      <c r="D34" s="44" t="str">
        <f>IF(A34="","",COUNTIF('Match Log'!B:B,A34)+COUNTIF('Match Log'!C:C,A34)+SUMIF('Tournament Log'!C:C,A34,'Tournament Log'!D:D)+COUNTIF('Guest Log'!B:B,A34))</f>
        <v/>
      </c>
      <c r="E34" s="44">
        <f>COUNTIFS('Match Log'!B:B,A34,'Match Log'!D:D,"Win")+COUNTIFS('Match Log'!C:C,A34,'Match Log'!D:D,"Loss")+SUMIF('Tournament Log'!C:C,A34,'Tournament Log'!E:E)+COUNTIFS('Guest Log'!B:B,A34,'Guest Log'!C:C,"Win")</f>
        <v>0</v>
      </c>
      <c r="F34" s="44">
        <f>COUNTIFS('Match Log'!B:B,A34,'Match Log'!D:D,"Draw")+COUNTIFS('Match Log'!C:C,A34,'Match Log'!D:D,"Draw")+SUMIF('Tournament Log'!C:C,A34,'Tournament Log'!F:F)+COUNTIFS('Guest Log'!B:B,A34,'Guest Log'!C:C,"Draw")</f>
        <v>0</v>
      </c>
      <c r="G34" s="45" t="str">
        <f t="shared" ref="G34:G65" si="5">IF(A34="","",D34-E34-F34)</f>
        <v/>
      </c>
      <c r="H34" s="45">
        <f>SUMIFS('Match Log'!E:E,'Match Log'!B:B,A34)+SUMIFS('Match Log'!F:F,'Match Log'!C:C,A34)+SUMIF('Tournament Log'!C:C,A34,'Tournament Log'!H:H)+SUMIF('Guest Log'!B:B,A34,'Guest Log'!D:D)</f>
        <v>0</v>
      </c>
      <c r="I34" s="46" t="str">
        <f t="shared" ref="I34:I51" si="6">IF(A34="","",IF(D34=0,0,E34/D34))</f>
        <v/>
      </c>
      <c r="J34" s="45" t="str">
        <f t="shared" ref="J34:J51" si="7">IF(A34="","",RANK(B34,$B$2:$B$51,0))</f>
        <v/>
      </c>
      <c r="K34" t="str">
        <f t="shared" ref="K34:K51" si="8">IF(A34="","",B34*1000000+I34*10000+H34)</f>
        <v/>
      </c>
      <c r="L34" t="str">
        <f>IF(A34="","",1+COUNTIF($B$2:$B$51,"&gt;"&amp;B34)+COUNTIFS($B$2:$B$51,B34,$M$2:$M$51,"&gt;"&amp;M34)+COUNTIFS($B$2:B34,B34,$M$2:M34,M34)-1)</f>
        <v/>
      </c>
      <c r="M34" s="45" t="str">
        <f t="shared" ref="M34:M51" si="9">IF(A34="","",IF(D34=0,0,H34/D34))</f>
        <v/>
      </c>
    </row>
    <row r="35" spans="1:13" ht="15" customHeight="1" x14ac:dyDescent="0.2">
      <c r="A35" s="9"/>
      <c r="B35" s="43" t="str">
        <f t="array" ref="B35">IF(A35="","",IFERROR(LOOKUP(2,1/(('ELO Engine'!$F$2:$F$900=A35)+('ELO Engine'!$G$2:$G$900=A35)),IF('ELO Engine'!$F$2:$F$900=A35,'ELO Engine'!$N$2:$N$900,'ELO Engine'!$O$2:$O$900)),1000))</f>
        <v/>
      </c>
      <c r="C35" s="43" t="str">
        <f t="array" ref="C35">IF(A35="","",MAX(1000,MAX(IF('ELO Engine'!$F$2:$F$900=A35,'ELO Engine'!$N$2:$N$900)),MAX(IF('ELO Engine'!$G$2:$G$900=A35,'ELO Engine'!$O$2:$O$900))))</f>
        <v/>
      </c>
      <c r="D35" s="44" t="str">
        <f>IF(A35="","",COUNTIF('Match Log'!B:B,A35)+COUNTIF('Match Log'!C:C,A35)+SUMIF('Tournament Log'!C:C,A35,'Tournament Log'!D:D)+COUNTIF('Guest Log'!B:B,A35))</f>
        <v/>
      </c>
      <c r="E35" s="44">
        <f>COUNTIFS('Match Log'!B:B,A35,'Match Log'!D:D,"Win")+COUNTIFS('Match Log'!C:C,A35,'Match Log'!D:D,"Loss")+SUMIF('Tournament Log'!C:C,A35,'Tournament Log'!E:E)+COUNTIFS('Guest Log'!B:B,A35,'Guest Log'!C:C,"Win")</f>
        <v>0</v>
      </c>
      <c r="F35" s="44">
        <f>COUNTIFS('Match Log'!B:B,A35,'Match Log'!D:D,"Draw")+COUNTIFS('Match Log'!C:C,A35,'Match Log'!D:D,"Draw")+SUMIF('Tournament Log'!C:C,A35,'Tournament Log'!F:F)+COUNTIFS('Guest Log'!B:B,A35,'Guest Log'!C:C,"Draw")</f>
        <v>0</v>
      </c>
      <c r="G35" s="45" t="str">
        <f t="shared" si="5"/>
        <v/>
      </c>
      <c r="H35" s="45">
        <f>SUMIFS('Match Log'!E:E,'Match Log'!B:B,A35)+SUMIFS('Match Log'!F:F,'Match Log'!C:C,A35)+SUMIF('Tournament Log'!C:C,A35,'Tournament Log'!H:H)+SUMIF('Guest Log'!B:B,A35,'Guest Log'!D:D)</f>
        <v>0</v>
      </c>
      <c r="I35" s="46" t="str">
        <f t="shared" si="6"/>
        <v/>
      </c>
      <c r="J35" s="45" t="str">
        <f t="shared" si="7"/>
        <v/>
      </c>
      <c r="K35" t="str">
        <f t="shared" si="8"/>
        <v/>
      </c>
      <c r="L35" t="str">
        <f>IF(A35="","",1+COUNTIF($B$2:$B$51,"&gt;"&amp;B35)+COUNTIFS($B$2:$B$51,B35,$M$2:$M$51,"&gt;"&amp;M35)+COUNTIFS($B$2:B35,B35,$M$2:M35,M35)-1)</f>
        <v/>
      </c>
      <c r="M35" s="45" t="str">
        <f t="shared" si="9"/>
        <v/>
      </c>
    </row>
    <row r="36" spans="1:13" ht="15" customHeight="1" x14ac:dyDescent="0.2">
      <c r="A36" s="9"/>
      <c r="B36" s="43" t="str">
        <f t="array" ref="B36">IF(A36="","",IFERROR(LOOKUP(2,1/(('ELO Engine'!$F$2:$F$900=A36)+('ELO Engine'!$G$2:$G$900=A36)),IF('ELO Engine'!$F$2:$F$900=A36,'ELO Engine'!$N$2:$N$900,'ELO Engine'!$O$2:$O$900)),1000))</f>
        <v/>
      </c>
      <c r="C36" s="43" t="str">
        <f t="array" ref="C36">IF(A36="","",MAX(1000,MAX(IF('ELO Engine'!$F$2:$F$900=A36,'ELO Engine'!$N$2:$N$900)),MAX(IF('ELO Engine'!$G$2:$G$900=A36,'ELO Engine'!$O$2:$O$900))))</f>
        <v/>
      </c>
      <c r="D36" s="44" t="str">
        <f>IF(A36="","",COUNTIF('Match Log'!B:B,A36)+COUNTIF('Match Log'!C:C,A36)+SUMIF('Tournament Log'!C:C,A36,'Tournament Log'!D:D)+COUNTIF('Guest Log'!B:B,A36))</f>
        <v/>
      </c>
      <c r="E36" s="44">
        <f>COUNTIFS('Match Log'!B:B,A36,'Match Log'!D:D,"Win")+COUNTIFS('Match Log'!C:C,A36,'Match Log'!D:D,"Loss")+SUMIF('Tournament Log'!C:C,A36,'Tournament Log'!E:E)+COUNTIFS('Guest Log'!B:B,A36,'Guest Log'!C:C,"Win")</f>
        <v>0</v>
      </c>
      <c r="F36" s="44">
        <f>COUNTIFS('Match Log'!B:B,A36,'Match Log'!D:D,"Draw")+COUNTIFS('Match Log'!C:C,A36,'Match Log'!D:D,"Draw")+SUMIF('Tournament Log'!C:C,A36,'Tournament Log'!F:F)+COUNTIFS('Guest Log'!B:B,A36,'Guest Log'!C:C,"Draw")</f>
        <v>0</v>
      </c>
      <c r="G36" s="45" t="str">
        <f t="shared" si="5"/>
        <v/>
      </c>
      <c r="H36" s="45">
        <f>SUMIFS('Match Log'!E:E,'Match Log'!B:B,A36)+SUMIFS('Match Log'!F:F,'Match Log'!C:C,A36)+SUMIF('Tournament Log'!C:C,A36,'Tournament Log'!H:H)+SUMIF('Guest Log'!B:B,A36,'Guest Log'!D:D)</f>
        <v>0</v>
      </c>
      <c r="I36" s="46" t="str">
        <f t="shared" si="6"/>
        <v/>
      </c>
      <c r="J36" s="45" t="str">
        <f t="shared" si="7"/>
        <v/>
      </c>
      <c r="K36" t="str">
        <f t="shared" si="8"/>
        <v/>
      </c>
      <c r="L36" t="str">
        <f>IF(A36="","",1+COUNTIF($B$2:$B$51,"&gt;"&amp;B36)+COUNTIFS($B$2:$B$51,B36,$M$2:$M$51,"&gt;"&amp;M36)+COUNTIFS($B$2:B36,B36,$M$2:M36,M36)-1)</f>
        <v/>
      </c>
      <c r="M36" s="45" t="str">
        <f t="shared" si="9"/>
        <v/>
      </c>
    </row>
    <row r="37" spans="1:13" ht="15" customHeight="1" x14ac:dyDescent="0.2">
      <c r="A37" s="9"/>
      <c r="B37" s="43" t="str">
        <f t="array" ref="B37">IF(A37="","",IFERROR(LOOKUP(2,1/(('ELO Engine'!$F$2:$F$900=A37)+('ELO Engine'!$G$2:$G$900=A37)),IF('ELO Engine'!$F$2:$F$900=A37,'ELO Engine'!$N$2:$N$900,'ELO Engine'!$O$2:$O$900)),1000))</f>
        <v/>
      </c>
      <c r="C37" s="43" t="str">
        <f t="array" ref="C37">IF(A37="","",MAX(1000,MAX(IF('ELO Engine'!$F$2:$F$900=A37,'ELO Engine'!$N$2:$N$900)),MAX(IF('ELO Engine'!$G$2:$G$900=A37,'ELO Engine'!$O$2:$O$900))))</f>
        <v/>
      </c>
      <c r="D37" s="44" t="str">
        <f>IF(A37="","",COUNTIF('Match Log'!B:B,A37)+COUNTIF('Match Log'!C:C,A37)+SUMIF('Tournament Log'!C:C,A37,'Tournament Log'!D:D)+COUNTIF('Guest Log'!B:B,A37))</f>
        <v/>
      </c>
      <c r="E37" s="44">
        <f>COUNTIFS('Match Log'!B:B,A37,'Match Log'!D:D,"Win")+COUNTIFS('Match Log'!C:C,A37,'Match Log'!D:D,"Loss")+SUMIF('Tournament Log'!C:C,A37,'Tournament Log'!E:E)+COUNTIFS('Guest Log'!B:B,A37,'Guest Log'!C:C,"Win")</f>
        <v>0</v>
      </c>
      <c r="F37" s="44">
        <f>COUNTIFS('Match Log'!B:B,A37,'Match Log'!D:D,"Draw")+COUNTIFS('Match Log'!C:C,A37,'Match Log'!D:D,"Draw")+SUMIF('Tournament Log'!C:C,A37,'Tournament Log'!F:F)+COUNTIFS('Guest Log'!B:B,A37,'Guest Log'!C:C,"Draw")</f>
        <v>0</v>
      </c>
      <c r="G37" s="45" t="str">
        <f t="shared" si="5"/>
        <v/>
      </c>
      <c r="H37" s="45">
        <f>SUMIFS('Match Log'!E:E,'Match Log'!B:B,A37)+SUMIFS('Match Log'!F:F,'Match Log'!C:C,A37)+SUMIF('Tournament Log'!C:C,A37,'Tournament Log'!H:H)+SUMIF('Guest Log'!B:B,A37,'Guest Log'!D:D)</f>
        <v>0</v>
      </c>
      <c r="I37" s="46" t="str">
        <f t="shared" si="6"/>
        <v/>
      </c>
      <c r="J37" s="45" t="str">
        <f t="shared" si="7"/>
        <v/>
      </c>
      <c r="K37" t="str">
        <f t="shared" si="8"/>
        <v/>
      </c>
      <c r="L37" t="str">
        <f>IF(A37="","",1+COUNTIF($B$2:$B$51,"&gt;"&amp;B37)+COUNTIFS($B$2:$B$51,B37,$M$2:$M$51,"&gt;"&amp;M37)+COUNTIFS($B$2:B37,B37,$M$2:M37,M37)-1)</f>
        <v/>
      </c>
      <c r="M37" s="45" t="str">
        <f t="shared" si="9"/>
        <v/>
      </c>
    </row>
    <row r="38" spans="1:13" ht="15" customHeight="1" x14ac:dyDescent="0.2">
      <c r="A38" s="9"/>
      <c r="B38" s="43" t="str">
        <f t="array" ref="B38">IF(A38="","",IFERROR(LOOKUP(2,1/(('ELO Engine'!$F$2:$F$900=A38)+('ELO Engine'!$G$2:$G$900=A38)),IF('ELO Engine'!$F$2:$F$900=A38,'ELO Engine'!$N$2:$N$900,'ELO Engine'!$O$2:$O$900)),1000))</f>
        <v/>
      </c>
      <c r="C38" s="43" t="str">
        <f t="array" ref="C38">IF(A38="","",MAX(1000,MAX(IF('ELO Engine'!$F$2:$F$900=A38,'ELO Engine'!$N$2:$N$900)),MAX(IF('ELO Engine'!$G$2:$G$900=A38,'ELO Engine'!$O$2:$O$900))))</f>
        <v/>
      </c>
      <c r="D38" s="44" t="str">
        <f>IF(A38="","",COUNTIF('Match Log'!B:B,A38)+COUNTIF('Match Log'!C:C,A38)+SUMIF('Tournament Log'!C:C,A38,'Tournament Log'!D:D)+COUNTIF('Guest Log'!B:B,A38))</f>
        <v/>
      </c>
      <c r="E38" s="44">
        <f>COUNTIFS('Match Log'!B:B,A38,'Match Log'!D:D,"Win")+COUNTIFS('Match Log'!C:C,A38,'Match Log'!D:D,"Loss")+SUMIF('Tournament Log'!C:C,A38,'Tournament Log'!E:E)+COUNTIFS('Guest Log'!B:B,A38,'Guest Log'!C:C,"Win")</f>
        <v>0</v>
      </c>
      <c r="F38" s="44">
        <f>COUNTIFS('Match Log'!B:B,A38,'Match Log'!D:D,"Draw")+COUNTIFS('Match Log'!C:C,A38,'Match Log'!D:D,"Draw")+SUMIF('Tournament Log'!C:C,A38,'Tournament Log'!F:F)+COUNTIFS('Guest Log'!B:B,A38,'Guest Log'!C:C,"Draw")</f>
        <v>0</v>
      </c>
      <c r="G38" s="45" t="str">
        <f t="shared" si="5"/>
        <v/>
      </c>
      <c r="H38" s="45">
        <f>SUMIFS('Match Log'!E:E,'Match Log'!B:B,A38)+SUMIFS('Match Log'!F:F,'Match Log'!C:C,A38)+SUMIF('Tournament Log'!C:C,A38,'Tournament Log'!H:H)+SUMIF('Guest Log'!B:B,A38,'Guest Log'!D:D)</f>
        <v>0</v>
      </c>
      <c r="I38" s="46" t="str">
        <f t="shared" si="6"/>
        <v/>
      </c>
      <c r="J38" s="45" t="str">
        <f t="shared" si="7"/>
        <v/>
      </c>
      <c r="K38" t="str">
        <f t="shared" si="8"/>
        <v/>
      </c>
      <c r="L38" t="str">
        <f>IF(A38="","",1+COUNTIF($B$2:$B$51,"&gt;"&amp;B38)+COUNTIFS($B$2:$B$51,B38,$M$2:$M$51,"&gt;"&amp;M38)+COUNTIFS($B$2:B38,B38,$M$2:M38,M38)-1)</f>
        <v/>
      </c>
      <c r="M38" s="45" t="str">
        <f t="shared" si="9"/>
        <v/>
      </c>
    </row>
    <row r="39" spans="1:13" ht="15" customHeight="1" x14ac:dyDescent="0.2">
      <c r="A39" s="9"/>
      <c r="B39" s="43" t="str">
        <f t="array" ref="B39">IF(A39="","",IFERROR(LOOKUP(2,1/(('ELO Engine'!$F$2:$F$900=A39)+('ELO Engine'!$G$2:$G$900=A39)),IF('ELO Engine'!$F$2:$F$900=A39,'ELO Engine'!$N$2:$N$900,'ELO Engine'!$O$2:$O$900)),1000))</f>
        <v/>
      </c>
      <c r="C39" s="43" t="str">
        <f t="array" ref="C39">IF(A39="","",MAX(1000,MAX(IF('ELO Engine'!$F$2:$F$900=A39,'ELO Engine'!$N$2:$N$900)),MAX(IF('ELO Engine'!$G$2:$G$900=A39,'ELO Engine'!$O$2:$O$900))))</f>
        <v/>
      </c>
      <c r="D39" s="44" t="str">
        <f>IF(A39="","",COUNTIF('Match Log'!B:B,A39)+COUNTIF('Match Log'!C:C,A39)+SUMIF('Tournament Log'!C:C,A39,'Tournament Log'!D:D)+COUNTIF('Guest Log'!B:B,A39))</f>
        <v/>
      </c>
      <c r="E39" s="44">
        <f>COUNTIFS('Match Log'!B:B,A39,'Match Log'!D:D,"Win")+COUNTIFS('Match Log'!C:C,A39,'Match Log'!D:D,"Loss")+SUMIF('Tournament Log'!C:C,A39,'Tournament Log'!E:E)+COUNTIFS('Guest Log'!B:B,A39,'Guest Log'!C:C,"Win")</f>
        <v>0</v>
      </c>
      <c r="F39" s="44">
        <f>COUNTIFS('Match Log'!B:B,A39,'Match Log'!D:D,"Draw")+COUNTIFS('Match Log'!C:C,A39,'Match Log'!D:D,"Draw")+SUMIF('Tournament Log'!C:C,A39,'Tournament Log'!F:F)+COUNTIFS('Guest Log'!B:B,A39,'Guest Log'!C:C,"Draw")</f>
        <v>0</v>
      </c>
      <c r="G39" s="45" t="str">
        <f t="shared" si="5"/>
        <v/>
      </c>
      <c r="H39" s="45">
        <f>SUMIFS('Match Log'!E:E,'Match Log'!B:B,A39)+SUMIFS('Match Log'!F:F,'Match Log'!C:C,A39)+SUMIF('Tournament Log'!C:C,A39,'Tournament Log'!H:H)+SUMIF('Guest Log'!B:B,A39,'Guest Log'!D:D)</f>
        <v>0</v>
      </c>
      <c r="I39" s="46" t="str">
        <f t="shared" si="6"/>
        <v/>
      </c>
      <c r="J39" s="45" t="str">
        <f t="shared" si="7"/>
        <v/>
      </c>
      <c r="K39" t="str">
        <f t="shared" si="8"/>
        <v/>
      </c>
      <c r="L39" t="str">
        <f>IF(A39="","",1+COUNTIF($B$2:$B$51,"&gt;"&amp;B39)+COUNTIFS($B$2:$B$51,B39,$M$2:$M$51,"&gt;"&amp;M39)+COUNTIFS($B$2:B39,B39,$M$2:M39,M39)-1)</f>
        <v/>
      </c>
      <c r="M39" s="45" t="str">
        <f t="shared" si="9"/>
        <v/>
      </c>
    </row>
    <row r="40" spans="1:13" ht="15" customHeight="1" x14ac:dyDescent="0.2">
      <c r="A40" s="9"/>
      <c r="B40" s="43" t="str">
        <f t="array" ref="B40">IF(A40="","",IFERROR(LOOKUP(2,1/(('ELO Engine'!$F$2:$F$900=A40)+('ELO Engine'!$G$2:$G$900=A40)),IF('ELO Engine'!$F$2:$F$900=A40,'ELO Engine'!$N$2:$N$900,'ELO Engine'!$O$2:$O$900)),1000))</f>
        <v/>
      </c>
      <c r="C40" s="43" t="str">
        <f t="array" ref="C40">IF(A40="","",MAX(1000,MAX(IF('ELO Engine'!$F$2:$F$900=A40,'ELO Engine'!$N$2:$N$900)),MAX(IF('ELO Engine'!$G$2:$G$900=A40,'ELO Engine'!$O$2:$O$900))))</f>
        <v/>
      </c>
      <c r="D40" s="44" t="str">
        <f>IF(A40="","",COUNTIF('Match Log'!B:B,A40)+COUNTIF('Match Log'!C:C,A40)+SUMIF('Tournament Log'!C:C,A40,'Tournament Log'!D:D)+COUNTIF('Guest Log'!B:B,A40))</f>
        <v/>
      </c>
      <c r="E40" s="44">
        <f>COUNTIFS('Match Log'!B:B,A40,'Match Log'!D:D,"Win")+COUNTIFS('Match Log'!C:C,A40,'Match Log'!D:D,"Loss")+SUMIF('Tournament Log'!C:C,A40,'Tournament Log'!E:E)+COUNTIFS('Guest Log'!B:B,A40,'Guest Log'!C:C,"Win")</f>
        <v>0</v>
      </c>
      <c r="F40" s="44">
        <f>COUNTIFS('Match Log'!B:B,A40,'Match Log'!D:D,"Draw")+COUNTIFS('Match Log'!C:C,A40,'Match Log'!D:D,"Draw")+SUMIF('Tournament Log'!C:C,A40,'Tournament Log'!F:F)+COUNTIFS('Guest Log'!B:B,A40,'Guest Log'!C:C,"Draw")</f>
        <v>0</v>
      </c>
      <c r="G40" s="45" t="str">
        <f t="shared" si="5"/>
        <v/>
      </c>
      <c r="H40" s="45">
        <f>SUMIFS('Match Log'!E:E,'Match Log'!B:B,A40)+SUMIFS('Match Log'!F:F,'Match Log'!C:C,A40)+SUMIF('Tournament Log'!C:C,A40,'Tournament Log'!H:H)+SUMIF('Guest Log'!B:B,A40,'Guest Log'!D:D)</f>
        <v>0</v>
      </c>
      <c r="I40" s="46" t="str">
        <f t="shared" si="6"/>
        <v/>
      </c>
      <c r="J40" s="45" t="str">
        <f t="shared" si="7"/>
        <v/>
      </c>
      <c r="K40" t="str">
        <f t="shared" si="8"/>
        <v/>
      </c>
      <c r="L40" t="str">
        <f>IF(A40="","",1+COUNTIF($B$2:$B$51,"&gt;"&amp;B40)+COUNTIFS($B$2:$B$51,B40,$M$2:$M$51,"&gt;"&amp;M40)+COUNTIFS($B$2:B40,B40,$M$2:M40,M40)-1)</f>
        <v/>
      </c>
      <c r="M40" s="45" t="str">
        <f t="shared" si="9"/>
        <v/>
      </c>
    </row>
    <row r="41" spans="1:13" ht="15" customHeight="1" x14ac:dyDescent="0.2">
      <c r="A41" s="9"/>
      <c r="B41" s="43" t="str">
        <f t="array" ref="B41">IF(A41="","",IFERROR(LOOKUP(2,1/(('ELO Engine'!$F$2:$F$900=A41)+('ELO Engine'!$G$2:$G$900=A41)),IF('ELO Engine'!$F$2:$F$900=A41,'ELO Engine'!$N$2:$N$900,'ELO Engine'!$O$2:$O$900)),1000))</f>
        <v/>
      </c>
      <c r="C41" s="43" t="str">
        <f t="array" ref="C41">IF(A41="","",MAX(1000,MAX(IF('ELO Engine'!$F$2:$F$900=A41,'ELO Engine'!$N$2:$N$900)),MAX(IF('ELO Engine'!$G$2:$G$900=A41,'ELO Engine'!$O$2:$O$900))))</f>
        <v/>
      </c>
      <c r="D41" s="44" t="str">
        <f>IF(A41="","",COUNTIF('Match Log'!B:B,A41)+COUNTIF('Match Log'!C:C,A41)+SUMIF('Tournament Log'!C:C,A41,'Tournament Log'!D:D)+COUNTIF('Guest Log'!B:B,A41))</f>
        <v/>
      </c>
      <c r="E41" s="44">
        <f>COUNTIFS('Match Log'!B:B,A41,'Match Log'!D:D,"Win")+COUNTIFS('Match Log'!C:C,A41,'Match Log'!D:D,"Loss")+SUMIF('Tournament Log'!C:C,A41,'Tournament Log'!E:E)+COUNTIFS('Guest Log'!B:B,A41,'Guest Log'!C:C,"Win")</f>
        <v>0</v>
      </c>
      <c r="F41" s="44">
        <f>COUNTIFS('Match Log'!B:B,A41,'Match Log'!D:D,"Draw")+COUNTIFS('Match Log'!C:C,A41,'Match Log'!D:D,"Draw")+SUMIF('Tournament Log'!C:C,A41,'Tournament Log'!F:F)+COUNTIFS('Guest Log'!B:B,A41,'Guest Log'!C:C,"Draw")</f>
        <v>0</v>
      </c>
      <c r="G41" s="45" t="str">
        <f t="shared" si="5"/>
        <v/>
      </c>
      <c r="H41" s="45">
        <f>SUMIFS('Match Log'!E:E,'Match Log'!B:B,A41)+SUMIFS('Match Log'!F:F,'Match Log'!C:C,A41)+SUMIF('Tournament Log'!C:C,A41,'Tournament Log'!H:H)+SUMIF('Guest Log'!B:B,A41,'Guest Log'!D:D)</f>
        <v>0</v>
      </c>
      <c r="I41" s="46" t="str">
        <f t="shared" si="6"/>
        <v/>
      </c>
      <c r="J41" s="45" t="str">
        <f t="shared" si="7"/>
        <v/>
      </c>
      <c r="K41" t="str">
        <f t="shared" si="8"/>
        <v/>
      </c>
      <c r="L41" t="str">
        <f>IF(A41="","",1+COUNTIF($B$2:$B$51,"&gt;"&amp;B41)+COUNTIFS($B$2:$B$51,B41,$M$2:$M$51,"&gt;"&amp;M41)+COUNTIFS($B$2:B41,B41,$M$2:M41,M41)-1)</f>
        <v/>
      </c>
      <c r="M41" s="45" t="str">
        <f t="shared" si="9"/>
        <v/>
      </c>
    </row>
    <row r="42" spans="1:13" ht="15" customHeight="1" x14ac:dyDescent="0.2">
      <c r="A42" s="9"/>
      <c r="B42" s="43" t="str">
        <f t="array" ref="B42">IF(A42="","",IFERROR(LOOKUP(2,1/(('ELO Engine'!$F$2:$F$900=A42)+('ELO Engine'!$G$2:$G$900=A42)),IF('ELO Engine'!$F$2:$F$900=A42,'ELO Engine'!$N$2:$N$900,'ELO Engine'!$O$2:$O$900)),1000))</f>
        <v/>
      </c>
      <c r="C42" s="43" t="str">
        <f t="array" ref="C42">IF(A42="","",MAX(1000,MAX(IF('ELO Engine'!$F$2:$F$900=A42,'ELO Engine'!$N$2:$N$900)),MAX(IF('ELO Engine'!$G$2:$G$900=A42,'ELO Engine'!$O$2:$O$900))))</f>
        <v/>
      </c>
      <c r="D42" s="44" t="str">
        <f>IF(A42="","",COUNTIF('Match Log'!B:B,A42)+COUNTIF('Match Log'!C:C,A42)+SUMIF('Tournament Log'!C:C,A42,'Tournament Log'!D:D)+COUNTIF('Guest Log'!B:B,A42))</f>
        <v/>
      </c>
      <c r="E42" s="44">
        <f>COUNTIFS('Match Log'!B:B,A42,'Match Log'!D:D,"Win")+COUNTIFS('Match Log'!C:C,A42,'Match Log'!D:D,"Loss")+SUMIF('Tournament Log'!C:C,A42,'Tournament Log'!E:E)+COUNTIFS('Guest Log'!B:B,A42,'Guest Log'!C:C,"Win")</f>
        <v>0</v>
      </c>
      <c r="F42" s="44">
        <f>COUNTIFS('Match Log'!B:B,A42,'Match Log'!D:D,"Draw")+COUNTIFS('Match Log'!C:C,A42,'Match Log'!D:D,"Draw")+SUMIF('Tournament Log'!C:C,A42,'Tournament Log'!F:F)+COUNTIFS('Guest Log'!B:B,A42,'Guest Log'!C:C,"Draw")</f>
        <v>0</v>
      </c>
      <c r="G42" s="45" t="str">
        <f t="shared" si="5"/>
        <v/>
      </c>
      <c r="H42" s="45">
        <f>SUMIFS('Match Log'!E:E,'Match Log'!B:B,A42)+SUMIFS('Match Log'!F:F,'Match Log'!C:C,A42)+SUMIF('Tournament Log'!C:C,A42,'Tournament Log'!H:H)+SUMIF('Guest Log'!B:B,A42,'Guest Log'!D:D)</f>
        <v>0</v>
      </c>
      <c r="I42" s="46" t="str">
        <f t="shared" si="6"/>
        <v/>
      </c>
      <c r="J42" s="45" t="str">
        <f t="shared" si="7"/>
        <v/>
      </c>
      <c r="K42" t="str">
        <f t="shared" si="8"/>
        <v/>
      </c>
      <c r="L42" t="str">
        <f>IF(A42="","",1+COUNTIF($B$2:$B$51,"&gt;"&amp;B42)+COUNTIFS($B$2:$B$51,B42,$M$2:$M$51,"&gt;"&amp;M42)+COUNTIFS($B$2:B42,B42,$M$2:M42,M42)-1)</f>
        <v/>
      </c>
      <c r="M42" s="45" t="str">
        <f t="shared" si="9"/>
        <v/>
      </c>
    </row>
    <row r="43" spans="1:13" ht="15" customHeight="1" x14ac:dyDescent="0.2">
      <c r="A43" s="9"/>
      <c r="B43" s="43" t="str">
        <f t="array" ref="B43">IF(A43="","",IFERROR(LOOKUP(2,1/(('ELO Engine'!$F$2:$F$900=A43)+('ELO Engine'!$G$2:$G$900=A43)),IF('ELO Engine'!$F$2:$F$900=A43,'ELO Engine'!$N$2:$N$900,'ELO Engine'!$O$2:$O$900)),1000))</f>
        <v/>
      </c>
      <c r="C43" s="43" t="str">
        <f t="array" ref="C43">IF(A43="","",MAX(1000,MAX(IF('ELO Engine'!$F$2:$F$900=A43,'ELO Engine'!$N$2:$N$900)),MAX(IF('ELO Engine'!$G$2:$G$900=A43,'ELO Engine'!$O$2:$O$900))))</f>
        <v/>
      </c>
      <c r="D43" s="44" t="str">
        <f>IF(A43="","",COUNTIF('Match Log'!B:B,A43)+COUNTIF('Match Log'!C:C,A43)+SUMIF('Tournament Log'!C:C,A43,'Tournament Log'!D:D)+COUNTIF('Guest Log'!B:B,A43))</f>
        <v/>
      </c>
      <c r="E43" s="44">
        <f>COUNTIFS('Match Log'!B:B,A43,'Match Log'!D:D,"Win")+COUNTIFS('Match Log'!C:C,A43,'Match Log'!D:D,"Loss")+SUMIF('Tournament Log'!C:C,A43,'Tournament Log'!E:E)+COUNTIFS('Guest Log'!B:B,A43,'Guest Log'!C:C,"Win")</f>
        <v>0</v>
      </c>
      <c r="F43" s="44">
        <f>COUNTIFS('Match Log'!B:B,A43,'Match Log'!D:D,"Draw")+COUNTIFS('Match Log'!C:C,A43,'Match Log'!D:D,"Draw")+SUMIF('Tournament Log'!C:C,A43,'Tournament Log'!F:F)+COUNTIFS('Guest Log'!B:B,A43,'Guest Log'!C:C,"Draw")</f>
        <v>0</v>
      </c>
      <c r="G43" s="45" t="str">
        <f t="shared" si="5"/>
        <v/>
      </c>
      <c r="H43" s="45">
        <f>SUMIFS('Match Log'!E:E,'Match Log'!B:B,A43)+SUMIFS('Match Log'!F:F,'Match Log'!C:C,A43)+SUMIF('Tournament Log'!C:C,A43,'Tournament Log'!H:H)+SUMIF('Guest Log'!B:B,A43,'Guest Log'!D:D)</f>
        <v>0</v>
      </c>
      <c r="I43" s="46" t="str">
        <f t="shared" si="6"/>
        <v/>
      </c>
      <c r="J43" s="45" t="str">
        <f t="shared" si="7"/>
        <v/>
      </c>
      <c r="K43" t="str">
        <f t="shared" si="8"/>
        <v/>
      </c>
      <c r="L43" t="str">
        <f>IF(A43="","",1+COUNTIF($B$2:$B$51,"&gt;"&amp;B43)+COUNTIFS($B$2:$B$51,B43,$M$2:$M$51,"&gt;"&amp;M43)+COUNTIFS($B$2:B43,B43,$M$2:M43,M43)-1)</f>
        <v/>
      </c>
      <c r="M43" s="45" t="str">
        <f t="shared" si="9"/>
        <v/>
      </c>
    </row>
    <row r="44" spans="1:13" ht="15" customHeight="1" x14ac:dyDescent="0.2">
      <c r="A44" s="9"/>
      <c r="B44" s="43" t="str">
        <f t="array" ref="B44">IF(A44="","",IFERROR(LOOKUP(2,1/(('ELO Engine'!$F$2:$F$900=A44)+('ELO Engine'!$G$2:$G$900=A44)),IF('ELO Engine'!$F$2:$F$900=A44,'ELO Engine'!$N$2:$N$900,'ELO Engine'!$O$2:$O$900)),1000))</f>
        <v/>
      </c>
      <c r="C44" s="43" t="str">
        <f t="array" ref="C44">IF(A44="","",MAX(1000,MAX(IF('ELO Engine'!$F$2:$F$900=A44,'ELO Engine'!$N$2:$N$900)),MAX(IF('ELO Engine'!$G$2:$G$900=A44,'ELO Engine'!$O$2:$O$900))))</f>
        <v/>
      </c>
      <c r="D44" s="44" t="str">
        <f>IF(A44="","",COUNTIF('Match Log'!B:B,A44)+COUNTIF('Match Log'!C:C,A44)+SUMIF('Tournament Log'!C:C,A44,'Tournament Log'!D:D)+COUNTIF('Guest Log'!B:B,A44))</f>
        <v/>
      </c>
      <c r="E44" s="44">
        <f>COUNTIFS('Match Log'!B:B,A44,'Match Log'!D:D,"Win")+COUNTIFS('Match Log'!C:C,A44,'Match Log'!D:D,"Loss")+SUMIF('Tournament Log'!C:C,A44,'Tournament Log'!E:E)+COUNTIFS('Guest Log'!B:B,A44,'Guest Log'!C:C,"Win")</f>
        <v>0</v>
      </c>
      <c r="F44" s="44">
        <f>COUNTIFS('Match Log'!B:B,A44,'Match Log'!D:D,"Draw")+COUNTIFS('Match Log'!C:C,A44,'Match Log'!D:D,"Draw")+SUMIF('Tournament Log'!C:C,A44,'Tournament Log'!F:F)+COUNTIFS('Guest Log'!B:B,A44,'Guest Log'!C:C,"Draw")</f>
        <v>0</v>
      </c>
      <c r="G44" s="45" t="str">
        <f t="shared" si="5"/>
        <v/>
      </c>
      <c r="H44" s="45">
        <f>SUMIFS('Match Log'!E:E,'Match Log'!B:B,A44)+SUMIFS('Match Log'!F:F,'Match Log'!C:C,A44)+SUMIF('Tournament Log'!C:C,A44,'Tournament Log'!H:H)+SUMIF('Guest Log'!B:B,A44,'Guest Log'!D:D)</f>
        <v>0</v>
      </c>
      <c r="I44" s="46" t="str">
        <f t="shared" si="6"/>
        <v/>
      </c>
      <c r="J44" s="45" t="str">
        <f t="shared" si="7"/>
        <v/>
      </c>
      <c r="K44" t="str">
        <f t="shared" si="8"/>
        <v/>
      </c>
      <c r="L44" t="str">
        <f>IF(A44="","",1+COUNTIF($B$2:$B$51,"&gt;"&amp;B44)+COUNTIFS($B$2:$B$51,B44,$M$2:$M$51,"&gt;"&amp;M44)+COUNTIFS($B$2:B44,B44,$M$2:M44,M44)-1)</f>
        <v/>
      </c>
      <c r="M44" s="45" t="str">
        <f t="shared" si="9"/>
        <v/>
      </c>
    </row>
    <row r="45" spans="1:13" ht="15" customHeight="1" x14ac:dyDescent="0.2">
      <c r="A45" s="9"/>
      <c r="B45" s="43" t="str">
        <f t="array" ref="B45">IF(A45="","",IFERROR(LOOKUP(2,1/(('ELO Engine'!$F$2:$F$900=A45)+('ELO Engine'!$G$2:$G$900=A45)),IF('ELO Engine'!$F$2:$F$900=A45,'ELO Engine'!$N$2:$N$900,'ELO Engine'!$O$2:$O$900)),1000))</f>
        <v/>
      </c>
      <c r="C45" s="43" t="str">
        <f t="array" ref="C45">IF(A45="","",MAX(1000,MAX(IF('ELO Engine'!$F$2:$F$900=A45,'ELO Engine'!$N$2:$N$900)),MAX(IF('ELO Engine'!$G$2:$G$900=A45,'ELO Engine'!$O$2:$O$900))))</f>
        <v/>
      </c>
      <c r="D45" s="44" t="str">
        <f>IF(A45="","",COUNTIF('Match Log'!B:B,A45)+COUNTIF('Match Log'!C:C,A45)+SUMIF('Tournament Log'!C:C,A45,'Tournament Log'!D:D)+COUNTIF('Guest Log'!B:B,A45))</f>
        <v/>
      </c>
      <c r="E45" s="44">
        <f>COUNTIFS('Match Log'!B:B,A45,'Match Log'!D:D,"Win")+COUNTIFS('Match Log'!C:C,A45,'Match Log'!D:D,"Loss")+SUMIF('Tournament Log'!C:C,A45,'Tournament Log'!E:E)+COUNTIFS('Guest Log'!B:B,A45,'Guest Log'!C:C,"Win")</f>
        <v>0</v>
      </c>
      <c r="F45" s="44">
        <f>COUNTIFS('Match Log'!B:B,A45,'Match Log'!D:D,"Draw")+COUNTIFS('Match Log'!C:C,A45,'Match Log'!D:D,"Draw")+SUMIF('Tournament Log'!C:C,A45,'Tournament Log'!F:F)+COUNTIFS('Guest Log'!B:B,A45,'Guest Log'!C:C,"Draw")</f>
        <v>0</v>
      </c>
      <c r="G45" s="45" t="str">
        <f t="shared" si="5"/>
        <v/>
      </c>
      <c r="H45" s="45">
        <f>SUMIFS('Match Log'!E:E,'Match Log'!B:B,A45)+SUMIFS('Match Log'!F:F,'Match Log'!C:C,A45)+SUMIF('Tournament Log'!C:C,A45,'Tournament Log'!H:H)+SUMIF('Guest Log'!B:B,A45,'Guest Log'!D:D)</f>
        <v>0</v>
      </c>
      <c r="I45" s="46" t="str">
        <f t="shared" si="6"/>
        <v/>
      </c>
      <c r="J45" s="45" t="str">
        <f t="shared" si="7"/>
        <v/>
      </c>
      <c r="K45" t="str">
        <f t="shared" si="8"/>
        <v/>
      </c>
      <c r="L45" t="str">
        <f>IF(A45="","",1+COUNTIF($B$2:$B$51,"&gt;"&amp;B45)+COUNTIFS($B$2:$B$51,B45,$M$2:$M$51,"&gt;"&amp;M45)+COUNTIFS($B$2:B45,B45,$M$2:M45,M45)-1)</f>
        <v/>
      </c>
      <c r="M45" s="45" t="str">
        <f t="shared" si="9"/>
        <v/>
      </c>
    </row>
    <row r="46" spans="1:13" ht="15" customHeight="1" x14ac:dyDescent="0.2">
      <c r="A46" s="9"/>
      <c r="B46" s="43" t="str">
        <f t="array" ref="B46">IF(A46="","",IFERROR(LOOKUP(2,1/(('ELO Engine'!$F$2:$F$900=A46)+('ELO Engine'!$G$2:$G$900=A46)),IF('ELO Engine'!$F$2:$F$900=A46,'ELO Engine'!$N$2:$N$900,'ELO Engine'!$O$2:$O$900)),1000))</f>
        <v/>
      </c>
      <c r="C46" s="43" t="str">
        <f t="array" ref="C46">IF(A46="","",MAX(1000,MAX(IF('ELO Engine'!$F$2:$F$900=A46,'ELO Engine'!$N$2:$N$900)),MAX(IF('ELO Engine'!$G$2:$G$900=A46,'ELO Engine'!$O$2:$O$900))))</f>
        <v/>
      </c>
      <c r="D46" s="44" t="str">
        <f>IF(A46="","",COUNTIF('Match Log'!B:B,A46)+COUNTIF('Match Log'!C:C,A46)+SUMIF('Tournament Log'!C:C,A46,'Tournament Log'!D:D)+COUNTIF('Guest Log'!B:B,A46))</f>
        <v/>
      </c>
      <c r="E46" s="44">
        <f>COUNTIFS('Match Log'!B:B,A46,'Match Log'!D:D,"Win")+COUNTIFS('Match Log'!C:C,A46,'Match Log'!D:D,"Loss")+SUMIF('Tournament Log'!C:C,A46,'Tournament Log'!E:E)+COUNTIFS('Guest Log'!B:B,A46,'Guest Log'!C:C,"Win")</f>
        <v>0</v>
      </c>
      <c r="F46" s="44">
        <f>COUNTIFS('Match Log'!B:B,A46,'Match Log'!D:D,"Draw")+COUNTIFS('Match Log'!C:C,A46,'Match Log'!D:D,"Draw")+SUMIF('Tournament Log'!C:C,A46,'Tournament Log'!F:F)+COUNTIFS('Guest Log'!B:B,A46,'Guest Log'!C:C,"Draw")</f>
        <v>0</v>
      </c>
      <c r="G46" s="45" t="str">
        <f t="shared" si="5"/>
        <v/>
      </c>
      <c r="H46" s="45">
        <f>SUMIFS('Match Log'!E:E,'Match Log'!B:B,A46)+SUMIFS('Match Log'!F:F,'Match Log'!C:C,A46)+SUMIF('Tournament Log'!C:C,A46,'Tournament Log'!H:H)+SUMIF('Guest Log'!B:B,A46,'Guest Log'!D:D)</f>
        <v>0</v>
      </c>
      <c r="I46" s="46" t="str">
        <f t="shared" si="6"/>
        <v/>
      </c>
      <c r="J46" s="45" t="str">
        <f t="shared" si="7"/>
        <v/>
      </c>
      <c r="K46" t="str">
        <f t="shared" si="8"/>
        <v/>
      </c>
      <c r="L46" t="str">
        <f>IF(A46="","",1+COUNTIF($B$2:$B$51,"&gt;"&amp;B46)+COUNTIFS($B$2:$B$51,B46,$M$2:$M$51,"&gt;"&amp;M46)+COUNTIFS($B$2:B46,B46,$M$2:M46,M46)-1)</f>
        <v/>
      </c>
      <c r="M46" s="45" t="str">
        <f t="shared" si="9"/>
        <v/>
      </c>
    </row>
    <row r="47" spans="1:13" ht="15" customHeight="1" x14ac:dyDescent="0.2">
      <c r="A47" s="9"/>
      <c r="B47" s="43" t="str">
        <f t="array" ref="B47">IF(A47="","",IFERROR(LOOKUP(2,1/(('ELO Engine'!$F$2:$F$900=A47)+('ELO Engine'!$G$2:$G$900=A47)),IF('ELO Engine'!$F$2:$F$900=A47,'ELO Engine'!$N$2:$N$900,'ELO Engine'!$O$2:$O$900)),1000))</f>
        <v/>
      </c>
      <c r="C47" s="43" t="str">
        <f t="array" ref="C47">IF(A47="","",MAX(1000,MAX(IF('ELO Engine'!$F$2:$F$900=A47,'ELO Engine'!$N$2:$N$900)),MAX(IF('ELO Engine'!$G$2:$G$900=A47,'ELO Engine'!$O$2:$O$900))))</f>
        <v/>
      </c>
      <c r="D47" s="44" t="str">
        <f>IF(A47="","",COUNTIF('Match Log'!B:B,A47)+COUNTIF('Match Log'!C:C,A47)+SUMIF('Tournament Log'!C:C,A47,'Tournament Log'!D:D)+COUNTIF('Guest Log'!B:B,A47))</f>
        <v/>
      </c>
      <c r="E47" s="44">
        <f>COUNTIFS('Match Log'!B:B,A47,'Match Log'!D:D,"Win")+COUNTIFS('Match Log'!C:C,A47,'Match Log'!D:D,"Loss")+SUMIF('Tournament Log'!C:C,A47,'Tournament Log'!E:E)+COUNTIFS('Guest Log'!B:B,A47,'Guest Log'!C:C,"Win")</f>
        <v>0</v>
      </c>
      <c r="F47" s="44">
        <f>COUNTIFS('Match Log'!B:B,A47,'Match Log'!D:D,"Draw")+COUNTIFS('Match Log'!C:C,A47,'Match Log'!D:D,"Draw")+SUMIF('Tournament Log'!C:C,A47,'Tournament Log'!F:F)+COUNTIFS('Guest Log'!B:B,A47,'Guest Log'!C:C,"Draw")</f>
        <v>0</v>
      </c>
      <c r="G47" s="45" t="str">
        <f t="shared" si="5"/>
        <v/>
      </c>
      <c r="H47" s="45">
        <f>SUMIFS('Match Log'!E:E,'Match Log'!B:B,A47)+SUMIFS('Match Log'!F:F,'Match Log'!C:C,A47)+SUMIF('Tournament Log'!C:C,A47,'Tournament Log'!H:H)+SUMIF('Guest Log'!B:B,A47,'Guest Log'!D:D)</f>
        <v>0</v>
      </c>
      <c r="I47" s="46" t="str">
        <f t="shared" si="6"/>
        <v/>
      </c>
      <c r="J47" s="45" t="str">
        <f t="shared" si="7"/>
        <v/>
      </c>
      <c r="K47" t="str">
        <f t="shared" si="8"/>
        <v/>
      </c>
      <c r="L47" t="str">
        <f>IF(A47="","",1+COUNTIF($B$2:$B$51,"&gt;"&amp;B47)+COUNTIFS($B$2:$B$51,B47,$M$2:$M$51,"&gt;"&amp;M47)+COUNTIFS($B$2:B47,B47,$M$2:M47,M47)-1)</f>
        <v/>
      </c>
      <c r="M47" s="45" t="str">
        <f t="shared" si="9"/>
        <v/>
      </c>
    </row>
    <row r="48" spans="1:13" ht="15" customHeight="1" x14ac:dyDescent="0.2">
      <c r="A48" s="9"/>
      <c r="B48" s="43" t="str">
        <f t="array" ref="B48">IF(A48="","",IFERROR(LOOKUP(2,1/(('ELO Engine'!$F$2:$F$900=A48)+('ELO Engine'!$G$2:$G$900=A48)),IF('ELO Engine'!$F$2:$F$900=A48,'ELO Engine'!$N$2:$N$900,'ELO Engine'!$O$2:$O$900)),1000))</f>
        <v/>
      </c>
      <c r="C48" s="43" t="str">
        <f t="array" ref="C48">IF(A48="","",MAX(1000,MAX(IF('ELO Engine'!$F$2:$F$900=A48,'ELO Engine'!$N$2:$N$900)),MAX(IF('ELO Engine'!$G$2:$G$900=A48,'ELO Engine'!$O$2:$O$900))))</f>
        <v/>
      </c>
      <c r="D48" s="44" t="str">
        <f>IF(A48="","",COUNTIF('Match Log'!B:B,A48)+COUNTIF('Match Log'!C:C,A48)+SUMIF('Tournament Log'!C:C,A48,'Tournament Log'!D:D)+COUNTIF('Guest Log'!B:B,A48))</f>
        <v/>
      </c>
      <c r="E48" s="44">
        <f>COUNTIFS('Match Log'!B:B,A48,'Match Log'!D:D,"Win")+COUNTIFS('Match Log'!C:C,A48,'Match Log'!D:D,"Loss")+SUMIF('Tournament Log'!C:C,A48,'Tournament Log'!E:E)+COUNTIFS('Guest Log'!B:B,A48,'Guest Log'!C:C,"Win")</f>
        <v>0</v>
      </c>
      <c r="F48" s="44">
        <f>COUNTIFS('Match Log'!B:B,A48,'Match Log'!D:D,"Draw")+COUNTIFS('Match Log'!C:C,A48,'Match Log'!D:D,"Draw")+SUMIF('Tournament Log'!C:C,A48,'Tournament Log'!F:F)+COUNTIFS('Guest Log'!B:B,A48,'Guest Log'!C:C,"Draw")</f>
        <v>0</v>
      </c>
      <c r="G48" s="45" t="str">
        <f t="shared" si="5"/>
        <v/>
      </c>
      <c r="H48" s="45">
        <f>SUMIFS('Match Log'!E:E,'Match Log'!B:B,A48)+SUMIFS('Match Log'!F:F,'Match Log'!C:C,A48)+SUMIF('Tournament Log'!C:C,A48,'Tournament Log'!H:H)+SUMIF('Guest Log'!B:B,A48,'Guest Log'!D:D)</f>
        <v>0</v>
      </c>
      <c r="I48" s="46" t="str">
        <f t="shared" si="6"/>
        <v/>
      </c>
      <c r="J48" s="45" t="str">
        <f t="shared" si="7"/>
        <v/>
      </c>
      <c r="K48" t="str">
        <f t="shared" si="8"/>
        <v/>
      </c>
      <c r="L48" t="str">
        <f>IF(A48="","",1+COUNTIF($B$2:$B$51,"&gt;"&amp;B48)+COUNTIFS($B$2:$B$51,B48,$M$2:$M$51,"&gt;"&amp;M48)+COUNTIFS($B$2:B48,B48,$M$2:M48,M48)-1)</f>
        <v/>
      </c>
      <c r="M48" s="45" t="str">
        <f t="shared" si="9"/>
        <v/>
      </c>
    </row>
    <row r="49" spans="1:13" ht="15" customHeight="1" x14ac:dyDescent="0.2">
      <c r="A49" s="9"/>
      <c r="B49" s="43" t="str">
        <f t="array" ref="B49">IF(A49="","",IFERROR(LOOKUP(2,1/(('ELO Engine'!$F$2:$F$900=A49)+('ELO Engine'!$G$2:$G$900=A49)),IF('ELO Engine'!$F$2:$F$900=A49,'ELO Engine'!$N$2:$N$900,'ELO Engine'!$O$2:$O$900)),1000))</f>
        <v/>
      </c>
      <c r="C49" s="43" t="str">
        <f t="array" ref="C49">IF(A49="","",MAX(1000,MAX(IF('ELO Engine'!$F$2:$F$900=A49,'ELO Engine'!$N$2:$N$900)),MAX(IF('ELO Engine'!$G$2:$G$900=A49,'ELO Engine'!$O$2:$O$900))))</f>
        <v/>
      </c>
      <c r="D49" s="44" t="str">
        <f>IF(A49="","",COUNTIF('Match Log'!B:B,A49)+COUNTIF('Match Log'!C:C,A49)+SUMIF('Tournament Log'!C:C,A49,'Tournament Log'!D:D)+COUNTIF('Guest Log'!B:B,A49))</f>
        <v/>
      </c>
      <c r="E49" s="44">
        <f>COUNTIFS('Match Log'!B:B,A49,'Match Log'!D:D,"Win")+COUNTIFS('Match Log'!C:C,A49,'Match Log'!D:D,"Loss")+SUMIF('Tournament Log'!C:C,A49,'Tournament Log'!E:E)+COUNTIFS('Guest Log'!B:B,A49,'Guest Log'!C:C,"Win")</f>
        <v>0</v>
      </c>
      <c r="F49" s="44">
        <f>COUNTIFS('Match Log'!B:B,A49,'Match Log'!D:D,"Draw")+COUNTIFS('Match Log'!C:C,A49,'Match Log'!D:D,"Draw")+SUMIF('Tournament Log'!C:C,A49,'Tournament Log'!F:F)+COUNTIFS('Guest Log'!B:B,A49,'Guest Log'!C:C,"Draw")</f>
        <v>0</v>
      </c>
      <c r="G49" s="45" t="str">
        <f t="shared" si="5"/>
        <v/>
      </c>
      <c r="H49" s="45">
        <f>SUMIFS('Match Log'!E:E,'Match Log'!B:B,A49)+SUMIFS('Match Log'!F:F,'Match Log'!C:C,A49)+SUMIF('Tournament Log'!C:C,A49,'Tournament Log'!H:H)+SUMIF('Guest Log'!B:B,A49,'Guest Log'!D:D)</f>
        <v>0</v>
      </c>
      <c r="I49" s="46" t="str">
        <f t="shared" si="6"/>
        <v/>
      </c>
      <c r="J49" s="45" t="str">
        <f t="shared" si="7"/>
        <v/>
      </c>
      <c r="K49" t="str">
        <f t="shared" si="8"/>
        <v/>
      </c>
      <c r="L49" t="str">
        <f>IF(A49="","",1+COUNTIF($B$2:$B$51,"&gt;"&amp;B49)+COUNTIFS($B$2:$B$51,B49,$M$2:$M$51,"&gt;"&amp;M49)+COUNTIFS($B$2:B49,B49,$M$2:M49,M49)-1)</f>
        <v/>
      </c>
      <c r="M49" s="45" t="str">
        <f t="shared" si="9"/>
        <v/>
      </c>
    </row>
    <row r="50" spans="1:13" ht="15" customHeight="1" x14ac:dyDescent="0.2">
      <c r="A50" s="9"/>
      <c r="B50" s="43" t="str">
        <f t="array" ref="B50">IF(A50="","",IFERROR(LOOKUP(2,1/(('ELO Engine'!$F$2:$F$900=A50)+('ELO Engine'!$G$2:$G$900=A50)),IF('ELO Engine'!$F$2:$F$900=A50,'ELO Engine'!$N$2:$N$900,'ELO Engine'!$O$2:$O$900)),1000))</f>
        <v/>
      </c>
      <c r="C50" s="43" t="str">
        <f t="array" ref="C50">IF(A50="","",MAX(1000,MAX(IF('ELO Engine'!$F$2:$F$900=A50,'ELO Engine'!$N$2:$N$900)),MAX(IF('ELO Engine'!$G$2:$G$900=A50,'ELO Engine'!$O$2:$O$900))))</f>
        <v/>
      </c>
      <c r="D50" s="44" t="str">
        <f>IF(A50="","",COUNTIF('Match Log'!B:B,A50)+COUNTIF('Match Log'!C:C,A50)+SUMIF('Tournament Log'!C:C,A50,'Tournament Log'!D:D)+COUNTIF('Guest Log'!B:B,A50))</f>
        <v/>
      </c>
      <c r="E50" s="44">
        <f>COUNTIFS('Match Log'!B:B,A50,'Match Log'!D:D,"Win")+COUNTIFS('Match Log'!C:C,A50,'Match Log'!D:D,"Loss")+SUMIF('Tournament Log'!C:C,A50,'Tournament Log'!E:E)+COUNTIFS('Guest Log'!B:B,A50,'Guest Log'!C:C,"Win")</f>
        <v>0</v>
      </c>
      <c r="F50" s="44">
        <f>COUNTIFS('Match Log'!B:B,A50,'Match Log'!D:D,"Draw")+COUNTIFS('Match Log'!C:C,A50,'Match Log'!D:D,"Draw")+SUMIF('Tournament Log'!C:C,A50,'Tournament Log'!F:F)+COUNTIFS('Guest Log'!B:B,A50,'Guest Log'!C:C,"Draw")</f>
        <v>0</v>
      </c>
      <c r="G50" s="45" t="str">
        <f t="shared" si="5"/>
        <v/>
      </c>
      <c r="H50" s="45">
        <f>SUMIFS('Match Log'!E:E,'Match Log'!B:B,A50)+SUMIFS('Match Log'!F:F,'Match Log'!C:C,A50)+SUMIF('Tournament Log'!C:C,A50,'Tournament Log'!H:H)+SUMIF('Guest Log'!B:B,A50,'Guest Log'!D:D)</f>
        <v>0</v>
      </c>
      <c r="I50" s="46" t="str">
        <f t="shared" si="6"/>
        <v/>
      </c>
      <c r="J50" s="45" t="str">
        <f t="shared" si="7"/>
        <v/>
      </c>
      <c r="K50" t="str">
        <f t="shared" si="8"/>
        <v/>
      </c>
      <c r="L50" t="str">
        <f>IF(A50="","",1+COUNTIF($B$2:$B$51,"&gt;"&amp;B50)+COUNTIFS($B$2:$B$51,B50,$M$2:$M$51,"&gt;"&amp;M50)+COUNTIFS($B$2:B50,B50,$M$2:M50,M50)-1)</f>
        <v/>
      </c>
      <c r="M50" s="45" t="str">
        <f t="shared" si="9"/>
        <v/>
      </c>
    </row>
    <row r="51" spans="1:13" ht="15" customHeight="1" x14ac:dyDescent="0.2">
      <c r="A51" s="9"/>
      <c r="B51" s="43" t="str">
        <f t="array" ref="B51">IF(A51="","",IFERROR(LOOKUP(2,1/(('ELO Engine'!$F$2:$F$900=A51)+('ELO Engine'!$G$2:$G$900=A51)),IF('ELO Engine'!$F$2:$F$900=A51,'ELO Engine'!$N$2:$N$900,'ELO Engine'!$O$2:$O$900)),1000))</f>
        <v/>
      </c>
      <c r="C51" s="43" t="str">
        <f t="array" ref="C51">IF(A51="","",MAX(1000,MAX(IF('ELO Engine'!$F$2:$F$900=A51,'ELO Engine'!$N$2:$N$900)),MAX(IF('ELO Engine'!$G$2:$G$900=A51,'ELO Engine'!$O$2:$O$900))))</f>
        <v/>
      </c>
      <c r="D51" s="44" t="str">
        <f>IF(A51="","",COUNTIF('Match Log'!B:B,A51)+COUNTIF('Match Log'!C:C,A51)+SUMIF('Tournament Log'!C:C,A51,'Tournament Log'!D:D)+COUNTIF('Guest Log'!B:B,A51))</f>
        <v/>
      </c>
      <c r="E51" s="44">
        <f>COUNTIFS('Match Log'!B:B,A51,'Match Log'!D:D,"Win")+COUNTIFS('Match Log'!C:C,A51,'Match Log'!D:D,"Loss")+SUMIF('Tournament Log'!C:C,A51,'Tournament Log'!E:E)+COUNTIFS('Guest Log'!B:B,A51,'Guest Log'!C:C,"Win")</f>
        <v>0</v>
      </c>
      <c r="F51" s="44">
        <f>COUNTIFS('Match Log'!B:B,A51,'Match Log'!D:D,"Draw")+COUNTIFS('Match Log'!C:C,A51,'Match Log'!D:D,"Draw")+SUMIF('Tournament Log'!C:C,A51,'Tournament Log'!F:F)+COUNTIFS('Guest Log'!B:B,A51,'Guest Log'!C:C,"Draw")</f>
        <v>0</v>
      </c>
      <c r="G51" s="45" t="str">
        <f t="shared" si="5"/>
        <v/>
      </c>
      <c r="H51" s="45">
        <f>SUMIFS('Match Log'!E:E,'Match Log'!B:B,A51)+SUMIFS('Match Log'!F:F,'Match Log'!C:C,A51)+SUMIF('Tournament Log'!C:C,A51,'Tournament Log'!H:H)+SUMIF('Guest Log'!B:B,A51,'Guest Log'!D:D)</f>
        <v>0</v>
      </c>
      <c r="I51" s="46" t="str">
        <f t="shared" si="6"/>
        <v/>
      </c>
      <c r="J51" s="45" t="str">
        <f t="shared" si="7"/>
        <v/>
      </c>
      <c r="K51" t="str">
        <f t="shared" si="8"/>
        <v/>
      </c>
      <c r="L51" t="str">
        <f>IF(A51="","",1+COUNTIF($B$2:$B$51,"&gt;"&amp;B51)+COUNTIFS($B$2:$B$51,B51,$M$2:$M$51,"&gt;"&amp;M51)+COUNTIFS($B$2:B51,B51,$M$2:M51,M51)-1)</f>
        <v/>
      </c>
      <c r="M51" s="45" t="str">
        <f t="shared" si="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League Table</vt:lpstr>
      <vt:lpstr>Match Log</vt:lpstr>
      <vt:lpstr>Tournament Log</vt:lpstr>
      <vt:lpstr>Guest Log</vt:lpstr>
      <vt:lpstr>ELO Engine</vt:lpstr>
      <vt:lpstr>Player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Miles Hatch</cp:lastModifiedBy>
  <cp:revision>0</cp:revision>
  <dcterms:created xsi:type="dcterms:W3CDTF">2026-05-07T16:33:27Z</dcterms:created>
  <dcterms:modified xsi:type="dcterms:W3CDTF">2026-08-14T07:25:30Z</dcterms:modified>
  <dc:language>en-US</dc:language>
</cp:coreProperties>
</file>